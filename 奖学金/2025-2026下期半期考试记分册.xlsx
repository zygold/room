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38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6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37.xml" ContentType="application/vnd.openxmlformats-officedocument.spreadsheetml.worksheet+xml"/>
  <Override PartName="/xl/worksheets/sheet2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2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5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4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sheets/sheet30.xml" ContentType="application/vnd.openxmlformats-officedocument.spreadsheetml.worksheet+xml"/>
  <Override PartName="/docProps/app.xml" ContentType="application/vnd.openxmlformats-officedocument.extended-properties+xml"/>
  <Override PartName="/xl/worksheets/sheet28.xml" ContentType="application/vnd.openxmlformats-officedocument.spreadsheetml.worksheet+xml"/>
  <Override PartName="/xl/worksheets/sheet10.xml" ContentType="application/vnd.openxmlformats-officedocument.spreadsheetml.worksheet+xml"/>
  <Override PartName="/xl/worksheets/sheet3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教务处\26年春季\全校三次成绩汇总\2026年半期考试成绩\"/>
  <bookViews>
    <workbookView activeTab="0"/>
  </bookViews>
  <sheets>
    <sheet name="25级保育1班" sheetId="1" r:id="rId3"/>
    <sheet name="25级保育本方班" sheetId="2" r:id="rId4"/>
    <sheet name="25级茶艺班" sheetId="3" r:id="rId5"/>
    <sheet name="25级电子（国防特色）班" sheetId="4" r:id="rId6"/>
    <sheet name="25级电子1班" sheetId="5" r:id="rId7"/>
    <sheet name="25级电子2班" sheetId="6" r:id="rId8"/>
    <sheet name="25级电子3班" sheetId="7" r:id="rId9"/>
    <sheet name="25级电子本方班" sheetId="8" r:id="rId10"/>
    <sheet name="25级电子职普融通班" sheetId="9" r:id="rId11"/>
    <sheet name="25级计算机1班" sheetId="10" r:id="rId12"/>
    <sheet name="25级计算机2班" sheetId="11" r:id="rId13"/>
    <sheet name="25级计算机本方班" sheetId="12" r:id="rId14"/>
    <sheet name="25级计算机职普融通班" sheetId="13" r:id="rId15"/>
    <sheet name="25级旅游班" sheetId="14" r:id="rId16"/>
    <sheet name="25级旅游本方班" sheetId="15" r:id="rId17"/>
    <sheet name="25级汽车检测班" sheetId="16" r:id="rId18"/>
    <sheet name="25级数控1班" sheetId="17" r:id="rId19"/>
    <sheet name="25级数控本方班" sheetId="18" r:id="rId20"/>
    <sheet name="25级运动训练班" sheetId="19" r:id="rId21"/>
    <sheet name="24级茶艺班" sheetId="20" r:id="rId22"/>
    <sheet name="24级保育1班" sheetId="21" r:id="rId23"/>
    <sheet name="24级保育2班(本方)" sheetId="22" r:id="rId24"/>
    <sheet name="24级电子(国防特色)班" sheetId="23" r:id="rId25"/>
    <sheet name="24级电子1班" sheetId="24" r:id="rId26"/>
    <sheet name="24级电子2班" sheetId="25" r:id="rId27"/>
    <sheet name="24级电子3班" sheetId="26" r:id="rId28"/>
    <sheet name="24级电子4班(本方)" sheetId="27" r:id="rId29"/>
    <sheet name="24级电子5班(本方)" sheetId="28" r:id="rId30"/>
    <sheet name="24级计算机1班" sheetId="29" r:id="rId31"/>
    <sheet name="24级计算机2班(本方)" sheetId="30" r:id="rId32"/>
    <sheet name="24级计算机3班(本方)" sheetId="31" r:id="rId33"/>
    <sheet name="24级旅游1班" sheetId="32" r:id="rId34"/>
    <sheet name="24级汽车检测班" sheetId="33" r:id="rId35"/>
    <sheet name="24级数控1班" sheetId="34" r:id="rId36"/>
    <sheet name="24级数控2班" sheetId="35" r:id="rId37"/>
    <sheet name="24级数控3班(本方)" sheetId="36" r:id="rId38"/>
    <sheet name="24级运动训练班" sheetId="37" r:id="rId39"/>
    <sheet name="24级旅游2班(本方)" sheetId="38" r:id="rId40"/>
  </sheets>
  <externalReferences>
    <externalReference r:id="rId41"/>
    <externalReference r:id="rId42"/>
  </externalReferences>
  <calcPr calcId="191029"/>
</workbook>
</file>

<file path=xl/sharedStrings.xml><?xml version="1.0" encoding="utf-8"?>
<sst xmlns="http://schemas.openxmlformats.org/spreadsheetml/2006/main" count="3477" uniqueCount="3477">
  <si>
    <t/>
  </si>
  <si>
    <t>序号</t>
  </si>
  <si>
    <t>姓名</t>
  </si>
  <si>
    <t>考号</t>
  </si>
  <si>
    <t>学号</t>
  </si>
  <si>
    <t>语文</t>
  </si>
  <si>
    <t>数学</t>
  </si>
  <si>
    <t>英语</t>
  </si>
  <si>
    <t>学前儿童发展心理</t>
  </si>
  <si>
    <t>学前儿童卫生保健</t>
  </si>
  <si>
    <t>学前教育基础知识</t>
  </si>
  <si>
    <t>总分</t>
  </si>
  <si>
    <t>排名</t>
  </si>
  <si>
    <t>陈李红</t>
  </si>
  <si>
    <t>25q770101025</t>
  </si>
  <si>
    <t>陈紫琳</t>
  </si>
  <si>
    <t>25q740101023</t>
  </si>
  <si>
    <t>陈紫伊</t>
  </si>
  <si>
    <t>25q770101010</t>
  </si>
  <si>
    <t>范雨</t>
  </si>
  <si>
    <t>25q770101007</t>
  </si>
  <si>
    <t>冯钥垚</t>
  </si>
  <si>
    <t>25q710103145</t>
  </si>
  <si>
    <t>付雅琳</t>
  </si>
  <si>
    <t>25q770101034</t>
  </si>
  <si>
    <t>付雨馨</t>
  </si>
  <si>
    <t>25q770101014</t>
  </si>
  <si>
    <t>黄麟瑾</t>
  </si>
  <si>
    <t>25q770101005</t>
  </si>
  <si>
    <t>李嘉琪</t>
  </si>
  <si>
    <t>25q770101020</t>
  </si>
  <si>
    <t>李泳颉</t>
  </si>
  <si>
    <t>25q770101003</t>
  </si>
  <si>
    <t>李泳谊</t>
  </si>
  <si>
    <t>25q770101004</t>
  </si>
  <si>
    <t>李雨琴</t>
  </si>
  <si>
    <t>25q770101022</t>
  </si>
  <si>
    <t>李紫菡</t>
  </si>
  <si>
    <t>25q770101011</t>
  </si>
  <si>
    <t>罗李依</t>
  </si>
  <si>
    <t>25q770101027</t>
  </si>
  <si>
    <t>闵可馨</t>
  </si>
  <si>
    <t>25q770101013</t>
  </si>
  <si>
    <t>沈子涵</t>
  </si>
  <si>
    <t>25q770101016</t>
  </si>
  <si>
    <t>史梓钰</t>
  </si>
  <si>
    <t>25q770101019</t>
  </si>
  <si>
    <t>宋雨馨</t>
  </si>
  <si>
    <t>25q770101030</t>
  </si>
  <si>
    <t>田雨馨</t>
  </si>
  <si>
    <t>25q770101024</t>
  </si>
  <si>
    <t>熊启馨</t>
  </si>
  <si>
    <t>25q770101008</t>
  </si>
  <si>
    <t>徐樱玲</t>
  </si>
  <si>
    <t>25q770101031</t>
  </si>
  <si>
    <t>杨梦涵</t>
  </si>
  <si>
    <t>25q770101050</t>
  </si>
  <si>
    <t>袁梦梅</t>
  </si>
  <si>
    <t>25q770101009</t>
  </si>
  <si>
    <t>张贝依</t>
  </si>
  <si>
    <t>VLOOKUP</t>
  </si>
  <si>
    <t>张涵嫣</t>
  </si>
  <si>
    <t>25q770101026</t>
  </si>
  <si>
    <t>张豪鹏</t>
  </si>
  <si>
    <t>25q770101001</t>
  </si>
  <si>
    <t>张梦宇</t>
  </si>
  <si>
    <t>25q770101029</t>
  </si>
  <si>
    <t>张紫涵</t>
  </si>
  <si>
    <t>25q770101015</t>
  </si>
  <si>
    <t>赵语瞳</t>
  </si>
  <si>
    <t>25q770101023</t>
  </si>
  <si>
    <t>郑依萍</t>
  </si>
  <si>
    <t>25q770101012</t>
  </si>
  <si>
    <t>郑紫瑄</t>
  </si>
  <si>
    <t>25q770101032</t>
  </si>
  <si>
    <t>朱语佳</t>
  </si>
  <si>
    <t>25q770101018</t>
  </si>
  <si>
    <t>牟梦昕</t>
  </si>
  <si>
    <t>田金玲</t>
  </si>
  <si>
    <t>彭潇然</t>
  </si>
  <si>
    <t>沈玉欣</t>
  </si>
  <si>
    <t>王梦婷</t>
  </si>
  <si>
    <t>秦芸</t>
  </si>
  <si>
    <t>李梦蝶</t>
  </si>
  <si>
    <t>黄俊曦</t>
  </si>
  <si>
    <t>李重阳</t>
  </si>
  <si>
    <t>孙雨茹</t>
  </si>
  <si>
    <t>李宇馨</t>
  </si>
  <si>
    <t>霍静琳</t>
  </si>
  <si>
    <t>张雨嘉</t>
  </si>
  <si>
    <t>徐梓茹</t>
  </si>
  <si>
    <t>曾艺萌</t>
  </si>
  <si>
    <t>王逸婷</t>
  </si>
  <si>
    <t>牟钰柯</t>
  </si>
  <si>
    <t>陈鸿雁</t>
  </si>
  <si>
    <t>得西措</t>
  </si>
  <si>
    <t>王艳茹</t>
  </si>
  <si>
    <t>华晶晶</t>
  </si>
  <si>
    <t>郑思琦</t>
  </si>
  <si>
    <t>李佳懿</t>
  </si>
  <si>
    <t>祝王婷</t>
  </si>
  <si>
    <t>谢梦琴</t>
  </si>
  <si>
    <t>黄馨甜</t>
  </si>
  <si>
    <t>王依依</t>
  </si>
  <si>
    <t>曹雅琳</t>
  </si>
  <si>
    <t>缺考</t>
  </si>
  <si>
    <t>中国旅游地理</t>
  </si>
  <si>
    <t>茶艺概论</t>
  </si>
  <si>
    <t>餐饮服务与管理</t>
  </si>
  <si>
    <t>陈湘</t>
  </si>
  <si>
    <t>25q740101068</t>
  </si>
  <si>
    <t>苟雨涵</t>
  </si>
  <si>
    <t>25q740101055</t>
  </si>
  <si>
    <t>何正莹</t>
  </si>
  <si>
    <t>25q740101064</t>
  </si>
  <si>
    <t>刘琳</t>
  </si>
  <si>
    <t>25q710103205</t>
  </si>
  <si>
    <t>刘欣雨</t>
  </si>
  <si>
    <t>25q740101049</t>
  </si>
  <si>
    <t>沈丹凤</t>
  </si>
  <si>
    <t>25q740101066</t>
  </si>
  <si>
    <t>王彩霞</t>
  </si>
  <si>
    <t>25q740101050</t>
  </si>
  <si>
    <t>杨晶</t>
  </si>
  <si>
    <t>25q740101058</t>
  </si>
  <si>
    <t>杨梦宇 </t>
  </si>
  <si>
    <t>杨晰文</t>
  </si>
  <si>
    <t>25q740101002</t>
  </si>
  <si>
    <t>张诗雨</t>
  </si>
  <si>
    <t>25q740101004</t>
  </si>
  <si>
    <t>张雅萱</t>
  </si>
  <si>
    <t>25q740101067</t>
  </si>
  <si>
    <t>张雨欣</t>
  </si>
  <si>
    <t>25q740101057</t>
  </si>
  <si>
    <t>赵雯怡</t>
  </si>
  <si>
    <t>25q740101060</t>
  </si>
  <si>
    <t>赵梓伊</t>
  </si>
  <si>
    <t>25q740101056</t>
  </si>
  <si>
    <t>周国靖</t>
  </si>
  <si>
    <t>25q710103355</t>
  </si>
  <si>
    <t>祝荔檬</t>
  </si>
  <si>
    <t>25q740101065</t>
  </si>
  <si>
    <t>黄宇燕</t>
  </si>
  <si>
    <t>电工技术基础与技能实训</t>
  </si>
  <si>
    <t>电子技术基础与技能实训</t>
  </si>
  <si>
    <t>单片机技术与应用</t>
  </si>
  <si>
    <t>白宇城</t>
  </si>
  <si>
    <t>25q710103111</t>
  </si>
  <si>
    <t>曾展宏</t>
  </si>
  <si>
    <t>25q710103089</t>
  </si>
  <si>
    <t>陈树森</t>
  </si>
  <si>
    <t>25q710103093</t>
  </si>
  <si>
    <t>邓杨</t>
  </si>
  <si>
    <t>25q710103087</t>
  </si>
  <si>
    <t>俄底爸清</t>
  </si>
  <si>
    <t>25q710103109</t>
  </si>
  <si>
    <t>付俊熙</t>
  </si>
  <si>
    <t>25q710103091</t>
  </si>
  <si>
    <t>龚柯力</t>
  </si>
  <si>
    <t>25q710103080</t>
  </si>
  <si>
    <t xml:space="preserve"> 郭松涛 </t>
  </si>
  <si>
    <t>何东林</t>
  </si>
  <si>
    <t>25q710103068</t>
  </si>
  <si>
    <t>何家棋</t>
  </si>
  <si>
    <t>25q710103108</t>
  </si>
  <si>
    <t>胡凯荣</t>
  </si>
  <si>
    <t>25q710103075</t>
  </si>
  <si>
    <t>胡喻耀</t>
  </si>
  <si>
    <t>25q710103115</t>
  </si>
  <si>
    <t>黄炳富</t>
  </si>
  <si>
    <t>25q710103110</t>
  </si>
  <si>
    <t>黄靖</t>
  </si>
  <si>
    <t>25q710103069</t>
  </si>
  <si>
    <t>黄舒伟</t>
  </si>
  <si>
    <t>25q710103088</t>
  </si>
  <si>
    <t>霍福杰</t>
  </si>
  <si>
    <t>25q710103090</t>
  </si>
  <si>
    <t>李金艺</t>
  </si>
  <si>
    <t>25q710103112</t>
  </si>
  <si>
    <t>李梦龙</t>
  </si>
  <si>
    <t>25q710103106</t>
  </si>
  <si>
    <t>李永</t>
  </si>
  <si>
    <t>25q710103113</t>
  </si>
  <si>
    <t>李宇轩</t>
  </si>
  <si>
    <t>25q710103070</t>
  </si>
  <si>
    <t>凌磊</t>
  </si>
  <si>
    <t>25q710103086</t>
  </si>
  <si>
    <t>刘俊宇</t>
  </si>
  <si>
    <t>25q710103102</t>
  </si>
  <si>
    <t>——</t>
  </si>
  <si>
    <t>刘熙宇</t>
  </si>
  <si>
    <t>25q710103107</t>
  </si>
  <si>
    <t>刘志林</t>
  </si>
  <si>
    <t>25q710103092</t>
  </si>
  <si>
    <t>罗皓</t>
  </si>
  <si>
    <t>25q710103095</t>
  </si>
  <si>
    <t>罗皓轩</t>
  </si>
  <si>
    <t>25q710103083</t>
  </si>
  <si>
    <t>罗俊杰</t>
  </si>
  <si>
    <t>25q710103085</t>
  </si>
  <si>
    <t>罗伊辰</t>
  </si>
  <si>
    <t>25q710103072</t>
  </si>
  <si>
    <t>彭家豪</t>
  </si>
  <si>
    <t>25q710103101</t>
  </si>
  <si>
    <t>史毅</t>
  </si>
  <si>
    <t>25q710103099</t>
  </si>
  <si>
    <t>苏金宝</t>
  </si>
  <si>
    <t>25q710103116</t>
  </si>
  <si>
    <t>唐鑫懿</t>
  </si>
  <si>
    <t>25q710103105</t>
  </si>
  <si>
    <t>王建平</t>
  </si>
  <si>
    <t>25q710103081</t>
  </si>
  <si>
    <t>王君浩</t>
  </si>
  <si>
    <t>25q710103097</t>
  </si>
  <si>
    <t>文玉祥</t>
  </si>
  <si>
    <t>25q710103067</t>
  </si>
  <si>
    <t>吴劲豪</t>
  </si>
  <si>
    <t>25q710103077</t>
  </si>
  <si>
    <t>吴至高</t>
  </si>
  <si>
    <t>25q710103100</t>
  </si>
  <si>
    <t>向鹏程</t>
  </si>
  <si>
    <t>25q710103071</t>
  </si>
  <si>
    <t>严世豪</t>
  </si>
  <si>
    <t>25q710103114</t>
  </si>
  <si>
    <t>杨瀚宇</t>
  </si>
  <si>
    <t>25q710103079</t>
  </si>
  <si>
    <t>叶俊杰</t>
  </si>
  <si>
    <t>25q710103078</t>
  </si>
  <si>
    <t>尹天俣</t>
  </si>
  <si>
    <t>25q710103082</t>
  </si>
  <si>
    <t>余星皞</t>
  </si>
  <si>
    <t>25q710103074</t>
  </si>
  <si>
    <t>张陈浩</t>
  </si>
  <si>
    <t>25q710103076</t>
  </si>
  <si>
    <t>张晨辉</t>
  </si>
  <si>
    <t>张域城</t>
  </si>
  <si>
    <t>25q710103098</t>
  </si>
  <si>
    <t>赵俊</t>
  </si>
  <si>
    <t>25q710103103</t>
  </si>
  <si>
    <t>赵宇森</t>
  </si>
  <si>
    <t>25q710103094</t>
  </si>
  <si>
    <t>郑旭轩</t>
  </si>
  <si>
    <t>周海龙</t>
  </si>
  <si>
    <t>25q770303017</t>
  </si>
  <si>
    <t>周锦森</t>
  </si>
  <si>
    <t>25q710103104</t>
  </si>
  <si>
    <t>周天喆</t>
  </si>
  <si>
    <t>25q710103084</t>
  </si>
  <si>
    <t>周志雄</t>
  </si>
  <si>
    <t>25q710103066</t>
  </si>
  <si>
    <t>朱思达</t>
  </si>
  <si>
    <t>25q710103117</t>
  </si>
  <si>
    <t>朱涛</t>
  </si>
  <si>
    <t>25q710103096</t>
  </si>
  <si>
    <t>白雨佳</t>
  </si>
  <si>
    <t>25q710103340</t>
  </si>
  <si>
    <t>陈君统</t>
  </si>
  <si>
    <t>25q710103331</t>
  </si>
  <si>
    <t>陈旭焱</t>
  </si>
  <si>
    <t>25q710103326</t>
  </si>
  <si>
    <t>陈奕宇</t>
  </si>
  <si>
    <t>25q770303042</t>
  </si>
  <si>
    <t>翟崇宇</t>
  </si>
  <si>
    <t>丁嘉豪</t>
  </si>
  <si>
    <t>25q710103333</t>
  </si>
  <si>
    <t>房竣</t>
  </si>
  <si>
    <t>25q770303019</t>
  </si>
  <si>
    <t>冯晨</t>
  </si>
  <si>
    <t>25q710201250</t>
  </si>
  <si>
    <t>符玉涵</t>
  </si>
  <si>
    <t>25q770303012</t>
  </si>
  <si>
    <t>付鑫玥</t>
  </si>
  <si>
    <t>25q710103299</t>
  </si>
  <si>
    <t>高玉涵</t>
  </si>
  <si>
    <t>25q710103283</t>
  </si>
  <si>
    <t>高玉轩</t>
  </si>
  <si>
    <t>25q710103301</t>
  </si>
  <si>
    <t>黄鸿阳</t>
  </si>
  <si>
    <t>25q710103334</t>
  </si>
  <si>
    <t>黄佳豪</t>
  </si>
  <si>
    <t>25q710103350</t>
  </si>
  <si>
    <t>黄思宇</t>
  </si>
  <si>
    <t>黄鑫叙</t>
  </si>
  <si>
    <t>25q710103313</t>
  </si>
  <si>
    <t>黄梓桂</t>
  </si>
  <si>
    <t>25q710103307</t>
  </si>
  <si>
    <t>江雨帆</t>
  </si>
  <si>
    <t>25q710103269</t>
  </si>
  <si>
    <t>姜博译</t>
  </si>
  <si>
    <t>25q660103116</t>
  </si>
  <si>
    <t>李凡志</t>
  </si>
  <si>
    <t>25q710201563</t>
  </si>
  <si>
    <t>李豪</t>
  </si>
  <si>
    <t>25q710103321</t>
  </si>
  <si>
    <t>李燕</t>
  </si>
  <si>
    <t>25q770101002</t>
  </si>
  <si>
    <t>李阳</t>
  </si>
  <si>
    <t>25q710103314</t>
  </si>
  <si>
    <t>李宇帆</t>
  </si>
  <si>
    <t>25q710103330</t>
  </si>
  <si>
    <t>李哲轩</t>
  </si>
  <si>
    <t>25q710103316</t>
  </si>
  <si>
    <t>梁志灏</t>
  </si>
  <si>
    <t>25q660103118</t>
  </si>
  <si>
    <t>廖家瑞</t>
  </si>
  <si>
    <t>25q710103347</t>
  </si>
  <si>
    <t>刘函林</t>
  </si>
  <si>
    <t>25q710103318</t>
  </si>
  <si>
    <t>罗杨凯</t>
  </si>
  <si>
    <t>25q710103336</t>
  </si>
  <si>
    <t>彭星富</t>
  </si>
  <si>
    <t>25q710103341</t>
  </si>
  <si>
    <t>乔杰</t>
  </si>
  <si>
    <t>25q710103324</t>
  </si>
  <si>
    <t>秦瑞新</t>
  </si>
  <si>
    <t>25q710103310</t>
  </si>
  <si>
    <t>权文博</t>
  </si>
  <si>
    <t>25q710103295</t>
  </si>
  <si>
    <t>孙宇豪</t>
  </si>
  <si>
    <t>25q710103332</t>
  </si>
  <si>
    <t>孙梓怡</t>
  </si>
  <si>
    <t>25q710103271</t>
  </si>
  <si>
    <t>汤宇洁</t>
  </si>
  <si>
    <t>25q710103317</t>
  </si>
  <si>
    <t>田珂欣</t>
  </si>
  <si>
    <t>25q710103280</t>
  </si>
  <si>
    <t>万富强</t>
  </si>
  <si>
    <t>25q710103300</t>
  </si>
  <si>
    <t>王浩</t>
  </si>
  <si>
    <t>25q710103319</t>
  </si>
  <si>
    <t>王瑞</t>
  </si>
  <si>
    <t>25q710103342</t>
  </si>
  <si>
    <t>王文凯</t>
  </si>
  <si>
    <t>25q710103349</t>
  </si>
  <si>
    <t>王艺</t>
  </si>
  <si>
    <t>25q710103320</t>
  </si>
  <si>
    <t>王宇</t>
  </si>
  <si>
    <t>25q710201564</t>
  </si>
  <si>
    <t>王语嫣</t>
  </si>
  <si>
    <t>25q710103323</t>
  </si>
  <si>
    <t>王忠程</t>
  </si>
  <si>
    <t>25q710103343</t>
  </si>
  <si>
    <t>吴佳豪</t>
  </si>
  <si>
    <t>25q710103328</t>
  </si>
  <si>
    <t>吴李鑫</t>
  </si>
  <si>
    <t>25q710103315</t>
  </si>
  <si>
    <t>吴沛珈</t>
  </si>
  <si>
    <t>25q710103344</t>
  </si>
  <si>
    <t>谢成毅</t>
  </si>
  <si>
    <t>25q710103262</t>
  </si>
  <si>
    <t>谢帅</t>
  </si>
  <si>
    <t>25q710103309</t>
  </si>
  <si>
    <t>熊涵阳</t>
  </si>
  <si>
    <t>25q710103312</t>
  </si>
  <si>
    <t>许巧利</t>
  </si>
  <si>
    <t>25q710103296</t>
  </si>
  <si>
    <t>杨恩成</t>
  </si>
  <si>
    <t>25q710103303</t>
  </si>
  <si>
    <t>杨加全</t>
  </si>
  <si>
    <t>25q710103298</t>
  </si>
  <si>
    <t>杨俊杰</t>
  </si>
  <si>
    <t>25q710103311</t>
  </si>
  <si>
    <t>杨琴</t>
  </si>
  <si>
    <t>25q710103302</t>
  </si>
  <si>
    <t>杨文凯</t>
  </si>
  <si>
    <t>25q770303018</t>
  </si>
  <si>
    <t>杨艺</t>
  </si>
  <si>
    <t>25q710103297</t>
  </si>
  <si>
    <t>余文涵</t>
  </si>
  <si>
    <t>25q710103322</t>
  </si>
  <si>
    <t>袁锐军</t>
  </si>
  <si>
    <t>25q710103282</t>
  </si>
  <si>
    <t>张超</t>
  </si>
  <si>
    <t>25q710103276</t>
  </si>
  <si>
    <t>张俊伟</t>
  </si>
  <si>
    <t>25q710103335</t>
  </si>
  <si>
    <t>张思雨</t>
  </si>
  <si>
    <t>赵馨雨</t>
  </si>
  <si>
    <t>25q710103337</t>
  </si>
  <si>
    <t>郑炳耀</t>
  </si>
  <si>
    <t>25q710103348</t>
  </si>
  <si>
    <t>周宏伟</t>
  </si>
  <si>
    <t>25q710103306</t>
  </si>
  <si>
    <t>朱元虎</t>
  </si>
  <si>
    <t>25q770303005</t>
  </si>
  <si>
    <t>朱梓烨</t>
  </si>
  <si>
    <t>25q710103325</t>
  </si>
  <si>
    <t>祝健平</t>
  </si>
  <si>
    <t>25q710103305</t>
  </si>
  <si>
    <t>祝汶琦</t>
  </si>
  <si>
    <t>25q710103329</t>
  </si>
  <si>
    <t>车定远</t>
  </si>
  <si>
    <t>25q710103175</t>
  </si>
  <si>
    <t>陈楚元</t>
  </si>
  <si>
    <t>25q710103189</t>
  </si>
  <si>
    <t>陈嘉兴</t>
  </si>
  <si>
    <t>25q710103188</t>
  </si>
  <si>
    <t>陈思雨</t>
  </si>
  <si>
    <t>25q710103197</t>
  </si>
  <si>
    <t>陈烨霖</t>
  </si>
  <si>
    <t>25q710103290</t>
  </si>
  <si>
    <t>成俊豪</t>
  </si>
  <si>
    <t>25q710103185</t>
  </si>
  <si>
    <t>程思静</t>
  </si>
  <si>
    <t>25q710103281</t>
  </si>
  <si>
    <t>邓毅文</t>
  </si>
  <si>
    <t>底浩东</t>
  </si>
  <si>
    <t>25q710103170</t>
  </si>
  <si>
    <t>丁雨鑫</t>
  </si>
  <si>
    <t>25q710103211</t>
  </si>
  <si>
    <t>董济江</t>
  </si>
  <si>
    <t>25q710103168</t>
  </si>
  <si>
    <t>冯俊弛</t>
  </si>
  <si>
    <t>25q710103180</t>
  </si>
  <si>
    <t>符号</t>
  </si>
  <si>
    <t>25q710103356</t>
  </si>
  <si>
    <t>顾虎青</t>
  </si>
  <si>
    <t>25q710103171</t>
  </si>
  <si>
    <t>李浩熙</t>
  </si>
  <si>
    <t>25q710103181</t>
  </si>
  <si>
    <t>李蕊</t>
  </si>
  <si>
    <t>25q710103173</t>
  </si>
  <si>
    <t>李瑞</t>
  </si>
  <si>
    <t>25q710103199</t>
  </si>
  <si>
    <t>李星晨</t>
  </si>
  <si>
    <t>25q710103207</t>
  </si>
  <si>
    <t>李玉豪</t>
  </si>
  <si>
    <t>25q710103209</t>
  </si>
  <si>
    <t>李玉熙</t>
  </si>
  <si>
    <t>25q710103221</t>
  </si>
  <si>
    <t>李治轩</t>
  </si>
  <si>
    <t>25q710103210</t>
  </si>
  <si>
    <t>林文博</t>
  </si>
  <si>
    <t>25q710103212</t>
  </si>
  <si>
    <t>凌圆圆</t>
  </si>
  <si>
    <t>25q710103208</t>
  </si>
  <si>
    <t>刘邓瑞</t>
  </si>
  <si>
    <t>刘冬</t>
  </si>
  <si>
    <t>25q710201160</t>
  </si>
  <si>
    <t>刘好</t>
  </si>
  <si>
    <t>25q660103077</t>
  </si>
  <si>
    <t>刘嘉懿</t>
  </si>
  <si>
    <t>25q710103178</t>
  </si>
  <si>
    <t>刘沛凝</t>
  </si>
  <si>
    <t>25q710103214</t>
  </si>
  <si>
    <t>刘骞午</t>
  </si>
  <si>
    <t>25q710103172</t>
  </si>
  <si>
    <t>刘淞韬</t>
  </si>
  <si>
    <t>25q710103200</t>
  </si>
  <si>
    <t>刘雅美</t>
  </si>
  <si>
    <t>25q710103196</t>
  </si>
  <si>
    <t>刘宇航</t>
  </si>
  <si>
    <t>25q710103215</t>
  </si>
  <si>
    <t>卢豪强</t>
  </si>
  <si>
    <t>25q710103169</t>
  </si>
  <si>
    <t>罗浩</t>
  </si>
  <si>
    <t>罗可若</t>
  </si>
  <si>
    <t>25q710103216</t>
  </si>
  <si>
    <t>罗梓涓</t>
  </si>
  <si>
    <t>25q710103192</t>
  </si>
  <si>
    <t>吕瑾瑜</t>
  </si>
  <si>
    <t>25q710103233</t>
  </si>
  <si>
    <t>彭宇娇</t>
  </si>
  <si>
    <t>25q710103206</t>
  </si>
  <si>
    <t>帅远琦</t>
  </si>
  <si>
    <t>25q710103164</t>
  </si>
  <si>
    <t>苏飞</t>
  </si>
  <si>
    <t>25q710103217</t>
  </si>
  <si>
    <t>苏瑞</t>
  </si>
  <si>
    <t>25q710103222</t>
  </si>
  <si>
    <t>万浩然</t>
  </si>
  <si>
    <t>25q710103191</t>
  </si>
  <si>
    <t>王聪</t>
  </si>
  <si>
    <t>25q710103218</t>
  </si>
  <si>
    <t>王达鑫</t>
  </si>
  <si>
    <t>25q710103193</t>
  </si>
  <si>
    <t>王天宇</t>
  </si>
  <si>
    <t>25q710103194</t>
  </si>
  <si>
    <t>王熙元</t>
  </si>
  <si>
    <t>25q710103243</t>
  </si>
  <si>
    <t>王胤丞</t>
  </si>
  <si>
    <t>25q710103167</t>
  </si>
  <si>
    <t>王钰博</t>
  </si>
  <si>
    <t>25q710103166</t>
  </si>
  <si>
    <t>文翰</t>
  </si>
  <si>
    <t>25q710103272</t>
  </si>
  <si>
    <t>文泽宇</t>
  </si>
  <si>
    <t>25q710103182</t>
  </si>
  <si>
    <t>吴昊</t>
  </si>
  <si>
    <t>25q710103187</t>
  </si>
  <si>
    <t>徐钞</t>
  </si>
  <si>
    <t>25q710103274</t>
  </si>
  <si>
    <t>徐蝶</t>
  </si>
  <si>
    <t>25q710103198</t>
  </si>
  <si>
    <t>徐林梅</t>
  </si>
  <si>
    <t>25q740101014</t>
  </si>
  <si>
    <t>徐子轩</t>
  </si>
  <si>
    <t>25q710103195</t>
  </si>
  <si>
    <t>杨明博</t>
  </si>
  <si>
    <t>25q710103204</t>
  </si>
  <si>
    <t>杨宇涵</t>
  </si>
  <si>
    <t>25q710103174</t>
  </si>
  <si>
    <t>喻方虹</t>
  </si>
  <si>
    <t>25q710103263</t>
  </si>
  <si>
    <t>张建豪</t>
  </si>
  <si>
    <t>25q710103186</t>
  </si>
  <si>
    <t>章美玲</t>
  </si>
  <si>
    <t>25q710201157</t>
  </si>
  <si>
    <t>赵乐帆</t>
  </si>
  <si>
    <t>赵文涛</t>
  </si>
  <si>
    <t>25q710103184</t>
  </si>
  <si>
    <t>周士杰</t>
  </si>
  <si>
    <t>25q660103084</t>
  </si>
  <si>
    <t>朱开洪</t>
  </si>
  <si>
    <t>25q710103203</t>
  </si>
  <si>
    <t>朱天祺</t>
  </si>
  <si>
    <t>25q710103353</t>
  </si>
  <si>
    <t>蔡嘉浩</t>
  </si>
  <si>
    <t>25q710103011</t>
  </si>
  <si>
    <t>曹予涵</t>
  </si>
  <si>
    <t>25q710103024</t>
  </si>
  <si>
    <t>曾海涛</t>
  </si>
  <si>
    <t>25q710103045</t>
  </si>
  <si>
    <t>车羽馨</t>
  </si>
  <si>
    <t>25q710103063</t>
  </si>
  <si>
    <t>陈玖霖</t>
  </si>
  <si>
    <t>25q710103031</t>
  </si>
  <si>
    <t>陈禹涵</t>
  </si>
  <si>
    <t>25q710103012</t>
  </si>
  <si>
    <t>丁宇霖</t>
  </si>
  <si>
    <t>25q710103040</t>
  </si>
  <si>
    <t>费正源</t>
  </si>
  <si>
    <t>25q710103018</t>
  </si>
  <si>
    <t>冯珺菲</t>
  </si>
  <si>
    <t>25q710103010</t>
  </si>
  <si>
    <t>冯岚</t>
  </si>
  <si>
    <t>25q710103052</t>
  </si>
  <si>
    <t>付雅兴</t>
  </si>
  <si>
    <t>25q710103057</t>
  </si>
  <si>
    <t>干舒雅</t>
  </si>
  <si>
    <t>25q710103064</t>
  </si>
  <si>
    <t>何思成</t>
  </si>
  <si>
    <t>25q710103035</t>
  </si>
  <si>
    <t>何雨萱</t>
  </si>
  <si>
    <t>25q710103053</t>
  </si>
  <si>
    <t>侯崇伟</t>
  </si>
  <si>
    <t>25q710103038</t>
  </si>
  <si>
    <t>胡宇晨</t>
  </si>
  <si>
    <t>25q710103039</t>
  </si>
  <si>
    <t>黄楚云</t>
  </si>
  <si>
    <t>25q710103051</t>
  </si>
  <si>
    <t>黄雨婷</t>
  </si>
  <si>
    <t>25q710103056</t>
  </si>
  <si>
    <t>蒋瑞杰</t>
  </si>
  <si>
    <t>25q710103352</t>
  </si>
  <si>
    <t>雷胡睿</t>
  </si>
  <si>
    <t>25q710103003</t>
  </si>
  <si>
    <t>李傲</t>
  </si>
  <si>
    <t>25q710103037</t>
  </si>
  <si>
    <t>李斌</t>
  </si>
  <si>
    <t>25q710103030</t>
  </si>
  <si>
    <t>李成涛</t>
  </si>
  <si>
    <t>25q710103044</t>
  </si>
  <si>
    <t>李峻熙</t>
  </si>
  <si>
    <t>25q710103013</t>
  </si>
  <si>
    <t>李添贵</t>
  </si>
  <si>
    <t>25q710201155</t>
  </si>
  <si>
    <t>李威</t>
  </si>
  <si>
    <t>25q710103005</t>
  </si>
  <si>
    <t>李星宇</t>
  </si>
  <si>
    <t>25q710103016</t>
  </si>
  <si>
    <t>李梓源</t>
  </si>
  <si>
    <t>25q710103354</t>
  </si>
  <si>
    <t>刘崎序</t>
  </si>
  <si>
    <t>25q710103034</t>
  </si>
  <si>
    <t>刘洋</t>
  </si>
  <si>
    <t>25q710103028</t>
  </si>
  <si>
    <t>刘耀午</t>
  </si>
  <si>
    <t>25q710103019</t>
  </si>
  <si>
    <t>刘永泽</t>
  </si>
  <si>
    <t>25q710103023</t>
  </si>
  <si>
    <t>刘梓岚</t>
  </si>
  <si>
    <t>25q710103357</t>
  </si>
  <si>
    <t>卢俊林</t>
  </si>
  <si>
    <t>25q710103020</t>
  </si>
  <si>
    <t>罗怀豫</t>
  </si>
  <si>
    <t>25q710103007</t>
  </si>
  <si>
    <t>毛守毅</t>
  </si>
  <si>
    <t>25q710103043</t>
  </si>
  <si>
    <t>毛永顺</t>
  </si>
  <si>
    <t>25q710103014</t>
  </si>
  <si>
    <t>牟燕</t>
  </si>
  <si>
    <t>25q710103055</t>
  </si>
  <si>
    <t>欧阳</t>
  </si>
  <si>
    <t>25q710103042</t>
  </si>
  <si>
    <t>彭雨怡</t>
  </si>
  <si>
    <t>祁健文</t>
  </si>
  <si>
    <t>25q710103036</t>
  </si>
  <si>
    <t>邱含宇</t>
  </si>
  <si>
    <t>25q710103015</t>
  </si>
  <si>
    <t>任雅坤</t>
  </si>
  <si>
    <t>25q710103026</t>
  </si>
  <si>
    <t>宋晨希</t>
  </si>
  <si>
    <t>25q710103054</t>
  </si>
  <si>
    <t>汪盼</t>
  </si>
  <si>
    <t>25q710103061</t>
  </si>
  <si>
    <t>王浩轩</t>
  </si>
  <si>
    <t>25q710103046</t>
  </si>
  <si>
    <t>王浩艺</t>
  </si>
  <si>
    <t>25q710103065</t>
  </si>
  <si>
    <t>王淏林</t>
  </si>
  <si>
    <t>25q710103002</t>
  </si>
  <si>
    <t>王家亮</t>
  </si>
  <si>
    <t>25q710103017</t>
  </si>
  <si>
    <t>王璟陶</t>
  </si>
  <si>
    <t>25q710103022</t>
  </si>
  <si>
    <t>王诗云</t>
  </si>
  <si>
    <t>25q710103008</t>
  </si>
  <si>
    <t>王伟霖</t>
  </si>
  <si>
    <t>25q710103049</t>
  </si>
  <si>
    <t>王馨蕊</t>
  </si>
  <si>
    <t>25q710103058</t>
  </si>
  <si>
    <t>王钰娇</t>
  </si>
  <si>
    <t>25q710103059</t>
  </si>
  <si>
    <t>伍泓欣</t>
  </si>
  <si>
    <t>25q710103047</t>
  </si>
  <si>
    <t>杨可涵</t>
  </si>
  <si>
    <t>25q710103009</t>
  </si>
  <si>
    <t>杨天玉</t>
  </si>
  <si>
    <t>25q710103041</t>
  </si>
  <si>
    <t>杨毅</t>
  </si>
  <si>
    <t>25q710103033</t>
  </si>
  <si>
    <t>叶艺润</t>
  </si>
  <si>
    <t>25q710103027</t>
  </si>
  <si>
    <t>叶云箫</t>
  </si>
  <si>
    <t>25q770101021</t>
  </si>
  <si>
    <t>余浩明</t>
  </si>
  <si>
    <t>25q710103021</t>
  </si>
  <si>
    <t>余前毅</t>
  </si>
  <si>
    <t>25q710103050</t>
  </si>
  <si>
    <t>张涵松</t>
  </si>
  <si>
    <t>25q710103006</t>
  </si>
  <si>
    <t>张译心</t>
  </si>
  <si>
    <t>25q710103062</t>
  </si>
  <si>
    <t>章梦溪</t>
  </si>
  <si>
    <t>25q710103048</t>
  </si>
  <si>
    <t>赵鹏</t>
  </si>
  <si>
    <t>25q710103004</t>
  </si>
  <si>
    <t>郑戴梦</t>
  </si>
  <si>
    <t>25q710103060</t>
  </si>
  <si>
    <t>郑熊波</t>
  </si>
  <si>
    <t>25q710103029</t>
  </si>
  <si>
    <t>郑雅瑄</t>
  </si>
  <si>
    <t>25q710103351</t>
  </si>
  <si>
    <t>周俊杰</t>
  </si>
  <si>
    <t>25q710103032</t>
  </si>
  <si>
    <t>周磊</t>
  </si>
  <si>
    <t>25q710103001</t>
  </si>
  <si>
    <t>周宇航</t>
  </si>
  <si>
    <t>25q710103025</t>
  </si>
  <si>
    <t>白懿轩</t>
  </si>
  <si>
    <t>25q710103254</t>
  </si>
  <si>
    <t>曹清华</t>
  </si>
  <si>
    <t>25q710103264</t>
  </si>
  <si>
    <t>曹思婷</t>
  </si>
  <si>
    <t>25q710103237</t>
  </si>
  <si>
    <t>曾宇森</t>
  </si>
  <si>
    <t>25q710103286</t>
  </si>
  <si>
    <t>25q710103224</t>
  </si>
  <si>
    <t>陈祉函</t>
  </si>
  <si>
    <t>25q710103234</t>
  </si>
  <si>
    <t>邓宋宏</t>
  </si>
  <si>
    <t>25q710103265</t>
  </si>
  <si>
    <t>董洁</t>
  </si>
  <si>
    <t>25q710103266</t>
  </si>
  <si>
    <t>樊宇杰</t>
  </si>
  <si>
    <t>25q710103256</t>
  </si>
  <si>
    <t>冯俊棚</t>
  </si>
  <si>
    <t>25q710103240</t>
  </si>
  <si>
    <t>冯裕翔</t>
  </si>
  <si>
    <t>25q710103246</t>
  </si>
  <si>
    <t>付婷钰</t>
  </si>
  <si>
    <t>25q710103236</t>
  </si>
  <si>
    <t>甘依玲</t>
  </si>
  <si>
    <t>25q710103284</t>
  </si>
  <si>
    <t>胡宇婕</t>
  </si>
  <si>
    <t>25q710103268</t>
  </si>
  <si>
    <t>黄萁菲</t>
  </si>
  <si>
    <t>黄琪胜</t>
  </si>
  <si>
    <t>25q710103260</t>
  </si>
  <si>
    <t>黄鑫宇</t>
  </si>
  <si>
    <t>25q710201565</t>
  </si>
  <si>
    <t>黄岩彬</t>
  </si>
  <si>
    <t>25q710103225</t>
  </si>
  <si>
    <t>黄毅</t>
  </si>
  <si>
    <t>25q710201556</t>
  </si>
  <si>
    <t>黄钰锴</t>
  </si>
  <si>
    <t>25q710103143</t>
  </si>
  <si>
    <t>姜宇晨</t>
  </si>
  <si>
    <t>25q710103255</t>
  </si>
  <si>
    <t>兰天宇</t>
  </si>
  <si>
    <t>25q710103259</t>
  </si>
  <si>
    <t>李慧</t>
  </si>
  <si>
    <t>25q710103250</t>
  </si>
  <si>
    <t>李茂熙</t>
  </si>
  <si>
    <t>25q710103232</t>
  </si>
  <si>
    <t>李思鸿</t>
  </si>
  <si>
    <t>25q710103247</t>
  </si>
  <si>
    <t>李紫仪</t>
  </si>
  <si>
    <t>25q710103258</t>
  </si>
  <si>
    <t>凌海情</t>
  </si>
  <si>
    <t>25q710103238</t>
  </si>
  <si>
    <t>刘露珠</t>
  </si>
  <si>
    <t>25q710103241</t>
  </si>
  <si>
    <t>刘一凡</t>
  </si>
  <si>
    <t>25q710103285</t>
  </si>
  <si>
    <t>卢彦希</t>
  </si>
  <si>
    <t>25q710103157</t>
  </si>
  <si>
    <t>罗楚涵</t>
  </si>
  <si>
    <t>25q710103293</t>
  </si>
  <si>
    <t>罗凤英</t>
  </si>
  <si>
    <t>25q710103235</t>
  </si>
  <si>
    <t>罗虎</t>
  </si>
  <si>
    <t>25q710103239</t>
  </si>
  <si>
    <t>罗诗梦</t>
  </si>
  <si>
    <t>25q710103270</t>
  </si>
  <si>
    <t>马瑞</t>
  </si>
  <si>
    <t>25q710103249</t>
  </si>
  <si>
    <t>彭成好</t>
  </si>
  <si>
    <t>25q710103227</t>
  </si>
  <si>
    <t>彭莘豪</t>
  </si>
  <si>
    <t>25q710103231</t>
  </si>
  <si>
    <t>孙琳</t>
  </si>
  <si>
    <t>25q710103244</t>
  </si>
  <si>
    <t>谭邦宏</t>
  </si>
  <si>
    <t>25q710103304</t>
  </si>
  <si>
    <t>王永庆</t>
  </si>
  <si>
    <t>25q710103248</t>
  </si>
  <si>
    <t>王子文</t>
  </si>
  <si>
    <t>25q710103223</t>
  </si>
  <si>
    <t>文天宇</t>
  </si>
  <si>
    <t>25q710103261</t>
  </si>
  <si>
    <t>吴春池</t>
  </si>
  <si>
    <t>25q710103251</t>
  </si>
  <si>
    <t>吴松霖</t>
  </si>
  <si>
    <t>25q710103273</t>
  </si>
  <si>
    <t>谢旭荛</t>
  </si>
  <si>
    <t>25q710103245</t>
  </si>
  <si>
    <t>徐若萱</t>
  </si>
  <si>
    <t>24q710103315</t>
  </si>
  <si>
    <t>徐梓瑜</t>
  </si>
  <si>
    <t>25q710103279</t>
  </si>
  <si>
    <t>张莉</t>
  </si>
  <si>
    <t>25q710103253</t>
  </si>
  <si>
    <t>张梦辉</t>
  </si>
  <si>
    <t>25q710103230</t>
  </si>
  <si>
    <t>张饶意</t>
  </si>
  <si>
    <t>25q710103289</t>
  </si>
  <si>
    <t>张维家</t>
  </si>
  <si>
    <t>20250719</t>
  </si>
  <si>
    <t>张玉霖</t>
  </si>
  <si>
    <t>25q710103226</t>
  </si>
  <si>
    <t>张梓林</t>
  </si>
  <si>
    <t>25q710103292</t>
  </si>
  <si>
    <t>赵诗雅</t>
  </si>
  <si>
    <t>25q710103278</t>
  </si>
  <si>
    <t>郑洋</t>
  </si>
  <si>
    <t>25q710103229</t>
  </si>
  <si>
    <t>周思呈</t>
  </si>
  <si>
    <t>25q710103252</t>
  </si>
  <si>
    <t>祝浩城</t>
  </si>
  <si>
    <t>25q710201568</t>
  </si>
  <si>
    <t>白金</t>
  </si>
  <si>
    <t>25q710103124</t>
  </si>
  <si>
    <t>丁锐</t>
  </si>
  <si>
    <t>25q710103154</t>
  </si>
  <si>
    <t>冯紫晗</t>
  </si>
  <si>
    <t>25q710103152</t>
  </si>
  <si>
    <t>甘宇涵</t>
  </si>
  <si>
    <t>25q710103126</t>
  </si>
  <si>
    <t>龚爱淋</t>
  </si>
  <si>
    <t>25q710103153</t>
  </si>
  <si>
    <t>何博屹</t>
  </si>
  <si>
    <t>25q710103121</t>
  </si>
  <si>
    <t>何耀祖</t>
  </si>
  <si>
    <t>25q710103142</t>
  </si>
  <si>
    <t>何语晨</t>
  </si>
  <si>
    <t>25q710103149</t>
  </si>
  <si>
    <t>黄浩然</t>
  </si>
  <si>
    <t>25q710103122</t>
  </si>
  <si>
    <t>黄子轩</t>
  </si>
  <si>
    <t>25q710103132</t>
  </si>
  <si>
    <t>黄紫萱</t>
  </si>
  <si>
    <t>25q710103161</t>
  </si>
  <si>
    <t>李瑞杰</t>
  </si>
  <si>
    <t>25q710103131</t>
  </si>
  <si>
    <t>李思成</t>
  </si>
  <si>
    <t>25q710103159</t>
  </si>
  <si>
    <t>刘岚</t>
  </si>
  <si>
    <t>25q710103138</t>
  </si>
  <si>
    <t>刘龙海</t>
  </si>
  <si>
    <t>25q710103158</t>
  </si>
  <si>
    <t>刘诗雨</t>
  </si>
  <si>
    <t>25q710103123</t>
  </si>
  <si>
    <t>罗茂棋</t>
  </si>
  <si>
    <t>25q710103155</t>
  </si>
  <si>
    <t>罗思苒</t>
  </si>
  <si>
    <t>25q710103119</t>
  </si>
  <si>
    <t>吕文涛</t>
  </si>
  <si>
    <t>25q710103136</t>
  </si>
  <si>
    <t>吕芷妍</t>
  </si>
  <si>
    <t>25q710103151</t>
  </si>
  <si>
    <t>宋唐贤</t>
  </si>
  <si>
    <t>25q710103156</t>
  </si>
  <si>
    <t>王炳菻</t>
  </si>
  <si>
    <t>25q710103139</t>
  </si>
  <si>
    <t>王柯宇</t>
  </si>
  <si>
    <t>20250702</t>
  </si>
  <si>
    <t>王科淇</t>
  </si>
  <si>
    <t>25q710103120</t>
  </si>
  <si>
    <t>王茂萍</t>
  </si>
  <si>
    <t>25q710201560</t>
  </si>
  <si>
    <t>王若惜</t>
  </si>
  <si>
    <t>25q710103133</t>
  </si>
  <si>
    <t>王学庆</t>
  </si>
  <si>
    <t>25q710103163</t>
  </si>
  <si>
    <t>王雅馨</t>
  </si>
  <si>
    <t>25q710103148</t>
  </si>
  <si>
    <t>25q710103118</t>
  </si>
  <si>
    <t>鲜思孟</t>
  </si>
  <si>
    <t>25q710103150</t>
  </si>
  <si>
    <t>鲜王博熙</t>
  </si>
  <si>
    <t>25q710103137</t>
  </si>
  <si>
    <t>鲜羽霖</t>
  </si>
  <si>
    <t>25q710103141</t>
  </si>
  <si>
    <t>谢思成</t>
  </si>
  <si>
    <t>25q710103128</t>
  </si>
  <si>
    <t>熊琨</t>
  </si>
  <si>
    <t>25q710103127</t>
  </si>
  <si>
    <t>许晨析</t>
  </si>
  <si>
    <t>25q710103135</t>
  </si>
  <si>
    <t>许林海</t>
  </si>
  <si>
    <t>25q710103125</t>
  </si>
  <si>
    <t>杨檬玮</t>
  </si>
  <si>
    <t>25q710103162</t>
  </si>
  <si>
    <t>杨宇星</t>
  </si>
  <si>
    <t>20250222</t>
  </si>
  <si>
    <t>杨子一</t>
  </si>
  <si>
    <t>25q710103134</t>
  </si>
  <si>
    <t>姚刘杰</t>
  </si>
  <si>
    <t>25q710103130</t>
  </si>
  <si>
    <t>张宏博</t>
  </si>
  <si>
    <t>25q710103140</t>
  </si>
  <si>
    <t>张宇豪</t>
  </si>
  <si>
    <t>25q710103129</t>
  </si>
  <si>
    <t>张梓彤</t>
  </si>
  <si>
    <t>25q710103144</t>
  </si>
  <si>
    <t>办公软件应用</t>
  </si>
  <si>
    <t>信息技术应用基础</t>
  </si>
  <si>
    <t>曹逸辰</t>
  </si>
  <si>
    <t>25q710201054</t>
  </si>
  <si>
    <t>曹语涵</t>
  </si>
  <si>
    <t>25q710201210</t>
  </si>
  <si>
    <t>曾艳梅</t>
  </si>
  <si>
    <t>25q710201230</t>
  </si>
  <si>
    <t>曾宇琦</t>
  </si>
  <si>
    <t>25q710201184</t>
  </si>
  <si>
    <t>陈洪翔</t>
  </si>
  <si>
    <t>25q710201205</t>
  </si>
  <si>
    <t>陈靖豪 </t>
  </si>
  <si>
    <t>陈林涛</t>
  </si>
  <si>
    <t>25q710201195</t>
  </si>
  <si>
    <t>陈心蝶</t>
  </si>
  <si>
    <t>25q710201194</t>
  </si>
  <si>
    <t>陈艳琳</t>
  </si>
  <si>
    <t>25q710201179</t>
  </si>
  <si>
    <t>陈煜杰</t>
  </si>
  <si>
    <t>24q710201007</t>
  </si>
  <si>
    <t>底诗琦</t>
  </si>
  <si>
    <t>25q710201181</t>
  </si>
  <si>
    <t>冯梦苒</t>
  </si>
  <si>
    <t>25q710201226</t>
  </si>
  <si>
    <t>龚晓菲</t>
  </si>
  <si>
    <t>25q710201062</t>
  </si>
  <si>
    <t>何荟兴</t>
  </si>
  <si>
    <t>25q710201204</t>
  </si>
  <si>
    <t>何欣瑞</t>
  </si>
  <si>
    <t>25q710201190</t>
  </si>
  <si>
    <t>何仲龄</t>
  </si>
  <si>
    <t>25q710201066</t>
  </si>
  <si>
    <t>黄嘉俊</t>
  </si>
  <si>
    <t>25q710201220</t>
  </si>
  <si>
    <t>黄轲诚</t>
  </si>
  <si>
    <t>25q710201068</t>
  </si>
  <si>
    <t>黄瑞</t>
  </si>
  <si>
    <t>25q710201244</t>
  </si>
  <si>
    <t>李昊</t>
  </si>
  <si>
    <t>25q710201222</t>
  </si>
  <si>
    <t>李会宁</t>
  </si>
  <si>
    <t>25q710201183</t>
  </si>
  <si>
    <t>李晓美</t>
  </si>
  <si>
    <t>25q710201197</t>
  </si>
  <si>
    <t>李欣蕾</t>
  </si>
  <si>
    <t>25q710201186</t>
  </si>
  <si>
    <t>李宇航</t>
  </si>
  <si>
    <t>25q710201221</t>
  </si>
  <si>
    <t>凌星铖</t>
  </si>
  <si>
    <t>25q710201228</t>
  </si>
  <si>
    <t>刘浩</t>
  </si>
  <si>
    <t>25q710201229</t>
  </si>
  <si>
    <t>刘俊熙</t>
  </si>
  <si>
    <t>25q710201191</t>
  </si>
  <si>
    <t>刘峻巧</t>
  </si>
  <si>
    <t>25q710201215</t>
  </si>
  <si>
    <t>刘珊</t>
  </si>
  <si>
    <t>25q710201236</t>
  </si>
  <si>
    <t>龙依晨</t>
  </si>
  <si>
    <t>25q710201185</t>
  </si>
  <si>
    <t>罗嘉欣</t>
  </si>
  <si>
    <t>25q710201207</t>
  </si>
  <si>
    <t>罗奇</t>
  </si>
  <si>
    <t>25q710201196</t>
  </si>
  <si>
    <t>罗思瑞</t>
  </si>
  <si>
    <t>25q710201201</t>
  </si>
  <si>
    <t>罗星浩</t>
  </si>
  <si>
    <t>25q710201245</t>
  </si>
  <si>
    <t>罗云翔</t>
  </si>
  <si>
    <t>25q710201078</t>
  </si>
  <si>
    <t>穆杨</t>
  </si>
  <si>
    <t>25q710201235</t>
  </si>
  <si>
    <t>彭成洪</t>
  </si>
  <si>
    <t>25q710201081</t>
  </si>
  <si>
    <t>宋慧慈</t>
  </si>
  <si>
    <t>25q710201189</t>
  </si>
  <si>
    <t>宋慧敏</t>
  </si>
  <si>
    <t>25q710201213</t>
  </si>
  <si>
    <t>唐倩</t>
  </si>
  <si>
    <t>25q710201087</t>
  </si>
  <si>
    <t>田力博</t>
  </si>
  <si>
    <t>25q710201089</t>
  </si>
  <si>
    <t>王敏</t>
  </si>
  <si>
    <t>25q740101019</t>
  </si>
  <si>
    <t>王思语</t>
  </si>
  <si>
    <t>25q710201198</t>
  </si>
  <si>
    <t>王欣莹</t>
  </si>
  <si>
    <t>25q710201182</t>
  </si>
  <si>
    <t>王治英</t>
  </si>
  <si>
    <t>25q710201187</t>
  </si>
  <si>
    <t>文琳</t>
  </si>
  <si>
    <t>25q710201203</t>
  </si>
  <si>
    <t xml:space="preserve">34.52
</t>
  </si>
  <si>
    <t>吴文槟</t>
  </si>
  <si>
    <t>25q710201206</t>
  </si>
  <si>
    <t>鲜开熠</t>
  </si>
  <si>
    <t>25q710201231</t>
  </si>
  <si>
    <t>谢宇杰</t>
  </si>
  <si>
    <t>25q710201241</t>
  </si>
  <si>
    <t>徐浩乐</t>
  </si>
  <si>
    <t>25q770303024</t>
  </si>
  <si>
    <t>徐骏杰</t>
  </si>
  <si>
    <t>25q710103219</t>
  </si>
  <si>
    <t>徐墁淑</t>
  </si>
  <si>
    <t>25q710201209</t>
  </si>
  <si>
    <t>杨可欣</t>
  </si>
  <si>
    <t>20250312</t>
  </si>
  <si>
    <t>杨世琦</t>
  </si>
  <si>
    <t>25q710201219</t>
  </si>
  <si>
    <t>杨琬婷</t>
  </si>
  <si>
    <t>20250713</t>
  </si>
  <si>
    <t>杨昔瑶</t>
  </si>
  <si>
    <t>25q710201240</t>
  </si>
  <si>
    <t>杨雨萱</t>
  </si>
  <si>
    <t>25q710201217</t>
  </si>
  <si>
    <t>杨玥</t>
  </si>
  <si>
    <t>25q710201193</t>
  </si>
  <si>
    <t>殷紫婷</t>
  </si>
  <si>
    <t>25q710201227</t>
  </si>
  <si>
    <t>尹勇</t>
  </si>
  <si>
    <t>25q710201211</t>
  </si>
  <si>
    <t>詹沛霖</t>
  </si>
  <si>
    <t>25q710201225</t>
  </si>
  <si>
    <t>张梦怡</t>
  </si>
  <si>
    <t>25q710201216</t>
  </si>
  <si>
    <t>张群汶</t>
  </si>
  <si>
    <t>25q710201200</t>
  </si>
  <si>
    <t>张思佳</t>
  </si>
  <si>
    <t>25q710201212</t>
  </si>
  <si>
    <t>张玉琴</t>
  </si>
  <si>
    <t>25q710201202</t>
  </si>
  <si>
    <t>赵竣涵</t>
  </si>
  <si>
    <t>25q770303041</t>
  </si>
  <si>
    <t>赵鑫</t>
  </si>
  <si>
    <t>25q710201188</t>
  </si>
  <si>
    <t>周子木</t>
  </si>
  <si>
    <t>25q710201214</t>
  </si>
  <si>
    <t>祝林</t>
  </si>
  <si>
    <t>25q710201238</t>
  </si>
  <si>
    <t>邹墨轩</t>
  </si>
  <si>
    <t>25q710201239</t>
  </si>
  <si>
    <t>邹雨彤</t>
  </si>
  <si>
    <t>25q710201180</t>
  </si>
  <si>
    <t xml:space="preserve">
</t>
  </si>
  <si>
    <t>陈彬炜</t>
  </si>
  <si>
    <t>25q710103287</t>
  </si>
  <si>
    <t>陈翰霖</t>
  </si>
  <si>
    <t>25q710201126</t>
  </si>
  <si>
    <t>陈俊麒</t>
  </si>
  <si>
    <t>25q710201055</t>
  </si>
  <si>
    <t>陈锟</t>
  </si>
  <si>
    <t>25q710201167</t>
  </si>
  <si>
    <t>陈孟瑶</t>
  </si>
  <si>
    <t>25q710201142</t>
  </si>
  <si>
    <t>陈瑞洋</t>
  </si>
  <si>
    <t>25q770303025</t>
  </si>
  <si>
    <t>陈心语</t>
  </si>
  <si>
    <t>25q710201136</t>
  </si>
  <si>
    <t>陈炫</t>
  </si>
  <si>
    <t>25q710201133</t>
  </si>
  <si>
    <t>底涵曦</t>
  </si>
  <si>
    <t>25q710201174</t>
  </si>
  <si>
    <t>丁思雨</t>
  </si>
  <si>
    <t>25q710201170</t>
  </si>
  <si>
    <t>董峻濠</t>
  </si>
  <si>
    <t>25q710201172</t>
  </si>
  <si>
    <t>樊诗娇</t>
  </si>
  <si>
    <t>25q710201138</t>
  </si>
  <si>
    <t>符美婷</t>
  </si>
  <si>
    <t>25q710201119</t>
  </si>
  <si>
    <t>何贵鑫</t>
  </si>
  <si>
    <t>25q710103267</t>
  </si>
  <si>
    <t>何一帆</t>
  </si>
  <si>
    <t>25q710201158</t>
  </si>
  <si>
    <t>侯佳怡</t>
  </si>
  <si>
    <t>25q710201164</t>
  </si>
  <si>
    <t>胡贾琦</t>
  </si>
  <si>
    <t>25q710201178</t>
  </si>
  <si>
    <t>黄玲</t>
  </si>
  <si>
    <t>黄森磊</t>
  </si>
  <si>
    <t>25q710201131</t>
  </si>
  <si>
    <t>黄宇诗</t>
  </si>
  <si>
    <t>25q710201173</t>
  </si>
  <si>
    <t>简晨曦</t>
  </si>
  <si>
    <t>25q710103288</t>
  </si>
  <si>
    <t>金鑫磊</t>
  </si>
  <si>
    <t>25q710201171</t>
  </si>
  <si>
    <t>李航宇</t>
  </si>
  <si>
    <t>25q710201137</t>
  </si>
  <si>
    <t>李诗杨</t>
  </si>
  <si>
    <t>25q710201130</t>
  </si>
  <si>
    <t>李施琪</t>
  </si>
  <si>
    <t>25q710201176</t>
  </si>
  <si>
    <t>李想</t>
  </si>
  <si>
    <t>25q710201120</t>
  </si>
  <si>
    <t>李欣然</t>
  </si>
  <si>
    <t>25q710201134</t>
  </si>
  <si>
    <t>李忆成</t>
  </si>
  <si>
    <t>25q710201153</t>
  </si>
  <si>
    <t>卢宇杰</t>
  </si>
  <si>
    <t>25q710201156</t>
  </si>
  <si>
    <t>鲁馨怡</t>
  </si>
  <si>
    <t>25q710201129</t>
  </si>
  <si>
    <t>罗紫萱</t>
  </si>
  <si>
    <t>25q710201144</t>
  </si>
  <si>
    <t>马淋潇</t>
  </si>
  <si>
    <t>25q710201152</t>
  </si>
  <si>
    <t>彭小峰</t>
  </si>
  <si>
    <t>25q710201175</t>
  </si>
  <si>
    <t>饶心悦</t>
  </si>
  <si>
    <t>25q710201166</t>
  </si>
  <si>
    <t>王贝</t>
  </si>
  <si>
    <t>25q710201561</t>
  </si>
  <si>
    <t>王加乐</t>
  </si>
  <si>
    <t>25q710201162</t>
  </si>
  <si>
    <t>王琪玮</t>
  </si>
  <si>
    <t>25q710201125</t>
  </si>
  <si>
    <t>王思晴</t>
  </si>
  <si>
    <t>25q710201092</t>
  </si>
  <si>
    <t>王伟祺</t>
  </si>
  <si>
    <t>25q710201124</t>
  </si>
  <si>
    <t>王熙雯</t>
  </si>
  <si>
    <t>25q710201139</t>
  </si>
  <si>
    <t>王乙霖</t>
  </si>
  <si>
    <t>25q710103291</t>
  </si>
  <si>
    <t>吴非操</t>
  </si>
  <si>
    <t>25q710201151</t>
  </si>
  <si>
    <t>吴俣</t>
  </si>
  <si>
    <t>25q710201094</t>
  </si>
  <si>
    <t>伍柯澳</t>
  </si>
  <si>
    <t>25q710201150</t>
  </si>
  <si>
    <t>徐王涛</t>
  </si>
  <si>
    <t>25q710201163</t>
  </si>
  <si>
    <t>徐雅红</t>
  </si>
  <si>
    <t>25q710201147</t>
  </si>
  <si>
    <t>许恒歌</t>
  </si>
  <si>
    <t>25q710103275</t>
  </si>
  <si>
    <t>严懿宸</t>
  </si>
  <si>
    <t>25q710201099</t>
  </si>
  <si>
    <t>杨文琴</t>
  </si>
  <si>
    <t>25q710201145</t>
  </si>
  <si>
    <t>杨曦</t>
  </si>
  <si>
    <t>25q710201154</t>
  </si>
  <si>
    <t>尹淅瑶</t>
  </si>
  <si>
    <t>25q710201123</t>
  </si>
  <si>
    <t>余爱杨</t>
  </si>
  <si>
    <t>25q710201140</t>
  </si>
  <si>
    <t>余承熹</t>
  </si>
  <si>
    <t>25q710201121</t>
  </si>
  <si>
    <t>余东洋</t>
  </si>
  <si>
    <t>25q710201148</t>
  </si>
  <si>
    <t>余富成</t>
  </si>
  <si>
    <t>25q710201161</t>
  </si>
  <si>
    <t>余静</t>
  </si>
  <si>
    <t>25q710201146</t>
  </si>
  <si>
    <t>袁宇薇</t>
  </si>
  <si>
    <t>25q710201122</t>
  </si>
  <si>
    <t>袁长帅</t>
  </si>
  <si>
    <t>25q770303007</t>
  </si>
  <si>
    <t>25q710201127</t>
  </si>
  <si>
    <t>张猛淋</t>
  </si>
  <si>
    <t>25q710201107</t>
  </si>
  <si>
    <t>张诗敏</t>
  </si>
  <si>
    <t>25q710201149</t>
  </si>
  <si>
    <t>张诗琪</t>
  </si>
  <si>
    <t>25q710201143</t>
  </si>
  <si>
    <t>赵骧羽</t>
  </si>
  <si>
    <t>25q710201110</t>
  </si>
  <si>
    <t>赵雨轩</t>
  </si>
  <si>
    <t>25q710201132</t>
  </si>
  <si>
    <t>赵苑</t>
  </si>
  <si>
    <t>25q710201159</t>
  </si>
  <si>
    <t>朱悦成</t>
  </si>
  <si>
    <t>25q710201116</t>
  </si>
  <si>
    <t>祝元璋</t>
  </si>
  <si>
    <t>25q710201128</t>
  </si>
  <si>
    <t>曾家苗</t>
  </si>
  <si>
    <t>25q710201117</t>
  </si>
  <si>
    <t>曾欣雨</t>
  </si>
  <si>
    <t>25q710201118</t>
  </si>
  <si>
    <t>陈雅薇</t>
  </si>
  <si>
    <t>25q710201056</t>
  </si>
  <si>
    <t>程澳蕾</t>
  </si>
  <si>
    <t>25q710201057</t>
  </si>
  <si>
    <t>杜萧雅</t>
  </si>
  <si>
    <t>25q710201058</t>
  </si>
  <si>
    <t>冯韵涵</t>
  </si>
  <si>
    <t>25q710201059</t>
  </si>
  <si>
    <t>付海岭</t>
  </si>
  <si>
    <t>25q710201060</t>
  </si>
  <si>
    <t>龚宁</t>
  </si>
  <si>
    <t>25q710201061</t>
  </si>
  <si>
    <t>郭锦瑶</t>
  </si>
  <si>
    <t>24q710103189</t>
  </si>
  <si>
    <t>郭柳盛</t>
  </si>
  <si>
    <t>25q710201063</t>
  </si>
  <si>
    <t>韩雨娇</t>
  </si>
  <si>
    <t>25q710201064</t>
  </si>
  <si>
    <t>何荟颖</t>
  </si>
  <si>
    <t>25q710201065</t>
  </si>
  <si>
    <t>侯雅琴</t>
  </si>
  <si>
    <t>25q710201067</t>
  </si>
  <si>
    <t>黄玉柳</t>
  </si>
  <si>
    <t>25q710201069</t>
  </si>
  <si>
    <t>蒋天豪</t>
  </si>
  <si>
    <t>25q660103097</t>
  </si>
  <si>
    <t>李晨曦</t>
  </si>
  <si>
    <t>25q710103146</t>
  </si>
  <si>
    <t>李璟洋</t>
  </si>
  <si>
    <t>25q710201070</t>
  </si>
  <si>
    <t>李璐邑</t>
  </si>
  <si>
    <t>25q710201071</t>
  </si>
  <si>
    <t>25q710201559</t>
  </si>
  <si>
    <t>李雨宏</t>
  </si>
  <si>
    <t>25q710201072</t>
  </si>
  <si>
    <t>刘红玫</t>
  </si>
  <si>
    <t>25q710201073</t>
  </si>
  <si>
    <t>刘红艳</t>
  </si>
  <si>
    <t>25q710201074</t>
  </si>
  <si>
    <t>刘晓荟</t>
  </si>
  <si>
    <t>25q710201075</t>
  </si>
  <si>
    <t>罗洪望</t>
  </si>
  <si>
    <t>25q710201076</t>
  </si>
  <si>
    <t>罗晓涵</t>
  </si>
  <si>
    <t>25q710201077</t>
  </si>
  <si>
    <t>吕浩宇</t>
  </si>
  <si>
    <t>25q710201079</t>
  </si>
  <si>
    <t>吕思晴</t>
  </si>
  <si>
    <t>25q710201080</t>
  </si>
  <si>
    <t>彭杰浩</t>
  </si>
  <si>
    <t>25q710201082</t>
  </si>
  <si>
    <t>彭宇桐</t>
  </si>
  <si>
    <t>25q710201083</t>
  </si>
  <si>
    <t>沈琦书</t>
  </si>
  <si>
    <t>25q710201084</t>
  </si>
  <si>
    <t>史峻桦</t>
  </si>
  <si>
    <t>25q710201085</t>
  </si>
  <si>
    <t>宋妍雅</t>
  </si>
  <si>
    <t>25q710201086</t>
  </si>
  <si>
    <t>唐若涵</t>
  </si>
  <si>
    <t>25q710201088</t>
  </si>
  <si>
    <t>唐宗奕</t>
  </si>
  <si>
    <t>25q710201090</t>
  </si>
  <si>
    <t>王诗涵</t>
  </si>
  <si>
    <t>25q710201091</t>
  </si>
  <si>
    <t>吴雨霏</t>
  </si>
  <si>
    <t>25q710201093</t>
  </si>
  <si>
    <t>伍曼琦</t>
  </si>
  <si>
    <t>25q710201095</t>
  </si>
  <si>
    <t>伍梓萱</t>
  </si>
  <si>
    <t>24q710201045</t>
  </si>
  <si>
    <t>鲜羽菲</t>
  </si>
  <si>
    <t>25q710201096</t>
  </si>
  <si>
    <t>鲜雨佳</t>
  </si>
  <si>
    <t>25q710201097</t>
  </si>
  <si>
    <t>徐睿彤</t>
  </si>
  <si>
    <t>25q710201098</t>
  </si>
  <si>
    <t>杨鸿玲</t>
  </si>
  <si>
    <t>25q710201100</t>
  </si>
  <si>
    <t>杨雯文</t>
  </si>
  <si>
    <t>25q710201101</t>
  </si>
  <si>
    <t>杨燕茹</t>
  </si>
  <si>
    <t>25q710201102</t>
  </si>
  <si>
    <t>尹林莎</t>
  </si>
  <si>
    <t>25q710201103</t>
  </si>
  <si>
    <t>余沁洨</t>
  </si>
  <si>
    <t>25q710201104</t>
  </si>
  <si>
    <t>余思瑶</t>
  </si>
  <si>
    <t>25q710201105</t>
  </si>
  <si>
    <t>张景文</t>
  </si>
  <si>
    <t>25q710201106</t>
  </si>
  <si>
    <t>张筱芮</t>
  </si>
  <si>
    <t>25q710201108</t>
  </si>
  <si>
    <t>张欣欣</t>
  </si>
  <si>
    <t>25q710201109</t>
  </si>
  <si>
    <t>赵雨馨</t>
  </si>
  <si>
    <t>25q710201111</t>
  </si>
  <si>
    <t>周诗琪</t>
  </si>
  <si>
    <t>25q710201112</t>
  </si>
  <si>
    <t>周希</t>
  </si>
  <si>
    <t>25q710201113</t>
  </si>
  <si>
    <t>周芯茹</t>
  </si>
  <si>
    <t>25q710201115</t>
  </si>
  <si>
    <t>周榆涵</t>
  </si>
  <si>
    <t>25q710201557</t>
  </si>
  <si>
    <t>王智雨</t>
  </si>
  <si>
    <t>陈慕涵</t>
  </si>
  <si>
    <t>25q710201041</t>
  </si>
  <si>
    <t>陈怡茹</t>
  </si>
  <si>
    <t>25q710201034</t>
  </si>
  <si>
    <t>陈玉玲</t>
  </si>
  <si>
    <t>25q710201053</t>
  </si>
  <si>
    <t>代彦玲</t>
  </si>
  <si>
    <t>25q710201025</t>
  </si>
  <si>
    <t>底汶静</t>
  </si>
  <si>
    <t>25q710201049</t>
  </si>
  <si>
    <t>丁雅琪</t>
  </si>
  <si>
    <t>25q710201024</t>
  </si>
  <si>
    <t>冯恋夕</t>
  </si>
  <si>
    <t>25q710201029</t>
  </si>
  <si>
    <t>冯小蔓</t>
  </si>
  <si>
    <t>25q710201014</t>
  </si>
  <si>
    <t>官思池</t>
  </si>
  <si>
    <t>25q710201018</t>
  </si>
  <si>
    <t>韩晨夕雅</t>
  </si>
  <si>
    <t>25q710201032</t>
  </si>
  <si>
    <t>何嘉欣</t>
  </si>
  <si>
    <t>25q710201023</t>
  </si>
  <si>
    <t>姜程睿</t>
  </si>
  <si>
    <t>25q710201010</t>
  </si>
  <si>
    <t>姜余涵</t>
  </si>
  <si>
    <t>25q710201038</t>
  </si>
  <si>
    <t>金梦瑶</t>
  </si>
  <si>
    <t>25q710201016</t>
  </si>
  <si>
    <t>雷馨玉</t>
  </si>
  <si>
    <t>25q710201026</t>
  </si>
  <si>
    <t>李大群</t>
  </si>
  <si>
    <t>25q710201027</t>
  </si>
  <si>
    <t>李家棋</t>
  </si>
  <si>
    <t>25q710201002</t>
  </si>
  <si>
    <t>李沁璇</t>
  </si>
  <si>
    <t>25q710201048</t>
  </si>
  <si>
    <t>李芮希</t>
  </si>
  <si>
    <t>25q710201031</t>
  </si>
  <si>
    <t>李若优</t>
  </si>
  <si>
    <t>25q710201043</t>
  </si>
  <si>
    <t>李诗彤</t>
  </si>
  <si>
    <t>25q710201039</t>
  </si>
  <si>
    <t>李诗学</t>
  </si>
  <si>
    <t>25q710201005</t>
  </si>
  <si>
    <t>李心蕊</t>
  </si>
  <si>
    <t>25q710201015</t>
  </si>
  <si>
    <t>李旭</t>
  </si>
  <si>
    <t>25q710201012</t>
  </si>
  <si>
    <t>李政毅</t>
  </si>
  <si>
    <t>25q710201006</t>
  </si>
  <si>
    <t>刘佳敏</t>
  </si>
  <si>
    <t>25q710201033</t>
  </si>
  <si>
    <t>刘金鑫</t>
  </si>
  <si>
    <t>25q710201003</t>
  </si>
  <si>
    <t>刘鑫燕</t>
  </si>
  <si>
    <t>25q710201021</t>
  </si>
  <si>
    <t>彭思琪</t>
  </si>
  <si>
    <t>25q710201044</t>
  </si>
  <si>
    <t>祁浩宇</t>
  </si>
  <si>
    <t>25q710201007</t>
  </si>
  <si>
    <t>饶毅凯</t>
  </si>
  <si>
    <t>25q710201001</t>
  </si>
  <si>
    <t>宋楊</t>
  </si>
  <si>
    <t>25q710201046</t>
  </si>
  <si>
    <t>孙小雨</t>
  </si>
  <si>
    <t>25q710201050</t>
  </si>
  <si>
    <t>唐玉茹</t>
  </si>
  <si>
    <t>25q710201037</t>
  </si>
  <si>
    <t>万国云</t>
  </si>
  <si>
    <t>25q710201009</t>
  </si>
  <si>
    <t>汪家戍</t>
  </si>
  <si>
    <t>汪利芳</t>
  </si>
  <si>
    <t>25q710201030</t>
  </si>
  <si>
    <t>王佳煊</t>
  </si>
  <si>
    <t>25q710201011</t>
  </si>
  <si>
    <t>王露颖</t>
  </si>
  <si>
    <t>25q710201019</t>
  </si>
  <si>
    <t>王宇豪</t>
  </si>
  <si>
    <t>25q710201008</t>
  </si>
  <si>
    <t>王韵焱</t>
  </si>
  <si>
    <t>25q710201035</t>
  </si>
  <si>
    <t>王梓萱</t>
  </si>
  <si>
    <t>25q710201045</t>
  </si>
  <si>
    <t>杨李志</t>
  </si>
  <si>
    <t>25q710201013</t>
  </si>
  <si>
    <t>袁思露</t>
  </si>
  <si>
    <t>25q710201036</t>
  </si>
  <si>
    <t>张芷萱</t>
  </si>
  <si>
    <t>25q710201052</t>
  </si>
  <si>
    <t>赵佳茹</t>
  </si>
  <si>
    <t>25q710201017</t>
  </si>
  <si>
    <t>赵可昕</t>
  </si>
  <si>
    <t>25q710201040</t>
  </si>
  <si>
    <t>钟艾伶</t>
  </si>
  <si>
    <t>25q710201022</t>
  </si>
  <si>
    <t>钟文涛</t>
  </si>
  <si>
    <t>25q710201004</t>
  </si>
  <si>
    <t>周羽燕</t>
  </si>
  <si>
    <t>25q710201028</t>
  </si>
  <si>
    <t>周紫伊</t>
  </si>
  <si>
    <t>25q710201051</t>
  </si>
  <si>
    <t>朱雯慧</t>
  </si>
  <si>
    <t>25q710201020</t>
  </si>
  <si>
    <t>旅游概论</t>
  </si>
  <si>
    <t>陈梦琦</t>
  </si>
  <si>
    <t>25q740101070</t>
  </si>
  <si>
    <t>邓丽朱</t>
  </si>
  <si>
    <t>25q740101008</t>
  </si>
  <si>
    <t>邓雨涵</t>
  </si>
  <si>
    <t>25q740101034</t>
  </si>
  <si>
    <t>龚虎威</t>
  </si>
  <si>
    <t>25q740101009</t>
  </si>
  <si>
    <t>龚欣宇</t>
  </si>
  <si>
    <t>25q740101024</t>
  </si>
  <si>
    <t>龚妍心</t>
  </si>
  <si>
    <t>25q740101010</t>
  </si>
  <si>
    <t>华璐萱</t>
  </si>
  <si>
    <t>25q740101047</t>
  </si>
  <si>
    <t>黄梦佳</t>
  </si>
  <si>
    <t>25q740101011</t>
  </si>
  <si>
    <t>黄琬</t>
  </si>
  <si>
    <t>25q740101013</t>
  </si>
  <si>
    <t>黄志红</t>
  </si>
  <si>
    <t>25q740101044</t>
  </si>
  <si>
    <t>李淏然</t>
  </si>
  <si>
    <t>李思琦</t>
  </si>
  <si>
    <t>25q740101003</t>
  </si>
  <si>
    <t>李宣润</t>
  </si>
  <si>
    <t>25q740101032</t>
  </si>
  <si>
    <t>李阳阳</t>
  </si>
  <si>
    <t>25q740101046</t>
  </si>
  <si>
    <t>李雨轩</t>
  </si>
  <si>
    <t>25q740101037</t>
  </si>
  <si>
    <t>刘思辰</t>
  </si>
  <si>
    <t>25q740101036</t>
  </si>
  <si>
    <t>刘思诗</t>
  </si>
  <si>
    <t>25q740101015</t>
  </si>
  <si>
    <t>刘唐利</t>
  </si>
  <si>
    <t>25q740101041</t>
  </si>
  <si>
    <t>刘欣语</t>
  </si>
  <si>
    <t>24q710103168</t>
  </si>
  <si>
    <t>吕朝欣</t>
  </si>
  <si>
    <t>25q740101030</t>
  </si>
  <si>
    <t>穆号清</t>
  </si>
  <si>
    <t>25q740101033</t>
  </si>
  <si>
    <t>祁浩冉</t>
  </si>
  <si>
    <t>25q740101038</t>
  </si>
  <si>
    <t>苏逸婷</t>
  </si>
  <si>
    <t>25q740101035</t>
  </si>
  <si>
    <t>唐玉美</t>
  </si>
  <si>
    <t>25q740101026</t>
  </si>
  <si>
    <t>田佳宏</t>
  </si>
  <si>
    <t>25q740101021</t>
  </si>
  <si>
    <t>王常贵</t>
  </si>
  <si>
    <t>25q740101017</t>
  </si>
  <si>
    <t>王功运</t>
  </si>
  <si>
    <t>25q740101007</t>
  </si>
  <si>
    <t>王竣心</t>
  </si>
  <si>
    <t>25q740101062</t>
  </si>
  <si>
    <t>王萌</t>
  </si>
  <si>
    <t>25q740101016</t>
  </si>
  <si>
    <t>吴浩冉</t>
  </si>
  <si>
    <t>吴筱</t>
  </si>
  <si>
    <t>25q740101012</t>
  </si>
  <si>
    <t>伍军</t>
  </si>
  <si>
    <t>25q740101018</t>
  </si>
  <si>
    <t>鲜雨童</t>
  </si>
  <si>
    <t>25q740101005</t>
  </si>
  <si>
    <t>徐蒙蒙</t>
  </si>
  <si>
    <t>25q740101020</t>
  </si>
  <si>
    <t>徐梦玲</t>
  </si>
  <si>
    <t>202513010130</t>
  </si>
  <si>
    <t>严昔艾</t>
  </si>
  <si>
    <t>25q740101001</t>
  </si>
  <si>
    <t>杨静</t>
  </si>
  <si>
    <t>杨明浩</t>
  </si>
  <si>
    <t>25q740101045</t>
  </si>
  <si>
    <t>杨明涛</t>
  </si>
  <si>
    <t>杨欣媛</t>
  </si>
  <si>
    <t>姚恒</t>
  </si>
  <si>
    <t>25q740101027</t>
  </si>
  <si>
    <t>余佳欣</t>
  </si>
  <si>
    <t>25q740101052</t>
  </si>
  <si>
    <t>张文纹</t>
  </si>
  <si>
    <t>25q740101025</t>
  </si>
  <si>
    <t>周涵</t>
  </si>
  <si>
    <t>25q740101040</t>
  </si>
  <si>
    <t>祝鑫童</t>
  </si>
  <si>
    <t>25q740101022</t>
  </si>
  <si>
    <t>祝雨嘉</t>
  </si>
  <si>
    <t>25q740101006</t>
  </si>
  <si>
    <t>张馨</t>
  </si>
  <si>
    <t>郭雨欣</t>
  </si>
  <si>
    <t>周紫萱</t>
  </si>
  <si>
    <t>王雅霖</t>
  </si>
  <si>
    <t>张欣沂</t>
  </si>
  <si>
    <t>曹露菥</t>
  </si>
  <si>
    <t>徐敬茹</t>
  </si>
  <si>
    <t>张怡辰</t>
  </si>
  <si>
    <t>苏鑫航</t>
  </si>
  <si>
    <t>罗馨翊</t>
  </si>
  <si>
    <t>王卓琳</t>
  </si>
  <si>
    <t>蒋禄婧</t>
  </si>
  <si>
    <t>李钰婷</t>
  </si>
  <si>
    <t>杨雅姝</t>
  </si>
  <si>
    <t>王苏</t>
  </si>
  <si>
    <t>孙鲜轩</t>
  </si>
  <si>
    <t>汤美玲</t>
  </si>
  <si>
    <t>陈奕伶</t>
  </si>
  <si>
    <t>朱熙冉</t>
  </si>
  <si>
    <t>黄诗蕊</t>
  </si>
  <si>
    <t>魏语涵</t>
  </si>
  <si>
    <t>王沁玥</t>
  </si>
  <si>
    <t>王思杨</t>
  </si>
  <si>
    <t>汽车电工电子基础</t>
  </si>
  <si>
    <t>汽车构造与拆装</t>
  </si>
  <si>
    <t>汽车文化</t>
  </si>
  <si>
    <t>汽车机械基础</t>
  </si>
  <si>
    <t>曹宇翔</t>
  </si>
  <si>
    <t>25q710201224</t>
  </si>
  <si>
    <t>曾浩冉</t>
  </si>
  <si>
    <t>25q710201567</t>
  </si>
  <si>
    <t>曾峻涛</t>
  </si>
  <si>
    <t>25q660701003</t>
  </si>
  <si>
    <t>陈浩林</t>
  </si>
  <si>
    <t>25q660701050</t>
  </si>
  <si>
    <t>陈熊</t>
  </si>
  <si>
    <t>25q660701036</t>
  </si>
  <si>
    <t>陈志豪</t>
  </si>
  <si>
    <t>25q660701001</t>
  </si>
  <si>
    <t>2508023</t>
  </si>
  <si>
    <t>杜俊鹏</t>
  </si>
  <si>
    <t>25q660701030</t>
  </si>
  <si>
    <t>冯长瑞</t>
  </si>
  <si>
    <t>25q660701002</t>
  </si>
  <si>
    <t>龚嘉豪</t>
  </si>
  <si>
    <t>25q660701031</t>
  </si>
  <si>
    <t>苟凯祥</t>
  </si>
  <si>
    <t>25q660701027</t>
  </si>
  <si>
    <t>顾原源</t>
  </si>
  <si>
    <t>25q660701028</t>
  </si>
  <si>
    <t>韩一平</t>
  </si>
  <si>
    <t>25q660701049</t>
  </si>
  <si>
    <t>何宇宸</t>
  </si>
  <si>
    <t>25q660701045</t>
  </si>
  <si>
    <t>侯林讯</t>
  </si>
  <si>
    <t>25q660701052</t>
  </si>
  <si>
    <t>黄琳珂</t>
  </si>
  <si>
    <t>25q660701041</t>
  </si>
  <si>
    <t>黄宇欣</t>
  </si>
  <si>
    <t>25q660701007</t>
  </si>
  <si>
    <t>蒋华杰</t>
  </si>
  <si>
    <t>25q660701029</t>
  </si>
  <si>
    <t>金峻熙</t>
  </si>
  <si>
    <t>25q660701006</t>
  </si>
  <si>
    <t>兰新瑞</t>
  </si>
  <si>
    <t>25q660701058</t>
  </si>
  <si>
    <t>李宝林</t>
  </si>
  <si>
    <t>25q660701022</t>
  </si>
  <si>
    <t>李仁杰</t>
  </si>
  <si>
    <t>25q660701008</t>
  </si>
  <si>
    <t>林荣闯</t>
  </si>
  <si>
    <t>25q660701033</t>
  </si>
  <si>
    <t>凌俊杰</t>
  </si>
  <si>
    <t>25q660701055</t>
  </si>
  <si>
    <t>刘浩楠</t>
  </si>
  <si>
    <t>25q710201247</t>
  </si>
  <si>
    <t>刘子豪</t>
  </si>
  <si>
    <t>25q660701021</t>
  </si>
  <si>
    <t>任魏</t>
  </si>
  <si>
    <t>25q660701043</t>
  </si>
  <si>
    <t>石宇翔</t>
  </si>
  <si>
    <t>25q710201246</t>
  </si>
  <si>
    <t>史竣超</t>
  </si>
  <si>
    <t>25q660701016</t>
  </si>
  <si>
    <t>谭棣文</t>
  </si>
  <si>
    <t>25q660103036</t>
  </si>
  <si>
    <t>汤于洋</t>
  </si>
  <si>
    <t>25q660701023</t>
  </si>
  <si>
    <t>田凯皓</t>
  </si>
  <si>
    <t>25q660701011</t>
  </si>
  <si>
    <t>万国雄</t>
  </si>
  <si>
    <t>25q660701017</t>
  </si>
  <si>
    <t>万生足</t>
  </si>
  <si>
    <t>25q660701040</t>
  </si>
  <si>
    <t>王诚</t>
  </si>
  <si>
    <t>25q660701057</t>
  </si>
  <si>
    <t>王焓宇</t>
  </si>
  <si>
    <t>25q660701034</t>
  </si>
  <si>
    <t>王棚</t>
  </si>
  <si>
    <t>25q660701005</t>
  </si>
  <si>
    <t>王鹏</t>
  </si>
  <si>
    <t>25q660701048</t>
  </si>
  <si>
    <t>王天赐</t>
  </si>
  <si>
    <t>25q660701054</t>
  </si>
  <si>
    <t>王小虎</t>
  </si>
  <si>
    <t>25q660701024</t>
  </si>
  <si>
    <t>王雅民</t>
  </si>
  <si>
    <t>25q660701046</t>
  </si>
  <si>
    <t>吴俊鑫</t>
  </si>
  <si>
    <t>25q660701013</t>
  </si>
  <si>
    <t>鲜程程</t>
  </si>
  <si>
    <t>25q660701018</t>
  </si>
  <si>
    <t>鲜宗幸</t>
  </si>
  <si>
    <t>25q660701004</t>
  </si>
  <si>
    <t>许钰潇</t>
  </si>
  <si>
    <t>25q660701015</t>
  </si>
  <si>
    <t>颜家坪</t>
  </si>
  <si>
    <t>25q660701037</t>
  </si>
  <si>
    <t>杨崇江</t>
  </si>
  <si>
    <t>25q660701044</t>
  </si>
  <si>
    <t>杨鸿川</t>
  </si>
  <si>
    <t>25q660701025</t>
  </si>
  <si>
    <t>杨靖超</t>
  </si>
  <si>
    <t>25q660701039</t>
  </si>
  <si>
    <t>杨啸林</t>
  </si>
  <si>
    <t>25q660701042</t>
  </si>
  <si>
    <t>尹东旭</t>
  </si>
  <si>
    <t>25q660701038</t>
  </si>
  <si>
    <t>尹芋松</t>
  </si>
  <si>
    <t>25q660701014</t>
  </si>
  <si>
    <t>余开海</t>
  </si>
  <si>
    <t>25q660701032</t>
  </si>
  <si>
    <t>余开柱</t>
  </si>
  <si>
    <t>25q660701035</t>
  </si>
  <si>
    <t>余鑫嵘</t>
  </si>
  <si>
    <t>25q660701053</t>
  </si>
  <si>
    <t>张郴豪</t>
  </si>
  <si>
    <t>25q660701056</t>
  </si>
  <si>
    <t>张金节</t>
  </si>
  <si>
    <t>25q660701020</t>
  </si>
  <si>
    <t>张颗航</t>
  </si>
  <si>
    <t>25q660701009</t>
  </si>
  <si>
    <t>张玉康</t>
  </si>
  <si>
    <t>25q660701026</t>
  </si>
  <si>
    <t>张振言</t>
  </si>
  <si>
    <t>25q660701010</t>
  </si>
  <si>
    <t>钟章浩</t>
  </si>
  <si>
    <t>25q660701019</t>
  </si>
  <si>
    <t>周俊潇</t>
  </si>
  <si>
    <t>25q660701012</t>
  </si>
  <si>
    <t>机械制图</t>
  </si>
  <si>
    <t>金属加工与实训-基础常识与技能训练</t>
  </si>
  <si>
    <t>机械基础</t>
  </si>
  <si>
    <t>电工电子技术与技能</t>
  </si>
  <si>
    <t>曹瑞杰</t>
  </si>
  <si>
    <t>25q660103004</t>
  </si>
  <si>
    <t>曾庆耀</t>
  </si>
  <si>
    <t>25q660103005</t>
  </si>
  <si>
    <t>陈雅林</t>
  </si>
  <si>
    <t>25q660103006</t>
  </si>
  <si>
    <t>陈瑜</t>
  </si>
  <si>
    <t>25q660103007</t>
  </si>
  <si>
    <t>陈昱林</t>
  </si>
  <si>
    <t>25q660103010</t>
  </si>
  <si>
    <t>付昊</t>
  </si>
  <si>
    <t>25q660103011</t>
  </si>
  <si>
    <t>高穆轩</t>
  </si>
  <si>
    <t>25q660103012</t>
  </si>
  <si>
    <t>高余朋</t>
  </si>
  <si>
    <t>25q660103013</t>
  </si>
  <si>
    <t>韩万有</t>
  </si>
  <si>
    <t>25q660103014</t>
  </si>
  <si>
    <t>何铭</t>
  </si>
  <si>
    <t>25q660103015</t>
  </si>
  <si>
    <t>何瑞恒</t>
  </si>
  <si>
    <t>25q660103017</t>
  </si>
  <si>
    <t>侯玉凯</t>
  </si>
  <si>
    <t>25q660103018</t>
  </si>
  <si>
    <t>胡治宇</t>
  </si>
  <si>
    <t>25q660103019</t>
  </si>
  <si>
    <t>19..5</t>
  </si>
  <si>
    <t>黄树红</t>
  </si>
  <si>
    <t>25q660103020</t>
  </si>
  <si>
    <t>李爱钏</t>
  </si>
  <si>
    <t>25q660103021</t>
  </si>
  <si>
    <t>李辰昊</t>
  </si>
  <si>
    <t>25q660103022</t>
  </si>
  <si>
    <t>李恩熙</t>
  </si>
  <si>
    <t>25q660103124</t>
  </si>
  <si>
    <t>李鸿涛</t>
  </si>
  <si>
    <t>25q660103023</t>
  </si>
  <si>
    <t>李沁霖</t>
  </si>
  <si>
    <t>25q660103024</t>
  </si>
  <si>
    <t>李鑫</t>
  </si>
  <si>
    <t>25q660103025</t>
  </si>
  <si>
    <t>李扬</t>
  </si>
  <si>
    <t>25q660103026</t>
  </si>
  <si>
    <t>李益勋</t>
  </si>
  <si>
    <t>25q660103027</t>
  </si>
  <si>
    <t>凌皓宇</t>
  </si>
  <si>
    <t>25q660103028</t>
  </si>
  <si>
    <t>刘栩屹</t>
  </si>
  <si>
    <t>25q660103123</t>
  </si>
  <si>
    <t>刘艺豪</t>
  </si>
  <si>
    <t>25q660103029</t>
  </si>
  <si>
    <t>卢舒成</t>
  </si>
  <si>
    <t>25q660103030</t>
  </si>
  <si>
    <t>卢宇轩</t>
  </si>
  <si>
    <t>25q660103031</t>
  </si>
  <si>
    <t>邵永浩</t>
  </si>
  <si>
    <t>25q660103032</t>
  </si>
  <si>
    <t>沈奇林</t>
  </si>
  <si>
    <t>25q660103033</t>
  </si>
  <si>
    <t>25q660103034</t>
  </si>
  <si>
    <t>宋开豪</t>
  </si>
  <si>
    <t>25q660103035</t>
  </si>
  <si>
    <t>孙浩晨</t>
  </si>
  <si>
    <t>25q660103037</t>
  </si>
  <si>
    <t>唐彧麟</t>
  </si>
  <si>
    <t>25q660103038</t>
  </si>
  <si>
    <t>O</t>
  </si>
  <si>
    <t>万宇宸</t>
  </si>
  <si>
    <t>25q660103039</t>
  </si>
  <si>
    <t>王彬</t>
  </si>
  <si>
    <t>2507047</t>
  </si>
  <si>
    <t>王李帅</t>
  </si>
  <si>
    <t>王龙</t>
  </si>
  <si>
    <t>25q660103042</t>
  </si>
  <si>
    <t>25q660103044</t>
  </si>
  <si>
    <t>王艺鑫</t>
  </si>
  <si>
    <t>25q660103045</t>
  </si>
  <si>
    <t>王永林</t>
  </si>
  <si>
    <t>25q660103046</t>
  </si>
  <si>
    <t>25q660103047</t>
  </si>
  <si>
    <t>王宇欢</t>
  </si>
  <si>
    <t>25q660103048</t>
  </si>
  <si>
    <t>吴鲁者</t>
  </si>
  <si>
    <t>25q660103049</t>
  </si>
  <si>
    <t>伍浩宇</t>
  </si>
  <si>
    <t>25q660103102</t>
  </si>
  <si>
    <t>鲜雨衡</t>
  </si>
  <si>
    <t>25q660103051</t>
  </si>
  <si>
    <t>辛帮年</t>
  </si>
  <si>
    <t>25q660103052</t>
  </si>
  <si>
    <t>徐帅</t>
  </si>
  <si>
    <t>25q660103053</t>
  </si>
  <si>
    <t>徐涛</t>
  </si>
  <si>
    <t>25q660103054</t>
  </si>
  <si>
    <t>严文艺</t>
  </si>
  <si>
    <t>25q660103055</t>
  </si>
  <si>
    <t>杨炳</t>
  </si>
  <si>
    <t>25q660103056</t>
  </si>
  <si>
    <t>杨玉涵</t>
  </si>
  <si>
    <t>25q660103057</t>
  </si>
  <si>
    <t>杨子健</t>
  </si>
  <si>
    <t>25q660103058</t>
  </si>
  <si>
    <t>余瑞杰</t>
  </si>
  <si>
    <t>25q660103059</t>
  </si>
  <si>
    <t>詹阳</t>
  </si>
  <si>
    <t>25q660103060</t>
  </si>
  <si>
    <t>张成毅</t>
  </si>
  <si>
    <t>25q710201248</t>
  </si>
  <si>
    <t>张浩然</t>
  </si>
  <si>
    <t>25q660103061</t>
  </si>
  <si>
    <t>张俊博</t>
  </si>
  <si>
    <t>25q660103063</t>
  </si>
  <si>
    <t>张雨杰</t>
  </si>
  <si>
    <t>25q660103064</t>
  </si>
  <si>
    <t>张御翔</t>
  </si>
  <si>
    <t>25q660103065</t>
  </si>
  <si>
    <t>张源</t>
  </si>
  <si>
    <t>25q660103066</t>
  </si>
  <si>
    <t>张子扬</t>
  </si>
  <si>
    <t>25q660103068</t>
  </si>
  <si>
    <t>郑熙源</t>
  </si>
  <si>
    <t>25q660103069</t>
  </si>
  <si>
    <t>郑银杰</t>
  </si>
  <si>
    <t>钟玉霖</t>
  </si>
  <si>
    <t>张晨旭</t>
  </si>
  <si>
    <t>李智研</t>
  </si>
  <si>
    <t>李一江</t>
  </si>
  <si>
    <t>文杰</t>
  </si>
  <si>
    <t>陈磊</t>
  </si>
  <si>
    <t>梁逸轩</t>
  </si>
  <si>
    <t>刘靖鑫</t>
  </si>
  <si>
    <t>白凌云</t>
  </si>
  <si>
    <t>刘国禾</t>
  </si>
  <si>
    <t>何思琦</t>
  </si>
  <si>
    <t>欧乐</t>
  </si>
  <si>
    <t>邱星豪</t>
  </si>
  <si>
    <t>江瑞</t>
  </si>
  <si>
    <t>陈俊豪</t>
  </si>
  <si>
    <t>罗伟程</t>
  </si>
  <si>
    <t>彭帆伟</t>
  </si>
  <si>
    <t>余世豪</t>
  </si>
  <si>
    <t>史嘉茗</t>
  </si>
  <si>
    <t>付俊伟</t>
  </si>
  <si>
    <t>姜浩然</t>
  </si>
  <si>
    <t>高开健</t>
  </si>
  <si>
    <t>何意凡</t>
  </si>
  <si>
    <t>杜雅蝶</t>
  </si>
  <si>
    <t>向俊浩</t>
  </si>
  <si>
    <t>杨皓轩</t>
  </si>
  <si>
    <t>周川</t>
  </si>
  <si>
    <t>王俊雅</t>
  </si>
  <si>
    <t>胡凯</t>
  </si>
  <si>
    <t>伍宇轩</t>
  </si>
  <si>
    <t>李嘉溢</t>
  </si>
  <si>
    <t>徐瑞池</t>
  </si>
  <si>
    <t>王欣珑</t>
  </si>
  <si>
    <t>袁尚杰</t>
  </si>
  <si>
    <t>王理鸣</t>
  </si>
  <si>
    <t>吴昱霄</t>
  </si>
  <si>
    <t>郑涛</t>
  </si>
  <si>
    <t>沈博屹</t>
  </si>
  <si>
    <t>郭睿</t>
  </si>
  <si>
    <t>蒋泳沁</t>
  </si>
  <si>
    <t>曾绎铨</t>
  </si>
  <si>
    <t>王李阳</t>
  </si>
  <si>
    <t>罗宇轩</t>
  </si>
  <si>
    <t>何浩民</t>
  </si>
  <si>
    <t>牟宇杰</t>
  </si>
  <si>
    <t>吴晨阳</t>
  </si>
  <si>
    <t>刘宇希</t>
  </si>
  <si>
    <t>杨盛</t>
  </si>
  <si>
    <t>陈俊佐</t>
  </si>
  <si>
    <t>物理</t>
  </si>
  <si>
    <t>化学</t>
  </si>
  <si>
    <t>生物</t>
  </si>
  <si>
    <t>历史</t>
  </si>
  <si>
    <t>地理</t>
  </si>
  <si>
    <t>政治</t>
  </si>
  <si>
    <t>车俊熙</t>
  </si>
  <si>
    <t>25q770303011</t>
  </si>
  <si>
    <t>陈孟依</t>
  </si>
  <si>
    <t>25q770303036</t>
  </si>
  <si>
    <t>陈诗杨</t>
  </si>
  <si>
    <t>25q770303037</t>
  </si>
  <si>
    <t>代城语</t>
  </si>
  <si>
    <t>25q770303043</t>
  </si>
  <si>
    <t>邓会</t>
  </si>
  <si>
    <t>25q770303026</t>
  </si>
  <si>
    <t>费嘉齐</t>
  </si>
  <si>
    <t>25q770303015</t>
  </si>
  <si>
    <t>冯昕缘</t>
  </si>
  <si>
    <t>25q770303038</t>
  </si>
  <si>
    <t>何飞楊</t>
  </si>
  <si>
    <t>何宇灿</t>
  </si>
  <si>
    <t>24q770303009</t>
  </si>
  <si>
    <t>黄冀川</t>
  </si>
  <si>
    <t>25q770303006</t>
  </si>
  <si>
    <t>黄梦达</t>
  </si>
  <si>
    <t>25q710103257</t>
  </si>
  <si>
    <t>黄阳瑞奇</t>
  </si>
  <si>
    <t>25q770303028</t>
  </si>
  <si>
    <t>简程康</t>
  </si>
  <si>
    <t>25q770303031</t>
  </si>
  <si>
    <t>江凯文</t>
  </si>
  <si>
    <t>25q770303059</t>
  </si>
  <si>
    <t>赖骏东</t>
  </si>
  <si>
    <t>25q770303039</t>
  </si>
  <si>
    <t>兰芸茜</t>
  </si>
  <si>
    <t>李晗</t>
  </si>
  <si>
    <t>24q770303013</t>
  </si>
  <si>
    <t>李枳伶</t>
  </si>
  <si>
    <t>25q770303053</t>
  </si>
  <si>
    <t>廖超俊 </t>
  </si>
  <si>
    <t>廖周玉</t>
  </si>
  <si>
    <t>25q770303047</t>
  </si>
  <si>
    <t>刘洪鑫</t>
  </si>
  <si>
    <t>25q770303060</t>
  </si>
  <si>
    <t>刘佳欣</t>
  </si>
  <si>
    <t>25q770303023</t>
  </si>
  <si>
    <t>刘一杭</t>
  </si>
  <si>
    <t>25q770303057</t>
  </si>
  <si>
    <t>骆思彤</t>
  </si>
  <si>
    <t>25q770303027</t>
  </si>
  <si>
    <t>马巍</t>
  </si>
  <si>
    <t>25q770303010</t>
  </si>
  <si>
    <t>彭楷博</t>
  </si>
  <si>
    <t>25q770303040</t>
  </si>
  <si>
    <t>沈晓茹</t>
  </si>
  <si>
    <t>25q770303009</t>
  </si>
  <si>
    <t>石宇墨</t>
  </si>
  <si>
    <t>25q770303052</t>
  </si>
  <si>
    <t>宋一鸣</t>
  </si>
  <si>
    <t>25q770303045</t>
  </si>
  <si>
    <t>童雨欢</t>
  </si>
  <si>
    <t>25q770303050</t>
  </si>
  <si>
    <t>汪号博</t>
  </si>
  <si>
    <t>25q770303049</t>
  </si>
  <si>
    <t>王依然</t>
  </si>
  <si>
    <t>25q770303035</t>
  </si>
  <si>
    <t>吴玲君</t>
  </si>
  <si>
    <t>25q770303001</t>
  </si>
  <si>
    <t>谢朋闰</t>
  </si>
  <si>
    <t>25q770303056</t>
  </si>
  <si>
    <t>徐嘉祺</t>
  </si>
  <si>
    <t>25q770303029</t>
  </si>
  <si>
    <t>徐文博</t>
  </si>
  <si>
    <t>25q770303046</t>
  </si>
  <si>
    <t>严曦晟</t>
  </si>
  <si>
    <t>25q770303033</t>
  </si>
  <si>
    <t>杨东川</t>
  </si>
  <si>
    <t>25q770303013</t>
  </si>
  <si>
    <t>尹琴</t>
  </si>
  <si>
    <t>25q770303034</t>
  </si>
  <si>
    <t>余圣轩</t>
  </si>
  <si>
    <t>25q770303014</t>
  </si>
  <si>
    <t>余姚星</t>
  </si>
  <si>
    <t>25q770303044</t>
  </si>
  <si>
    <t>张晨嘉</t>
  </si>
  <si>
    <t>25q770303030</t>
  </si>
  <si>
    <t>张柯</t>
  </si>
  <si>
    <t>25q770303003</t>
  </si>
  <si>
    <t>赵友暄</t>
  </si>
  <si>
    <t>25q770303032</t>
  </si>
  <si>
    <t>郑文华</t>
  </si>
  <si>
    <t>25q770303051</t>
  </si>
  <si>
    <t>周航宇</t>
  </si>
  <si>
    <t>25q770303020</t>
  </si>
  <si>
    <t>周柯池</t>
  </si>
  <si>
    <t>25q770303004</t>
  </si>
  <si>
    <t>25q770303016</t>
  </si>
  <si>
    <t>邹浩然</t>
  </si>
  <si>
    <t>XBB2025066</t>
  </si>
  <si>
    <t>前厅服务与管理</t>
  </si>
  <si>
    <t>陈思凌</t>
  </si>
  <si>
    <t>曾攀文</t>
  </si>
  <si>
    <t>24q740105001</t>
  </si>
  <si>
    <t>徐梦馨</t>
  </si>
  <si>
    <t>24q740105002</t>
  </si>
  <si>
    <t>袁欣</t>
  </si>
  <si>
    <t>成思琦</t>
  </si>
  <si>
    <t>24q740105003</t>
  </si>
  <si>
    <t>雷蕾</t>
  </si>
  <si>
    <t>代思语</t>
  </si>
  <si>
    <t>24q740105004</t>
  </si>
  <si>
    <t>李思晨</t>
  </si>
  <si>
    <t>24q740105008</t>
  </si>
  <si>
    <t>张词</t>
  </si>
  <si>
    <t>24q740105010</t>
  </si>
  <si>
    <t>袁敏</t>
  </si>
  <si>
    <t>吕佳芮</t>
  </si>
  <si>
    <t>24q740105011</t>
  </si>
  <si>
    <t>24q740105014</t>
  </si>
  <si>
    <t>杨婷婷</t>
  </si>
  <si>
    <t>24q740105015</t>
  </si>
  <si>
    <t>杨轩颖</t>
  </si>
  <si>
    <t>24q740105016</t>
  </si>
  <si>
    <t>24q740105017</t>
  </si>
  <si>
    <t>24q740105018</t>
  </si>
  <si>
    <t>24q740105019</t>
  </si>
  <si>
    <t>专业综合成绩（350分）</t>
  </si>
  <si>
    <t>董瑞惜</t>
  </si>
  <si>
    <t>24q770101005</t>
  </si>
  <si>
    <t>范依然</t>
  </si>
  <si>
    <t>24q770303006</t>
  </si>
  <si>
    <t>郭迎丽</t>
  </si>
  <si>
    <t>24q770101007</t>
  </si>
  <si>
    <t>韩英姿</t>
  </si>
  <si>
    <t>24q770101008</t>
  </si>
  <si>
    <t>何燕芳</t>
  </si>
  <si>
    <t>5107424270623</t>
  </si>
  <si>
    <t>雷语馨</t>
  </si>
  <si>
    <t>24q770101013</t>
  </si>
  <si>
    <t>李兰</t>
  </si>
  <si>
    <t>24q770101014</t>
  </si>
  <si>
    <t>李诗宇</t>
  </si>
  <si>
    <t>24q770101015</t>
  </si>
  <si>
    <t>李施怡</t>
  </si>
  <si>
    <t>24q770101016</t>
  </si>
  <si>
    <t>李思源</t>
  </si>
  <si>
    <t>24q770101017</t>
  </si>
  <si>
    <t>李小忆</t>
  </si>
  <si>
    <t>24q770101019</t>
  </si>
  <si>
    <t>李晓莉</t>
  </si>
  <si>
    <t>24q71010328615</t>
  </si>
  <si>
    <t>李欣怡</t>
  </si>
  <si>
    <t>24q770101020</t>
  </si>
  <si>
    <t>刘俟滟</t>
  </si>
  <si>
    <t>24q770101024</t>
  </si>
  <si>
    <t>刘思语</t>
  </si>
  <si>
    <t>24q770101025</t>
  </si>
  <si>
    <t>聂鲜敏</t>
  </si>
  <si>
    <t>24q770101027</t>
  </si>
  <si>
    <t>阮亚平</t>
  </si>
  <si>
    <t>24q770101030</t>
  </si>
  <si>
    <t>田雅欣</t>
  </si>
  <si>
    <t>24q770101032</t>
  </si>
  <si>
    <t>万慧欣</t>
  </si>
  <si>
    <t>24q770101033</t>
  </si>
  <si>
    <t>王榕</t>
  </si>
  <si>
    <t>24q770101034</t>
  </si>
  <si>
    <t>王雨蝶</t>
  </si>
  <si>
    <t>24q770101035</t>
  </si>
  <si>
    <t>徐梦婷</t>
  </si>
  <si>
    <t>24q770101040</t>
  </si>
  <si>
    <t>徐文姣</t>
  </si>
  <si>
    <t>24q770101041</t>
  </si>
  <si>
    <t>杨智慧</t>
  </si>
  <si>
    <t>24q770101045</t>
  </si>
  <si>
    <t>姚菲</t>
  </si>
  <si>
    <t>24q770101046</t>
  </si>
  <si>
    <t>游茗萱</t>
  </si>
  <si>
    <t>24q770101048</t>
  </si>
  <si>
    <t>余涵</t>
  </si>
  <si>
    <t>24q770101049</t>
  </si>
  <si>
    <t>钟佳欣</t>
  </si>
  <si>
    <t>24q770101052</t>
  </si>
  <si>
    <t>祝洪霞</t>
  </si>
  <si>
    <t>24q770101053</t>
  </si>
  <si>
    <t>陈龚燕</t>
  </si>
  <si>
    <t>24q770101073</t>
  </si>
  <si>
    <t>陈梦玲</t>
  </si>
  <si>
    <t>24q770101074</t>
  </si>
  <si>
    <t>丁茂梅</t>
  </si>
  <si>
    <t>24q770101075</t>
  </si>
  <si>
    <t>龚星榕</t>
  </si>
  <si>
    <t>24q770101076</t>
  </si>
  <si>
    <t>胡艳莉</t>
  </si>
  <si>
    <t>24q770101079</t>
  </si>
  <si>
    <t>黄珂馨</t>
  </si>
  <si>
    <t>24q770101080</t>
  </si>
  <si>
    <t>江葛蓉</t>
  </si>
  <si>
    <t>24q770101081</t>
  </si>
  <si>
    <t>姜晓薇</t>
  </si>
  <si>
    <t>24q770101082</t>
  </si>
  <si>
    <t>金云霞</t>
  </si>
  <si>
    <t>24q770101083</t>
  </si>
  <si>
    <t>李娇娇</t>
  </si>
  <si>
    <t>24q770101084</t>
  </si>
  <si>
    <t>李美婷</t>
  </si>
  <si>
    <t>24q770101085</t>
  </si>
  <si>
    <t>李依萱</t>
  </si>
  <si>
    <t>24q770101086</t>
  </si>
  <si>
    <t>24q770101088</t>
  </si>
  <si>
    <t>刘彩利</t>
  </si>
  <si>
    <t>24q770101089</t>
  </si>
  <si>
    <t>罗依频</t>
  </si>
  <si>
    <t>24q770101090</t>
  </si>
  <si>
    <t>邱满丽</t>
  </si>
  <si>
    <t>24q770101091</t>
  </si>
  <si>
    <t>宋恩琪</t>
  </si>
  <si>
    <t>20240808</t>
  </si>
  <si>
    <t>王诗琪</t>
  </si>
  <si>
    <t>24q7701010721</t>
  </si>
  <si>
    <t>王思雨</t>
  </si>
  <si>
    <t>24q770101092</t>
  </si>
  <si>
    <t>王涛</t>
  </si>
  <si>
    <t>24q770101093</t>
  </si>
  <si>
    <t>王忻宜</t>
  </si>
  <si>
    <t>24q770101094</t>
  </si>
  <si>
    <t>王欣怡</t>
  </si>
  <si>
    <t>24q770101095</t>
  </si>
  <si>
    <t>夏铃舒</t>
  </si>
  <si>
    <t>24q770101097</t>
  </si>
  <si>
    <t>徐刘锦</t>
  </si>
  <si>
    <t>24q770101099</t>
  </si>
  <si>
    <t>殷媛</t>
  </si>
  <si>
    <t>24q770101100</t>
  </si>
  <si>
    <t>余诗琪</t>
  </si>
  <si>
    <t>24q770101101</t>
  </si>
  <si>
    <t>袁慈恩</t>
  </si>
  <si>
    <t>24q770101102</t>
  </si>
  <si>
    <t>张宁</t>
  </si>
  <si>
    <t>24q770101103</t>
  </si>
  <si>
    <t>张欣怡</t>
  </si>
  <si>
    <t>24q770101104</t>
  </si>
  <si>
    <t>张雅莉</t>
  </si>
  <si>
    <t>24q770101105</t>
  </si>
  <si>
    <t>赵玺媛</t>
  </si>
  <si>
    <t>24q770101106</t>
  </si>
  <si>
    <t>周梦婷</t>
  </si>
  <si>
    <t>24q770101107</t>
  </si>
  <si>
    <t>曹正锋</t>
  </si>
  <si>
    <t>24q710103352</t>
  </si>
  <si>
    <t>陈灏龄</t>
  </si>
  <si>
    <t>24q710103353</t>
  </si>
  <si>
    <t>陈天宇</t>
  </si>
  <si>
    <t>24q710103354</t>
  </si>
  <si>
    <t>陈志鸿</t>
  </si>
  <si>
    <t>24q710103355</t>
  </si>
  <si>
    <t>费和森</t>
  </si>
  <si>
    <t>24q710103356</t>
  </si>
  <si>
    <t>胡滔锦</t>
  </si>
  <si>
    <t>24q710103357</t>
  </si>
  <si>
    <t>黄木</t>
  </si>
  <si>
    <t>24q710103844</t>
  </si>
  <si>
    <t>黄豫坤</t>
  </si>
  <si>
    <t>24q710103358</t>
  </si>
  <si>
    <t>李昕洁</t>
  </si>
  <si>
    <t>24q710103359</t>
  </si>
  <si>
    <t>刘震</t>
  </si>
  <si>
    <t>24q710103361</t>
  </si>
  <si>
    <t>罗红</t>
  </si>
  <si>
    <t>24q710103362</t>
  </si>
  <si>
    <t>罗意</t>
  </si>
  <si>
    <t>24q710103363</t>
  </si>
  <si>
    <t>骆华强</t>
  </si>
  <si>
    <t>24q710103364</t>
  </si>
  <si>
    <t>欧罗靖</t>
  </si>
  <si>
    <t>24q710103365</t>
  </si>
  <si>
    <t>彭嘉乐</t>
  </si>
  <si>
    <t>24q710103366</t>
  </si>
  <si>
    <t>邱韦豪</t>
  </si>
  <si>
    <t>24q710103367</t>
  </si>
  <si>
    <t>沈宇恒</t>
  </si>
  <si>
    <t>24q710103369</t>
  </si>
  <si>
    <t>沈智</t>
  </si>
  <si>
    <t>24q710103370</t>
  </si>
  <si>
    <t>谭歆杭</t>
  </si>
  <si>
    <t>24q710103297</t>
  </si>
  <si>
    <t>王博</t>
  </si>
  <si>
    <t>24q710103228</t>
  </si>
  <si>
    <t>王金鑫</t>
  </si>
  <si>
    <t>24q710103372</t>
  </si>
  <si>
    <t>王午洋</t>
  </si>
  <si>
    <t>24q710103373</t>
  </si>
  <si>
    <t>魏熙恒</t>
  </si>
  <si>
    <t>24q710103374</t>
  </si>
  <si>
    <t>魏鑫</t>
  </si>
  <si>
    <t>24q710103375</t>
  </si>
  <si>
    <t>文陈浩</t>
  </si>
  <si>
    <t>24q710103376</t>
  </si>
  <si>
    <t>吴涛</t>
  </si>
  <si>
    <t>24q710103377</t>
  </si>
  <si>
    <t>吴天宇</t>
  </si>
  <si>
    <t>24q710103378</t>
  </si>
  <si>
    <t>伍浩阳</t>
  </si>
  <si>
    <t>24q710103379</t>
  </si>
  <si>
    <t>伍俊义</t>
  </si>
  <si>
    <t>5127424270247</t>
  </si>
  <si>
    <t>谢宇航</t>
  </si>
  <si>
    <t>24q710103380</t>
  </si>
  <si>
    <t>熊俊熙</t>
  </si>
  <si>
    <t>24q710103381</t>
  </si>
  <si>
    <t>许四海</t>
  </si>
  <si>
    <t>24q710103382</t>
  </si>
  <si>
    <t>杨家兴</t>
  </si>
  <si>
    <t>24q710103383</t>
  </si>
  <si>
    <t>杨杰</t>
  </si>
  <si>
    <t>24q710103318</t>
  </si>
  <si>
    <t>尤忠林</t>
  </si>
  <si>
    <t>24q710103384</t>
  </si>
  <si>
    <t>余嘉新</t>
  </si>
  <si>
    <t>24q710103385</t>
  </si>
  <si>
    <t>余有林</t>
  </si>
  <si>
    <t>24q710103386</t>
  </si>
  <si>
    <t>袁炜翔</t>
  </si>
  <si>
    <t>24q710103387</t>
  </si>
  <si>
    <t>张陈坤</t>
  </si>
  <si>
    <t>24q710103388</t>
  </si>
  <si>
    <t>张丁</t>
  </si>
  <si>
    <t>24q710103389</t>
  </si>
  <si>
    <t>张奇恒</t>
  </si>
  <si>
    <t>24q710103390</t>
  </si>
  <si>
    <t>章健</t>
  </si>
  <si>
    <t>24q710103391</t>
  </si>
  <si>
    <t>赵家林</t>
  </si>
  <si>
    <t>24q710103392</t>
  </si>
  <si>
    <t>邹可凡</t>
  </si>
  <si>
    <t>24q710103394</t>
  </si>
  <si>
    <t>白如鑫</t>
  </si>
  <si>
    <t>24q710103002</t>
  </si>
  <si>
    <t>白松鹭</t>
  </si>
  <si>
    <t>24q660103141</t>
  </si>
  <si>
    <t>白王田</t>
  </si>
  <si>
    <t>24q710103003</t>
  </si>
  <si>
    <t>白子轩</t>
  </si>
  <si>
    <t>24q710103004</t>
  </si>
  <si>
    <t>曹淳封</t>
  </si>
  <si>
    <t>24q710103005</t>
  </si>
  <si>
    <t>曹可扬</t>
  </si>
  <si>
    <t>24q710103121</t>
  </si>
  <si>
    <t>曹荣涵</t>
  </si>
  <si>
    <t>24q710103007</t>
  </si>
  <si>
    <t>曹洋浩</t>
  </si>
  <si>
    <t>24q710103008</t>
  </si>
  <si>
    <t>曾宇晨</t>
  </si>
  <si>
    <t>24q710103009</t>
  </si>
  <si>
    <t>陈鹤云</t>
  </si>
  <si>
    <t>24q710103010</t>
  </si>
  <si>
    <t>陈世文</t>
  </si>
  <si>
    <t>24q710103011</t>
  </si>
  <si>
    <t>陈雅心</t>
  </si>
  <si>
    <t>24q710103012</t>
  </si>
  <si>
    <t>陈宇豪</t>
  </si>
  <si>
    <t>24q710103013</t>
  </si>
  <si>
    <t>陈雨馨</t>
  </si>
  <si>
    <t>24q710103015</t>
  </si>
  <si>
    <t>陈原申</t>
  </si>
  <si>
    <t>24q710103016</t>
  </si>
  <si>
    <t>丁锦瑞</t>
  </si>
  <si>
    <t>24q710103131</t>
  </si>
  <si>
    <t>董奥源</t>
  </si>
  <si>
    <t>24q710103018</t>
  </si>
  <si>
    <t>董一飞</t>
  </si>
  <si>
    <t>24q710103019</t>
  </si>
  <si>
    <t>杜林峰</t>
  </si>
  <si>
    <t>24q710103020</t>
  </si>
  <si>
    <t>杜文杰</t>
  </si>
  <si>
    <t>24q710103021</t>
  </si>
  <si>
    <t>何晨晖</t>
  </si>
  <si>
    <t>24q710103025</t>
  </si>
  <si>
    <t>何昊辕</t>
  </si>
  <si>
    <t>24q710103026</t>
  </si>
  <si>
    <t>何祁瑞</t>
  </si>
  <si>
    <t>24q710103029</t>
  </si>
  <si>
    <t>何炎恩</t>
  </si>
  <si>
    <t>24q710103030</t>
  </si>
  <si>
    <t>黄杜娟</t>
  </si>
  <si>
    <t>24q710103031</t>
  </si>
  <si>
    <t>黄致智</t>
  </si>
  <si>
    <t>24q710103151</t>
  </si>
  <si>
    <t>姜可</t>
  </si>
  <si>
    <t>24q710103286154</t>
  </si>
  <si>
    <t>姜舒洋</t>
  </si>
  <si>
    <t>20240154</t>
  </si>
  <si>
    <t>李美慧</t>
  </si>
  <si>
    <t>24q710103035</t>
  </si>
  <si>
    <t>李宛如</t>
  </si>
  <si>
    <t>24q710103036</t>
  </si>
  <si>
    <t>李兴子</t>
  </si>
  <si>
    <t>24q710103037</t>
  </si>
  <si>
    <t>李雨培</t>
  </si>
  <si>
    <t>24q710103038</t>
  </si>
  <si>
    <t>李煜烽</t>
  </si>
  <si>
    <t>24q710103039</t>
  </si>
  <si>
    <t>李媛熙</t>
  </si>
  <si>
    <t>24q710103040</t>
  </si>
  <si>
    <t>刘成晨</t>
  </si>
  <si>
    <t>24q770303019</t>
  </si>
  <si>
    <t>毛允鹭</t>
  </si>
  <si>
    <t>24q710103042</t>
  </si>
  <si>
    <t>申黎轩</t>
  </si>
  <si>
    <t>24q710103288</t>
  </si>
  <si>
    <t>史亚茜</t>
  </si>
  <si>
    <t>24q710103044</t>
  </si>
  <si>
    <t>谭奥宇</t>
  </si>
  <si>
    <t>24q710103220</t>
  </si>
  <si>
    <t>田俊宇</t>
  </si>
  <si>
    <t>24q710103045</t>
  </si>
  <si>
    <t>王蕊</t>
  </si>
  <si>
    <t>24q710103286152</t>
  </si>
  <si>
    <t>王宇俊</t>
  </si>
  <si>
    <t>24q770303036</t>
  </si>
  <si>
    <t>吴子轩</t>
  </si>
  <si>
    <t>24q7101032971</t>
  </si>
  <si>
    <t>伍俊峰</t>
  </si>
  <si>
    <t>24q710103048</t>
  </si>
  <si>
    <t>谢懿</t>
  </si>
  <si>
    <t>24q710103313</t>
  </si>
  <si>
    <t>徐金洋</t>
  </si>
  <si>
    <t>24q7101032107</t>
  </si>
  <si>
    <t>袁俊杰</t>
  </si>
  <si>
    <t>24q710103049</t>
  </si>
  <si>
    <t>张嘉凌</t>
  </si>
  <si>
    <t>24q7101032890</t>
  </si>
  <si>
    <t>赵卫科</t>
  </si>
  <si>
    <t>24q710103051</t>
  </si>
  <si>
    <t>曾重升</t>
  </si>
  <si>
    <t>24q710103125</t>
  </si>
  <si>
    <t>陈发顺</t>
  </si>
  <si>
    <t>24q710103127</t>
  </si>
  <si>
    <t>陈利</t>
  </si>
  <si>
    <t>24q710103130</t>
  </si>
  <si>
    <t>陈韬文</t>
  </si>
  <si>
    <t>24q710103193</t>
  </si>
  <si>
    <t>冯万豪</t>
  </si>
  <si>
    <t>24q710103842</t>
  </si>
  <si>
    <t>付自豪</t>
  </si>
  <si>
    <t>24q710103135</t>
  </si>
  <si>
    <t>郭跃华</t>
  </si>
  <si>
    <t>24q710103141</t>
  </si>
  <si>
    <t>何宇航</t>
  </si>
  <si>
    <t>24q710103142</t>
  </si>
  <si>
    <t>胡凯峰</t>
  </si>
  <si>
    <t>24q710103143</t>
  </si>
  <si>
    <t>黄思瑞</t>
  </si>
  <si>
    <t>24q710103146</t>
  </si>
  <si>
    <t>黄熙耀</t>
  </si>
  <si>
    <t>24q710103148</t>
  </si>
  <si>
    <t>李昌洪</t>
  </si>
  <si>
    <t>24q710103154</t>
  </si>
  <si>
    <t>李果</t>
  </si>
  <si>
    <t>24q710103197</t>
  </si>
  <si>
    <t>李俊坤</t>
  </si>
  <si>
    <t>24q710103156</t>
  </si>
  <si>
    <t>李鳍</t>
  </si>
  <si>
    <t>24q710103198</t>
  </si>
  <si>
    <t>李紫杰</t>
  </si>
  <si>
    <t>24q710103164</t>
  </si>
  <si>
    <t>林荣耀</t>
  </si>
  <si>
    <t>24q710103199</t>
  </si>
  <si>
    <t>刘承松</t>
  </si>
  <si>
    <t>24q710103200</t>
  </si>
  <si>
    <t>刘涛</t>
  </si>
  <si>
    <t>24q710103202</t>
  </si>
  <si>
    <t>刘崴粼</t>
  </si>
  <si>
    <t>24q710103203</t>
  </si>
  <si>
    <t>刘鑫</t>
  </si>
  <si>
    <t>24q710103204</t>
  </si>
  <si>
    <t>刘星</t>
  </si>
  <si>
    <t>24q710103205</t>
  </si>
  <si>
    <t>刘艺欣</t>
  </si>
  <si>
    <t>24q7101032103</t>
  </si>
  <si>
    <t>刘赵宇</t>
  </si>
  <si>
    <t>24q710103206</t>
  </si>
  <si>
    <t>柳皓</t>
  </si>
  <si>
    <t>24q710103172</t>
  </si>
  <si>
    <t>卢亿</t>
  </si>
  <si>
    <t>5101624270495</t>
  </si>
  <si>
    <t>鲁锐翔</t>
  </si>
  <si>
    <t>24q710103208</t>
  </si>
  <si>
    <t>罗杰</t>
  </si>
  <si>
    <t>24q710103209</t>
  </si>
  <si>
    <t>罗天蔚</t>
  </si>
  <si>
    <t>24q710103210</t>
  </si>
  <si>
    <t>洛绒刀登</t>
  </si>
  <si>
    <t>24q710103211</t>
  </si>
  <si>
    <t>吕浩</t>
  </si>
  <si>
    <t>24q710201172</t>
  </si>
  <si>
    <t>牟恒</t>
  </si>
  <si>
    <t>24q710103212</t>
  </si>
  <si>
    <t>牟潇伟</t>
  </si>
  <si>
    <t>24q7101032102</t>
  </si>
  <si>
    <t>欧宇霖</t>
  </si>
  <si>
    <t>24q710103213</t>
  </si>
  <si>
    <t>彭宇杰</t>
  </si>
  <si>
    <t>24q710103043</t>
  </si>
  <si>
    <t>任敏</t>
  </si>
  <si>
    <t>24q710103215</t>
  </si>
  <si>
    <t>沈航宇</t>
  </si>
  <si>
    <t>24q710103217</t>
  </si>
  <si>
    <t>史国新</t>
  </si>
  <si>
    <t>24q710103218</t>
  </si>
  <si>
    <t>史继晟</t>
  </si>
  <si>
    <t>24q7101032106</t>
  </si>
  <si>
    <t>宋艾宏</t>
  </si>
  <si>
    <t>24q7101032861</t>
  </si>
  <si>
    <t>宋杰</t>
  </si>
  <si>
    <t>24q710103291</t>
  </si>
  <si>
    <t>宋文杰</t>
  </si>
  <si>
    <t>24q710103292</t>
  </si>
  <si>
    <t>汤睿涵</t>
  </si>
  <si>
    <t>24q710103221</t>
  </si>
  <si>
    <t>童茂乐</t>
  </si>
  <si>
    <t>24q710103222</t>
  </si>
  <si>
    <t>宛科成</t>
  </si>
  <si>
    <t>24q710103223</t>
  </si>
  <si>
    <t>汪依冉</t>
  </si>
  <si>
    <t>24q710103226</t>
  </si>
  <si>
    <t>王彬宇</t>
  </si>
  <si>
    <t>24q710103227</t>
  </si>
  <si>
    <t>王国安</t>
  </si>
  <si>
    <t>24q710103229</t>
  </si>
  <si>
    <t>王皓阳</t>
  </si>
  <si>
    <t>24q710103230</t>
  </si>
  <si>
    <t>王佳林</t>
  </si>
  <si>
    <t>24q710103231</t>
  </si>
  <si>
    <t>王佳星</t>
  </si>
  <si>
    <t>24q710103232</t>
  </si>
  <si>
    <t>王家乐</t>
  </si>
  <si>
    <t>24q710103233</t>
  </si>
  <si>
    <t>王利红</t>
  </si>
  <si>
    <t>24q710103234</t>
  </si>
  <si>
    <t>王梦茜</t>
  </si>
  <si>
    <t>24q710103235</t>
  </si>
  <si>
    <t>24q710103302</t>
  </si>
  <si>
    <t>王星杰</t>
  </si>
  <si>
    <t>24q710103237</t>
  </si>
  <si>
    <t>24q710103238</t>
  </si>
  <si>
    <t>王宇浩</t>
  </si>
  <si>
    <t>24q710103239</t>
  </si>
  <si>
    <t>王雨涵</t>
  </si>
  <si>
    <t>24q710103240</t>
  </si>
  <si>
    <t>文韬</t>
  </si>
  <si>
    <t>24q710103241</t>
  </si>
  <si>
    <t>文晓丽</t>
  </si>
  <si>
    <t>24q710103307</t>
  </si>
  <si>
    <t>吴鹏</t>
  </si>
  <si>
    <t>24q710103242</t>
  </si>
  <si>
    <t>伍炳坤</t>
  </si>
  <si>
    <t>24q710103244</t>
  </si>
  <si>
    <t>伍新楷</t>
  </si>
  <si>
    <t>24q710103081</t>
  </si>
  <si>
    <t>鲜筱磊</t>
  </si>
  <si>
    <t>24q710103311</t>
  </si>
  <si>
    <t>杨思艺</t>
  </si>
  <si>
    <t>24q7101031271</t>
  </si>
  <si>
    <t>杨旭</t>
  </si>
  <si>
    <t>24q710103184</t>
  </si>
  <si>
    <t>杨裕婷</t>
  </si>
  <si>
    <t>24q710103322</t>
  </si>
  <si>
    <t>姚杨</t>
  </si>
  <si>
    <t>24q710103323</t>
  </si>
  <si>
    <t>张光嶶</t>
  </si>
  <si>
    <t>24q710103245</t>
  </si>
  <si>
    <t>张瑜宸</t>
  </si>
  <si>
    <t>24q710103246</t>
  </si>
  <si>
    <t>张耘</t>
  </si>
  <si>
    <t>24q710103247</t>
  </si>
  <si>
    <t>郑鑫川</t>
  </si>
  <si>
    <t>24q710103111</t>
  </si>
  <si>
    <t>周梦苏</t>
  </si>
  <si>
    <t>20240155</t>
  </si>
  <si>
    <t>周荣恒</t>
  </si>
  <si>
    <t>24q710103338</t>
  </si>
  <si>
    <t>周荣瑞</t>
  </si>
  <si>
    <t>24q710103843</t>
  </si>
  <si>
    <t>周星昊</t>
  </si>
  <si>
    <t>24q710103188</t>
  </si>
  <si>
    <t>曹曾易</t>
  </si>
  <si>
    <t>24q710103120</t>
  </si>
  <si>
    <t>陈坤</t>
  </si>
  <si>
    <t>24q710103129</t>
  </si>
  <si>
    <t>陈莉洪</t>
  </si>
  <si>
    <t>24q710103071</t>
  </si>
  <si>
    <t>丁俊杰</t>
  </si>
  <si>
    <t>24q710103132</t>
  </si>
  <si>
    <t>丁娅玲</t>
  </si>
  <si>
    <t>24q7101033171</t>
  </si>
  <si>
    <t>樊睿丞</t>
  </si>
  <si>
    <t>24q710201008</t>
  </si>
  <si>
    <t>付程宏</t>
  </si>
  <si>
    <t>24q710103072</t>
  </si>
  <si>
    <t>高文迪</t>
  </si>
  <si>
    <t>24q710103136</t>
  </si>
  <si>
    <t>苟疑云</t>
  </si>
  <si>
    <t>24q710103073</t>
  </si>
  <si>
    <t>郭凯</t>
  </si>
  <si>
    <t>24q710103138</t>
  </si>
  <si>
    <t>何星阳</t>
  </si>
  <si>
    <t>24q7101032111</t>
  </si>
  <si>
    <t>黄紫涵</t>
  </si>
  <si>
    <t>24q770101011</t>
  </si>
  <si>
    <t>李骏豪</t>
  </si>
  <si>
    <t>24q7101031120</t>
  </si>
  <si>
    <t>李玉婷</t>
  </si>
  <si>
    <t>24q710103163</t>
  </si>
  <si>
    <t>李云鑫</t>
  </si>
  <si>
    <t>24q7101032109</t>
  </si>
  <si>
    <t>凌昊鑫</t>
  </si>
  <si>
    <t>24q770101023</t>
  </si>
  <si>
    <t>刘景瑞</t>
  </si>
  <si>
    <t>罗品皓</t>
  </si>
  <si>
    <t>20241114</t>
  </si>
  <si>
    <t>罗宇嫒</t>
  </si>
  <si>
    <t>24q710103176</t>
  </si>
  <si>
    <t>牟秋雨</t>
  </si>
  <si>
    <t>24q710103076</t>
  </si>
  <si>
    <t>牟诗晨</t>
  </si>
  <si>
    <t>24q7101032863</t>
  </si>
  <si>
    <t>倪佳琪</t>
  </si>
  <si>
    <t>24q710103177</t>
  </si>
  <si>
    <t>彭俊杰</t>
  </si>
  <si>
    <t>24q710103179</t>
  </si>
  <si>
    <t>任浩然</t>
  </si>
  <si>
    <t>24q770101029</t>
  </si>
  <si>
    <t>宋俊凯</t>
  </si>
  <si>
    <t>24q770101031</t>
  </si>
  <si>
    <t>孙畅</t>
  </si>
  <si>
    <t>24q710103077</t>
  </si>
  <si>
    <t>王常宇</t>
  </si>
  <si>
    <t>24q770303032</t>
  </si>
  <si>
    <t>王晨</t>
  </si>
  <si>
    <t>24q710103078</t>
  </si>
  <si>
    <t>王矞轩</t>
  </si>
  <si>
    <t>24q710103306</t>
  </si>
  <si>
    <t>王子恒</t>
  </si>
  <si>
    <t>24q7101032110</t>
  </si>
  <si>
    <t>鲜玉林</t>
  </si>
  <si>
    <t>24q710103082</t>
  </si>
  <si>
    <t>谢铭辉</t>
  </si>
  <si>
    <t>24q710103083</t>
  </si>
  <si>
    <t>辛宇松</t>
  </si>
  <si>
    <t>24q710103085</t>
  </si>
  <si>
    <t>徐灵巧</t>
  </si>
  <si>
    <t>24q710103086</t>
  </si>
  <si>
    <t>杨雨</t>
  </si>
  <si>
    <t>24q710103094</t>
  </si>
  <si>
    <t>杨正刚</t>
  </si>
  <si>
    <t>24q710103095</t>
  </si>
  <si>
    <t>洋纤羽</t>
  </si>
  <si>
    <t>24q710103185</t>
  </si>
  <si>
    <t>尹定一</t>
  </si>
  <si>
    <t>24q710103286153</t>
  </si>
  <si>
    <t>24q740101046</t>
  </si>
  <si>
    <t>余璐</t>
  </si>
  <si>
    <t>24q710103098</t>
  </si>
  <si>
    <t>余志豪</t>
  </si>
  <si>
    <t>24q710103099</t>
  </si>
  <si>
    <t>张洁</t>
  </si>
  <si>
    <t>24q710103328</t>
  </si>
  <si>
    <t>张思琦</t>
  </si>
  <si>
    <t>24q710103101</t>
  </si>
  <si>
    <t>张文锭</t>
  </si>
  <si>
    <t>24q710103102</t>
  </si>
  <si>
    <t>张文曦</t>
  </si>
  <si>
    <t>24q710103103</t>
  </si>
  <si>
    <t>张远航</t>
  </si>
  <si>
    <t>24q710103105</t>
  </si>
  <si>
    <t>张智豪</t>
  </si>
  <si>
    <t>24q710103106</t>
  </si>
  <si>
    <t>赵彬宏</t>
  </si>
  <si>
    <t>24q710103107</t>
  </si>
  <si>
    <t>赵杨灵</t>
  </si>
  <si>
    <t>24q710103109</t>
  </si>
  <si>
    <t>赵宇斌</t>
  </si>
  <si>
    <t>24q710103334</t>
  </si>
  <si>
    <t>郑富阳</t>
  </si>
  <si>
    <t>24q710103110</t>
  </si>
  <si>
    <t>周傲</t>
  </si>
  <si>
    <t>24q710103112</t>
  </si>
  <si>
    <t>周书雅</t>
  </si>
  <si>
    <t>24q710103113</t>
  </si>
  <si>
    <t>周学玲</t>
  </si>
  <si>
    <t>24q710103114</t>
  </si>
  <si>
    <t>周雅岚</t>
  </si>
  <si>
    <t>24q710103115</t>
  </si>
  <si>
    <t>周一鑫</t>
  </si>
  <si>
    <t>24q710103190</t>
  </si>
  <si>
    <t>周翼华</t>
  </si>
  <si>
    <t>24q710103116</t>
  </si>
  <si>
    <t>邹浩桀</t>
  </si>
  <si>
    <t>24q710103118</t>
  </si>
  <si>
    <t>杨洪</t>
  </si>
  <si>
    <t>杨胜威</t>
  </si>
  <si>
    <t>杨馨儿</t>
  </si>
  <si>
    <t>严子朋</t>
  </si>
  <si>
    <t>杨亚茜</t>
  </si>
  <si>
    <t>杨昕昊</t>
  </si>
  <si>
    <t>杨佳浩</t>
  </si>
  <si>
    <t>柏朕翔</t>
  </si>
  <si>
    <t>24q710103119</t>
  </si>
  <si>
    <t>曹响瑞</t>
  </si>
  <si>
    <t>24q710103122</t>
  </si>
  <si>
    <t>曹燕</t>
  </si>
  <si>
    <t>24q710103123</t>
  </si>
  <si>
    <t>曾子奥</t>
  </si>
  <si>
    <t>24q710103126</t>
  </si>
  <si>
    <t>陈科</t>
  </si>
  <si>
    <t>24q710103128</t>
  </si>
  <si>
    <t>杜雨彤</t>
  </si>
  <si>
    <t>24q710103133</t>
  </si>
  <si>
    <t>付美玲</t>
  </si>
  <si>
    <t>24q710103134</t>
  </si>
  <si>
    <t>郭娱彤</t>
  </si>
  <si>
    <t>24q710103139</t>
  </si>
  <si>
    <t>郭语婷</t>
  </si>
  <si>
    <t>24q710103140</t>
  </si>
  <si>
    <t>胡林涛</t>
  </si>
  <si>
    <t>24q710103144</t>
  </si>
  <si>
    <t>黄丹</t>
  </si>
  <si>
    <t>24q710103145</t>
  </si>
  <si>
    <t>黄思婷</t>
  </si>
  <si>
    <t>24q710103147</t>
  </si>
  <si>
    <t>黄新翰</t>
  </si>
  <si>
    <t>24q710103149</t>
  </si>
  <si>
    <t>姜宇航</t>
  </si>
  <si>
    <t>24q710103152</t>
  </si>
  <si>
    <t>蒋欣雅</t>
  </si>
  <si>
    <t>24q710103153</t>
  </si>
  <si>
    <t>李成程</t>
  </si>
  <si>
    <t>24q710103155</t>
  </si>
  <si>
    <t>李可会</t>
  </si>
  <si>
    <t>24q710103157</t>
  </si>
  <si>
    <t>李锐</t>
  </si>
  <si>
    <t>24q710103159</t>
  </si>
  <si>
    <t>李施彤</t>
  </si>
  <si>
    <t>24q710103160</t>
  </si>
  <si>
    <t>李世平</t>
  </si>
  <si>
    <t>24q710103161</t>
  </si>
  <si>
    <t>李颜</t>
  </si>
  <si>
    <t>24q710103162</t>
  </si>
  <si>
    <t>梁语曦</t>
  </si>
  <si>
    <t>24q710103165</t>
  </si>
  <si>
    <t>廖萱</t>
  </si>
  <si>
    <t>24q710103166</t>
  </si>
  <si>
    <t>刘昊宇</t>
  </si>
  <si>
    <t>24q710103167</t>
  </si>
  <si>
    <t>刘雅馨</t>
  </si>
  <si>
    <t>24q710103170</t>
  </si>
  <si>
    <t>刘紫玉</t>
  </si>
  <si>
    <t>24q710103171</t>
  </si>
  <si>
    <t>罗萍萍</t>
  </si>
  <si>
    <t>24q710103173</t>
  </si>
  <si>
    <t>罗思洋</t>
  </si>
  <si>
    <t>24q710103174</t>
  </si>
  <si>
    <t>牟芃睿</t>
  </si>
  <si>
    <t>24q7101033110</t>
  </si>
  <si>
    <t>彭昊</t>
  </si>
  <si>
    <t>24q710103178</t>
  </si>
  <si>
    <t>-</t>
  </si>
  <si>
    <t>彭雨松</t>
  </si>
  <si>
    <t>24q710103181</t>
  </si>
  <si>
    <t>帅远琳</t>
  </si>
  <si>
    <t>710103176</t>
  </si>
  <si>
    <t>夏洋</t>
  </si>
  <si>
    <t>24q710103182</t>
  </si>
  <si>
    <t>杨卿</t>
  </si>
  <si>
    <t>710103207</t>
  </si>
  <si>
    <t>赵雅娟</t>
  </si>
  <si>
    <t>24q710103186</t>
  </si>
  <si>
    <t>赵宴</t>
  </si>
  <si>
    <t>24q710103187</t>
  </si>
  <si>
    <t>周语欣</t>
  </si>
  <si>
    <t>24q710103191</t>
  </si>
  <si>
    <t>陈芋涵</t>
  </si>
  <si>
    <t>24q710103281</t>
  </si>
  <si>
    <t>陈媛塬</t>
  </si>
  <si>
    <t>24q71010328620</t>
  </si>
  <si>
    <t>胡杨帆</t>
  </si>
  <si>
    <t>24q7101031261</t>
  </si>
  <si>
    <t>罗俊</t>
  </si>
  <si>
    <t>24q710103285</t>
  </si>
  <si>
    <t>彭稚迪</t>
  </si>
  <si>
    <t>24q710103286</t>
  </si>
  <si>
    <t>任佳旭</t>
  </si>
  <si>
    <t>24q710103287</t>
  </si>
  <si>
    <t>沈科君</t>
  </si>
  <si>
    <t>24q710103289</t>
  </si>
  <si>
    <t>宋非</t>
  </si>
  <si>
    <t>24q710103290</t>
  </si>
  <si>
    <t>宋昕瑀</t>
  </si>
  <si>
    <t>24q710103293</t>
  </si>
  <si>
    <t>苏蕾</t>
  </si>
  <si>
    <t>24q710103294</t>
  </si>
  <si>
    <t>覃露露</t>
  </si>
  <si>
    <t>24q710103295</t>
  </si>
  <si>
    <t>谭舜谊</t>
  </si>
  <si>
    <t>24q710103296</t>
  </si>
  <si>
    <t>唐子林</t>
  </si>
  <si>
    <t>24q710103298</t>
  </si>
  <si>
    <t>汪语函</t>
  </si>
  <si>
    <t>24q710103299</t>
  </si>
  <si>
    <t>王皓轩</t>
  </si>
  <si>
    <t>24q710103300</t>
  </si>
  <si>
    <t>王佳辉</t>
  </si>
  <si>
    <t>24q710103301</t>
  </si>
  <si>
    <t>王西</t>
  </si>
  <si>
    <t>24q710103303</t>
  </si>
  <si>
    <t>王一好</t>
  </si>
  <si>
    <t>24q710103305</t>
  </si>
  <si>
    <t>吴昭旭</t>
  </si>
  <si>
    <t>24q710103308</t>
  </si>
  <si>
    <t>伍国豪</t>
  </si>
  <si>
    <t>24q710103309</t>
  </si>
  <si>
    <t>鲜阳</t>
  </si>
  <si>
    <t>24q710103312</t>
  </si>
  <si>
    <t>熊思延</t>
  </si>
  <si>
    <t>24q710103314</t>
  </si>
  <si>
    <t>许慧佳</t>
  </si>
  <si>
    <t>24q710103316</t>
  </si>
  <si>
    <t>杨婧暄</t>
  </si>
  <si>
    <t>24q710103319</t>
  </si>
  <si>
    <t>杨宇博</t>
  </si>
  <si>
    <t>24q710103321</t>
  </si>
  <si>
    <t>叶宇婷</t>
  </si>
  <si>
    <t>24q710103324</t>
  </si>
  <si>
    <t>张健飞</t>
  </si>
  <si>
    <t>24q710103327</t>
  </si>
  <si>
    <t>张可唯</t>
  </si>
  <si>
    <t>24q710103329</t>
  </si>
  <si>
    <t>张芊芊</t>
  </si>
  <si>
    <t>24q710103330</t>
  </si>
  <si>
    <t>张思琪</t>
  </si>
  <si>
    <t>24q710103331</t>
  </si>
  <si>
    <t>张怡</t>
  </si>
  <si>
    <t>24q710103332</t>
  </si>
  <si>
    <t>赵小翔</t>
  </si>
  <si>
    <t>24q710103333</t>
  </si>
  <si>
    <t>赵雨彤</t>
  </si>
  <si>
    <t>24q710103335</t>
  </si>
  <si>
    <t>赵梓丞</t>
  </si>
  <si>
    <t>24q710103336</t>
  </si>
  <si>
    <t>赵梓皓</t>
  </si>
  <si>
    <t>24q710103337</t>
  </si>
  <si>
    <t>周湘鸿</t>
  </si>
  <si>
    <t>24q710103339</t>
  </si>
  <si>
    <t>周欣怡</t>
  </si>
  <si>
    <t>24q710103340</t>
  </si>
  <si>
    <t>周意嘉</t>
  </si>
  <si>
    <t>24q710103341</t>
  </si>
  <si>
    <t>邹晓雨</t>
  </si>
  <si>
    <t>24q710103342</t>
  </si>
  <si>
    <t>计算机网络应用基础</t>
  </si>
  <si>
    <t>白鑫</t>
  </si>
  <si>
    <t>24q710103351</t>
  </si>
  <si>
    <t>白云鹤</t>
  </si>
  <si>
    <t>24q710201141</t>
  </si>
  <si>
    <t>曹艾琦</t>
  </si>
  <si>
    <t>24q710201142</t>
  </si>
  <si>
    <t>曾丽丽</t>
  </si>
  <si>
    <t>24q710201002</t>
  </si>
  <si>
    <t>陈曾奇</t>
  </si>
  <si>
    <t>24q710201143</t>
  </si>
  <si>
    <t>陈庆东</t>
  </si>
  <si>
    <t>24q710201144</t>
  </si>
  <si>
    <t>陈阳</t>
  </si>
  <si>
    <t>24q710201145</t>
  </si>
  <si>
    <t>陈一鸣</t>
  </si>
  <si>
    <t>24q710201146</t>
  </si>
  <si>
    <t>付琨宇</t>
  </si>
  <si>
    <t>24q710201147</t>
  </si>
  <si>
    <t>付乐</t>
  </si>
  <si>
    <t>24q710201148</t>
  </si>
  <si>
    <t>付思玉</t>
  </si>
  <si>
    <t>24q710201149</t>
  </si>
  <si>
    <t>付紫萱</t>
  </si>
  <si>
    <t>24q71010328619</t>
  </si>
  <si>
    <t>高铃雅</t>
  </si>
  <si>
    <t>24q710201150</t>
  </si>
  <si>
    <t>何宝振</t>
  </si>
  <si>
    <t>24q710201151</t>
  </si>
  <si>
    <t>何芯锐</t>
  </si>
  <si>
    <t>24q710201152</t>
  </si>
  <si>
    <t>胡紫豪</t>
  </si>
  <si>
    <t>24q710201154</t>
  </si>
  <si>
    <t>解崇勋</t>
  </si>
  <si>
    <t>20240681</t>
  </si>
  <si>
    <t>孔智妍</t>
  </si>
  <si>
    <t>24q710201158</t>
  </si>
  <si>
    <t>李恩俊</t>
  </si>
  <si>
    <t>24q710201029</t>
  </si>
  <si>
    <t>李俊豪</t>
  </si>
  <si>
    <t>24q710201159</t>
  </si>
  <si>
    <t>李文涛</t>
  </si>
  <si>
    <t>24q710201160</t>
  </si>
  <si>
    <t>李潇苒</t>
  </si>
  <si>
    <t>20240926</t>
  </si>
  <si>
    <t>李勇</t>
  </si>
  <si>
    <t>24q710201161</t>
  </si>
  <si>
    <t>凌小茹</t>
  </si>
  <si>
    <t>24q710201162</t>
  </si>
  <si>
    <t>刘嫣然</t>
  </si>
  <si>
    <t>24q710201164</t>
  </si>
  <si>
    <t>刘宇轩</t>
  </si>
  <si>
    <t>24q710201079</t>
  </si>
  <si>
    <t>鲁如意</t>
  </si>
  <si>
    <t>24q710201167</t>
  </si>
  <si>
    <t>罗晨</t>
  </si>
  <si>
    <t>24q710201168</t>
  </si>
  <si>
    <t>罗凌君浩</t>
  </si>
  <si>
    <t>24q710201170</t>
  </si>
  <si>
    <t>罗圣鑫</t>
  </si>
  <si>
    <t>24q710201171</t>
  </si>
  <si>
    <t>牟学红</t>
  </si>
  <si>
    <t>24q710201175</t>
  </si>
  <si>
    <t>母彬宇</t>
  </si>
  <si>
    <t>20240822</t>
  </si>
  <si>
    <t>彭伊凡</t>
  </si>
  <si>
    <t>24q710201086</t>
  </si>
  <si>
    <t>彭雨涵</t>
  </si>
  <si>
    <t>24q710201176</t>
  </si>
  <si>
    <t>邱绍博</t>
  </si>
  <si>
    <t>24q710201177</t>
  </si>
  <si>
    <t>沈梦曦</t>
  </si>
  <si>
    <t>24q7101032866</t>
  </si>
  <si>
    <t>唐佳希</t>
  </si>
  <si>
    <t>24q710201040</t>
  </si>
  <si>
    <t>唐茂钞</t>
  </si>
  <si>
    <t>24q710201179</t>
  </si>
  <si>
    <t>田梦琪</t>
  </si>
  <si>
    <t>24q710201088</t>
  </si>
  <si>
    <t>汪诗琪</t>
  </si>
  <si>
    <t>24q710201181</t>
  </si>
  <si>
    <t>汪雨城</t>
  </si>
  <si>
    <t>24q710201182</t>
  </si>
  <si>
    <t>王骏恒</t>
  </si>
  <si>
    <t>20240722</t>
  </si>
  <si>
    <t>王念鑫</t>
  </si>
  <si>
    <t>24q710201183</t>
  </si>
  <si>
    <t>王思乐</t>
  </si>
  <si>
    <t>24q710201184</t>
  </si>
  <si>
    <t>王思睿</t>
  </si>
  <si>
    <t>24q710201185</t>
  </si>
  <si>
    <t>王月圻</t>
  </si>
  <si>
    <t>24q710201186</t>
  </si>
  <si>
    <t>吴耀阳</t>
  </si>
  <si>
    <t>24q710201096</t>
  </si>
  <si>
    <t>席辰辰</t>
  </si>
  <si>
    <t>24q710201187</t>
  </si>
  <si>
    <t>肖锦琪</t>
  </si>
  <si>
    <t>24q7102011411</t>
  </si>
  <si>
    <t>谢子涵</t>
  </si>
  <si>
    <t>24q710201188</t>
  </si>
  <si>
    <t>胥江源</t>
  </si>
  <si>
    <t>24q710201189</t>
  </si>
  <si>
    <t>徐晴纹</t>
  </si>
  <si>
    <t>24q710201190</t>
  </si>
  <si>
    <t>许俊晰</t>
  </si>
  <si>
    <t>24q710201192</t>
  </si>
  <si>
    <t>许琳茜</t>
  </si>
  <si>
    <t>24q710201193</t>
  </si>
  <si>
    <t>阳皓鑫</t>
  </si>
  <si>
    <t>24q710201194</t>
  </si>
  <si>
    <t>杨佩凌</t>
  </si>
  <si>
    <t>24q710201195</t>
  </si>
  <si>
    <t>杨清晨</t>
  </si>
  <si>
    <t>24q710201196</t>
  </si>
  <si>
    <t>杨宇琪</t>
  </si>
  <si>
    <t>24q710201198</t>
  </si>
  <si>
    <t>殷斯涵</t>
  </si>
  <si>
    <t>尹芦耀</t>
  </si>
  <si>
    <t>20240927</t>
  </si>
  <si>
    <t>余佩谣</t>
  </si>
  <si>
    <t>20240426</t>
  </si>
  <si>
    <t>余智缘</t>
  </si>
  <si>
    <t>24q710201202</t>
  </si>
  <si>
    <t>张玲媛</t>
  </si>
  <si>
    <t>24q710201203</t>
  </si>
  <si>
    <t>张芮菡</t>
  </si>
  <si>
    <t>24q710201204</t>
  </si>
  <si>
    <t>张以轩</t>
  </si>
  <si>
    <t>24q710201206</t>
  </si>
  <si>
    <t>张振杨</t>
  </si>
  <si>
    <t>24q710103286191</t>
  </si>
  <si>
    <t>张志豪</t>
  </si>
  <si>
    <t>24q710201112</t>
  </si>
  <si>
    <t>赵超越</t>
  </si>
  <si>
    <t>24q710201207</t>
  </si>
  <si>
    <t>赵秋宇</t>
  </si>
  <si>
    <t>24q710201208</t>
  </si>
  <si>
    <t>赵茹意</t>
  </si>
  <si>
    <t>24q710201209</t>
  </si>
  <si>
    <t>郑继翔</t>
  </si>
  <si>
    <t>24q71010328618</t>
  </si>
  <si>
    <t>郑平</t>
  </si>
  <si>
    <t>24q710201211</t>
  </si>
  <si>
    <t>郑文佳</t>
  </si>
  <si>
    <t>24q710201212</t>
  </si>
  <si>
    <t>郑志敏</t>
  </si>
  <si>
    <t>24q710201213</t>
  </si>
  <si>
    <t>朱骆</t>
  </si>
  <si>
    <t>24q710201214</t>
  </si>
  <si>
    <t>祝愿</t>
  </si>
  <si>
    <t>24q710201215</t>
  </si>
  <si>
    <t>白玉佳</t>
  </si>
  <si>
    <t>24q710201001</t>
  </si>
  <si>
    <t>陈海容</t>
  </si>
  <si>
    <t>24q710201003</t>
  </si>
  <si>
    <t>陈浩冉</t>
  </si>
  <si>
    <t>24q710201004</t>
  </si>
  <si>
    <t>陈加</t>
  </si>
  <si>
    <t>24q710201005</t>
  </si>
  <si>
    <t>陈语馨</t>
  </si>
  <si>
    <t>24q710201006</t>
  </si>
  <si>
    <t>范宇菲</t>
  </si>
  <si>
    <t>24q710201009</t>
  </si>
  <si>
    <t>方卓妍</t>
  </si>
  <si>
    <t>24q710201010</t>
  </si>
  <si>
    <t>付依依</t>
  </si>
  <si>
    <t>24q710201011</t>
  </si>
  <si>
    <t>龚婷雯</t>
  </si>
  <si>
    <t>24q710201013</t>
  </si>
  <si>
    <t>顾心语</t>
  </si>
  <si>
    <t>24q710201014</t>
  </si>
  <si>
    <t>郭慧茹</t>
  </si>
  <si>
    <t>24q710201015</t>
  </si>
  <si>
    <t>郭嘉豪</t>
  </si>
  <si>
    <t>24q710201016</t>
  </si>
  <si>
    <t>韩艾霖</t>
  </si>
  <si>
    <t>24q710201017</t>
  </si>
  <si>
    <t>何孝艺</t>
  </si>
  <si>
    <t>24q710201018</t>
  </si>
  <si>
    <t>何依晨</t>
  </si>
  <si>
    <t>24q710201019</t>
  </si>
  <si>
    <t>胡建军</t>
  </si>
  <si>
    <t>24q710201020</t>
  </si>
  <si>
    <t>胡欣</t>
  </si>
  <si>
    <t>24q710201021</t>
  </si>
  <si>
    <t>黄远川</t>
  </si>
  <si>
    <t>24q710201022</t>
  </si>
  <si>
    <t>江雨航</t>
  </si>
  <si>
    <t>24q710201023</t>
  </si>
  <si>
    <t>金天</t>
  </si>
  <si>
    <t>24q710201025</t>
  </si>
  <si>
    <t>孔德宇</t>
  </si>
  <si>
    <t>24q710201026</t>
  </si>
  <si>
    <t>兰雅淇</t>
  </si>
  <si>
    <t>24q710201027</t>
  </si>
  <si>
    <t>黎霞晖</t>
  </si>
  <si>
    <t>24q710201028</t>
  </si>
  <si>
    <t>李盼</t>
  </si>
  <si>
    <t>24q710201030</t>
  </si>
  <si>
    <t>李宛萱</t>
  </si>
  <si>
    <t>24q710201032</t>
  </si>
  <si>
    <t>李薇</t>
  </si>
  <si>
    <t>24q710201033</t>
  </si>
  <si>
    <t>李晓瑄</t>
  </si>
  <si>
    <t>24q710201034</t>
  </si>
  <si>
    <t>李昱婷</t>
  </si>
  <si>
    <t>24q710201035</t>
  </si>
  <si>
    <t>罗佳欣</t>
  </si>
  <si>
    <t>24q7102010241</t>
  </si>
  <si>
    <t>罗喧</t>
  </si>
  <si>
    <t>24q710201037</t>
  </si>
  <si>
    <t>罗壹</t>
  </si>
  <si>
    <t>24q710201038</t>
  </si>
  <si>
    <t>谭雨晗</t>
  </si>
  <si>
    <t>24q710201039</t>
  </si>
  <si>
    <t>万松</t>
  </si>
  <si>
    <t>24q710201041</t>
  </si>
  <si>
    <t>王秋衡</t>
  </si>
  <si>
    <t>24q710201042</t>
  </si>
  <si>
    <t>文玉儿</t>
  </si>
  <si>
    <t>24q710201043</t>
  </si>
  <si>
    <t>伍星宇</t>
  </si>
  <si>
    <t>24q710201044</t>
  </si>
  <si>
    <t>鲜李莉</t>
  </si>
  <si>
    <t>24q710201046</t>
  </si>
  <si>
    <t>尹伶丹</t>
  </si>
  <si>
    <t>24q710201048</t>
  </si>
  <si>
    <t>张靖蒲</t>
  </si>
  <si>
    <t>24q710201049</t>
  </si>
  <si>
    <t>张希睿</t>
  </si>
  <si>
    <t>24q710201050</t>
  </si>
  <si>
    <t>24q710201073</t>
  </si>
  <si>
    <t>李乐</t>
  </si>
  <si>
    <t>24q710201074</t>
  </si>
  <si>
    <t>李振宇</t>
  </si>
  <si>
    <t>24q710201076</t>
  </si>
  <si>
    <t>刘羽萱</t>
  </si>
  <si>
    <t>24q710201080</t>
  </si>
  <si>
    <t>柳佳怡</t>
  </si>
  <si>
    <t>24q710201081</t>
  </si>
  <si>
    <t>罗浩东</t>
  </si>
  <si>
    <t>24q710201082</t>
  </si>
  <si>
    <t>罗钰淇</t>
  </si>
  <si>
    <t>24q710201083</t>
  </si>
  <si>
    <t>欧思辰</t>
  </si>
  <si>
    <t>24q710201084</t>
  </si>
  <si>
    <t>彭辉</t>
  </si>
  <si>
    <t>24q710201085</t>
  </si>
  <si>
    <t>童江</t>
  </si>
  <si>
    <t>24q710201089</t>
  </si>
  <si>
    <t>万慧琳</t>
  </si>
  <si>
    <t>24q710201090</t>
  </si>
  <si>
    <t>汪怡婷</t>
  </si>
  <si>
    <t>24q710201091</t>
  </si>
  <si>
    <t>王林威</t>
  </si>
  <si>
    <t>24q710201092</t>
  </si>
  <si>
    <t>王妍茜</t>
  </si>
  <si>
    <t>24q710201093</t>
  </si>
  <si>
    <t>吴骞昊</t>
  </si>
  <si>
    <t>24q710201095</t>
  </si>
  <si>
    <t>鲜思羽</t>
  </si>
  <si>
    <t>24q710201098</t>
  </si>
  <si>
    <t>肖朋橙</t>
  </si>
  <si>
    <t>24q710201099</t>
  </si>
  <si>
    <t>徐仕锐</t>
  </si>
  <si>
    <t>24q710201321</t>
  </si>
  <si>
    <t>杨安琪</t>
  </si>
  <si>
    <t>24q710201100</t>
  </si>
  <si>
    <t>杨承浩</t>
  </si>
  <si>
    <t>24q710201101</t>
  </si>
  <si>
    <t>杨糕磊</t>
  </si>
  <si>
    <t>24q710201102</t>
  </si>
  <si>
    <t>杨靖宇</t>
  </si>
  <si>
    <t>24q710201103</t>
  </si>
  <si>
    <t>杨璐瑜</t>
  </si>
  <si>
    <t>24q710201104</t>
  </si>
  <si>
    <t>杨籽萱</t>
  </si>
  <si>
    <t>24q710201106</t>
  </si>
  <si>
    <t>24q710201108</t>
  </si>
  <si>
    <t>余雨飞</t>
  </si>
  <si>
    <t>24q710201109</t>
  </si>
  <si>
    <t>张桂钰</t>
  </si>
  <si>
    <t>24q710201110</t>
  </si>
  <si>
    <t>张云皓</t>
  </si>
  <si>
    <t>24q710201111</t>
  </si>
  <si>
    <t>章艺苗</t>
  </si>
  <si>
    <t>24q710201113</t>
  </si>
  <si>
    <t>赵一</t>
  </si>
  <si>
    <t>24q710201114</t>
  </si>
  <si>
    <t>赵宇</t>
  </si>
  <si>
    <t>24q710201115</t>
  </si>
  <si>
    <t>郑鑫元</t>
  </si>
  <si>
    <t>24q710201116</t>
  </si>
  <si>
    <t>周芮伊</t>
  </si>
  <si>
    <t>24q710201117</t>
  </si>
  <si>
    <t>周懿鹏</t>
  </si>
  <si>
    <t>24q710201119</t>
  </si>
  <si>
    <t>邹奥企</t>
  </si>
  <si>
    <t>24q710201121</t>
  </si>
  <si>
    <t>曾梓旋</t>
  </si>
  <si>
    <t>24q740101001</t>
  </si>
  <si>
    <t>侯奥健</t>
  </si>
  <si>
    <t>陈荣乐</t>
  </si>
  <si>
    <t>24q740101002</t>
  </si>
  <si>
    <t>黄玉莹</t>
  </si>
  <si>
    <t>陈欣蕾</t>
  </si>
  <si>
    <t>24q7401010181</t>
  </si>
  <si>
    <t>李凯茜</t>
  </si>
  <si>
    <t>陈宇航</t>
  </si>
  <si>
    <t>24q740101004</t>
  </si>
  <si>
    <t>何瑞云</t>
  </si>
  <si>
    <t>陈玉婷</t>
  </si>
  <si>
    <t>24q740101005</t>
  </si>
  <si>
    <t>凌瑶</t>
  </si>
  <si>
    <t>邓茜培</t>
  </si>
  <si>
    <t>20241306</t>
  </si>
  <si>
    <t>杨洹颢</t>
  </si>
  <si>
    <t>范雅婕</t>
  </si>
  <si>
    <t>24q740101007</t>
  </si>
  <si>
    <t>郑雨萱</t>
  </si>
  <si>
    <t>何婧悠</t>
  </si>
  <si>
    <t>24q740101075</t>
  </si>
  <si>
    <t>何梦涵</t>
  </si>
  <si>
    <t>24q740101076</t>
  </si>
  <si>
    <t>张露丹</t>
  </si>
  <si>
    <t>24q740101011</t>
  </si>
  <si>
    <t>何夏希</t>
  </si>
  <si>
    <t>24q740101013</t>
  </si>
  <si>
    <t>凌紫腾</t>
  </si>
  <si>
    <t>24q740101014</t>
  </si>
  <si>
    <t>李欣娱</t>
  </si>
  <si>
    <t>24q740101015</t>
  </si>
  <si>
    <t>雷京媚</t>
  </si>
  <si>
    <t>20240551</t>
  </si>
  <si>
    <t>罗佳懿</t>
  </si>
  <si>
    <t>24q740101016</t>
  </si>
  <si>
    <t>王浩然</t>
  </si>
  <si>
    <t>24q740101018</t>
  </si>
  <si>
    <t>李雨洪</t>
  </si>
  <si>
    <t>24q740101019</t>
  </si>
  <si>
    <t>姚小满</t>
  </si>
  <si>
    <t>李竹青</t>
  </si>
  <si>
    <t>24q740101021</t>
  </si>
  <si>
    <t>24q740101022</t>
  </si>
  <si>
    <t>钟文佳</t>
  </si>
  <si>
    <t>24q71010328622</t>
  </si>
  <si>
    <t>24q740101026</t>
  </si>
  <si>
    <t>向陈军</t>
  </si>
  <si>
    <t>欧袁圆</t>
  </si>
  <si>
    <t>740101026</t>
  </si>
  <si>
    <t>杨飞</t>
  </si>
  <si>
    <t>宋菲菲</t>
  </si>
  <si>
    <t>24q740101028</t>
  </si>
  <si>
    <t>杨芯怡</t>
  </si>
  <si>
    <t>24q740101029</t>
  </si>
  <si>
    <t>钟羽杉</t>
  </si>
  <si>
    <t>24q740101031</t>
  </si>
  <si>
    <t>文研馨</t>
  </si>
  <si>
    <t>吴诗</t>
  </si>
  <si>
    <t>24q740101036</t>
  </si>
  <si>
    <t>鲜琼</t>
  </si>
  <si>
    <t>24q740101039</t>
  </si>
  <si>
    <t>24q740101040</t>
  </si>
  <si>
    <t>熊宇豪</t>
  </si>
  <si>
    <t>24q7401010121</t>
  </si>
  <si>
    <t>24q740101041</t>
  </si>
  <si>
    <t>24q740101042</t>
  </si>
  <si>
    <t>张杰</t>
  </si>
  <si>
    <t>24q740101043</t>
  </si>
  <si>
    <t>24q740101044</t>
  </si>
  <si>
    <t>余佳豪</t>
  </si>
  <si>
    <t>24q740101045</t>
  </si>
  <si>
    <t>郑思涵</t>
  </si>
  <si>
    <t>袁红</t>
  </si>
  <si>
    <t>24q740101047</t>
  </si>
  <si>
    <t>24q740101048</t>
  </si>
  <si>
    <t>24q740101050</t>
  </si>
  <si>
    <t>张轩</t>
  </si>
  <si>
    <t>20240064</t>
  </si>
  <si>
    <t>24q740101052</t>
  </si>
  <si>
    <t>邹雅婷</t>
  </si>
  <si>
    <t>24q740101106</t>
  </si>
  <si>
    <t>24q740101053</t>
  </si>
  <si>
    <t>24q740101054</t>
  </si>
  <si>
    <t>24q740101056</t>
  </si>
  <si>
    <t>陈师毅</t>
  </si>
  <si>
    <t>24q660701002</t>
  </si>
  <si>
    <t>陈欣媛</t>
  </si>
  <si>
    <t>24q660701003</t>
  </si>
  <si>
    <t>陈星宇</t>
  </si>
  <si>
    <t>24q660701004</t>
  </si>
  <si>
    <t>程良艺</t>
  </si>
  <si>
    <t>24q660701005</t>
  </si>
  <si>
    <t>傅耀淋</t>
  </si>
  <si>
    <t>24q660701007</t>
  </si>
  <si>
    <t>何家玉</t>
  </si>
  <si>
    <t>24q660701008</t>
  </si>
  <si>
    <t>何宇锐</t>
  </si>
  <si>
    <t>24q660701009</t>
  </si>
  <si>
    <t>胡楠峰</t>
  </si>
  <si>
    <t>24q660701011</t>
  </si>
  <si>
    <t>江家豪</t>
  </si>
  <si>
    <t>24q660701013</t>
  </si>
  <si>
    <t>李俊杰</t>
  </si>
  <si>
    <t>2409022</t>
  </si>
  <si>
    <t>李颜兵</t>
  </si>
  <si>
    <t>24q660701014</t>
  </si>
  <si>
    <t>李毅</t>
  </si>
  <si>
    <t>24q660701015</t>
  </si>
  <si>
    <t>廖明杨</t>
  </si>
  <si>
    <t>24q660701017</t>
  </si>
  <si>
    <t>刘浩然</t>
  </si>
  <si>
    <t>24q660701018</t>
  </si>
  <si>
    <t>刘黄博</t>
  </si>
  <si>
    <t>24q660103023</t>
  </si>
  <si>
    <t>刘一飞</t>
  </si>
  <si>
    <t>24q660103168</t>
  </si>
  <si>
    <t>穆辰</t>
  </si>
  <si>
    <t>24q740101089</t>
  </si>
  <si>
    <t>饶彬伟</t>
  </si>
  <si>
    <t>24q660701022</t>
  </si>
  <si>
    <t>沈文亮</t>
  </si>
  <si>
    <t>24q660701023</t>
  </si>
  <si>
    <t>宋强红</t>
  </si>
  <si>
    <t>24q660701024</t>
  </si>
  <si>
    <t>苏松</t>
  </si>
  <si>
    <t>24q660701025</t>
  </si>
  <si>
    <t>王波</t>
  </si>
  <si>
    <t>24q6607010112</t>
  </si>
  <si>
    <t>24q660701026</t>
  </si>
  <si>
    <t>王竣湘</t>
  </si>
  <si>
    <t>24q660701027</t>
  </si>
  <si>
    <t>24q660701028</t>
  </si>
  <si>
    <t>王欣羽</t>
  </si>
  <si>
    <t>24q660701029</t>
  </si>
  <si>
    <t>吴涵逸</t>
  </si>
  <si>
    <t>24q660701032</t>
  </si>
  <si>
    <t>吴震</t>
  </si>
  <si>
    <t>24q660701033</t>
  </si>
  <si>
    <t>伍万杰</t>
  </si>
  <si>
    <t>24q770303039</t>
  </si>
  <si>
    <t>鲜明</t>
  </si>
  <si>
    <t>24q660701034</t>
  </si>
  <si>
    <t>鲜致远</t>
  </si>
  <si>
    <t>24q660701035</t>
  </si>
  <si>
    <t>杨锐鑫</t>
  </si>
  <si>
    <t>24q770303041</t>
  </si>
  <si>
    <t>杨雨辰</t>
  </si>
  <si>
    <t>殷成敬</t>
  </si>
  <si>
    <t>24q660701037</t>
  </si>
  <si>
    <t>余雪峰</t>
  </si>
  <si>
    <t>24q660701038</t>
  </si>
  <si>
    <t>张帮国</t>
  </si>
  <si>
    <t>24q6607010011</t>
  </si>
  <si>
    <t>张松林</t>
  </si>
  <si>
    <t>24q660701039</t>
  </si>
  <si>
    <t>赵仕文</t>
  </si>
  <si>
    <t>24q660701041</t>
  </si>
  <si>
    <t>周文毅</t>
  </si>
  <si>
    <t>24q660701043</t>
  </si>
  <si>
    <t>周翔宇</t>
  </si>
  <si>
    <t>24q660701044</t>
  </si>
  <si>
    <t>杨文豪</t>
  </si>
  <si>
    <t>金属加工</t>
  </si>
  <si>
    <t>电子电工</t>
  </si>
  <si>
    <t>白睿</t>
  </si>
  <si>
    <t>24q660103001</t>
  </si>
  <si>
    <t>曾远超</t>
  </si>
  <si>
    <t>24q660103002</t>
  </si>
  <si>
    <t>陈晓强</t>
  </si>
  <si>
    <t>24q660103003</t>
  </si>
  <si>
    <t>邓鹏举</t>
  </si>
  <si>
    <t>24q710201757</t>
  </si>
  <si>
    <t>付俊文</t>
  </si>
  <si>
    <t>24q710103284</t>
  </si>
  <si>
    <t>付羽翼</t>
  </si>
  <si>
    <t>24q660103005</t>
  </si>
  <si>
    <t>甘骁镆</t>
  </si>
  <si>
    <t>24q660103149</t>
  </si>
  <si>
    <t>龚俊伟</t>
  </si>
  <si>
    <t>24q660103006</t>
  </si>
  <si>
    <t>郭进</t>
  </si>
  <si>
    <t>24q660103007</t>
  </si>
  <si>
    <t>何佳辉</t>
  </si>
  <si>
    <t>24q660103008</t>
  </si>
  <si>
    <t>胡玉霖</t>
  </si>
  <si>
    <t>24q660103009</t>
  </si>
  <si>
    <t>胡桎菡</t>
  </si>
  <si>
    <t>24q660103010</t>
  </si>
  <si>
    <t>江航</t>
  </si>
  <si>
    <t>24q660103011</t>
  </si>
  <si>
    <t>江涛</t>
  </si>
  <si>
    <t>24q660103012</t>
  </si>
  <si>
    <t>李代荣</t>
  </si>
  <si>
    <t>24q660103157</t>
  </si>
  <si>
    <t>李嘉诚</t>
  </si>
  <si>
    <t>24q660103013</t>
  </si>
  <si>
    <t>李嘉智</t>
  </si>
  <si>
    <t>24q660103014</t>
  </si>
  <si>
    <t>李锦晨</t>
  </si>
  <si>
    <t>24q660103015</t>
  </si>
  <si>
    <t>李俊勇</t>
  </si>
  <si>
    <t>24q660103017</t>
  </si>
  <si>
    <t>李思宇</t>
  </si>
  <si>
    <t>24q660103020</t>
  </si>
  <si>
    <t>24q660103163</t>
  </si>
  <si>
    <t>李正新</t>
  </si>
  <si>
    <t>24q660103021</t>
  </si>
  <si>
    <t>李智鸿</t>
  </si>
  <si>
    <t>24q660103022</t>
  </si>
  <si>
    <t>李卓</t>
  </si>
  <si>
    <t>24q660103165</t>
  </si>
  <si>
    <t>刘俊杰</t>
  </si>
  <si>
    <t>24q660103024</t>
  </si>
  <si>
    <t>刘星伟</t>
  </si>
  <si>
    <t>24q710103169</t>
  </si>
  <si>
    <t>刘正强</t>
  </si>
  <si>
    <t>24q660103026</t>
  </si>
  <si>
    <t>刘志远</t>
  </si>
  <si>
    <t>24q660103171</t>
  </si>
  <si>
    <t>罗伟</t>
  </si>
  <si>
    <t>24q660103027</t>
  </si>
  <si>
    <t>罗旭</t>
  </si>
  <si>
    <t>24q710103175</t>
  </si>
  <si>
    <t>罗友</t>
  </si>
  <si>
    <t>24q660103028</t>
  </si>
  <si>
    <t>吕航</t>
  </si>
  <si>
    <t>24q660103029</t>
  </si>
  <si>
    <t>吕锦豪</t>
  </si>
  <si>
    <t>24q660103030</t>
  </si>
  <si>
    <t>吕欣缘</t>
  </si>
  <si>
    <t>24q660103031</t>
  </si>
  <si>
    <t>牟萍萍</t>
  </si>
  <si>
    <t>24q660103032</t>
  </si>
  <si>
    <t>欧宇林</t>
  </si>
  <si>
    <t>24q660103033</t>
  </si>
  <si>
    <t>彭加豪</t>
  </si>
  <si>
    <t>24q660103034</t>
  </si>
  <si>
    <t>彭炼予</t>
  </si>
  <si>
    <t>24q660103036</t>
  </si>
  <si>
    <t>彭旭</t>
  </si>
  <si>
    <t>24q660103038</t>
  </si>
  <si>
    <t>彭薛宇</t>
  </si>
  <si>
    <t>24q660103174</t>
  </si>
  <si>
    <t>钱君皓</t>
  </si>
  <si>
    <t>24q660103176</t>
  </si>
  <si>
    <t>舒杭</t>
  </si>
  <si>
    <t>24q660103040</t>
  </si>
  <si>
    <t>孙中祥</t>
  </si>
  <si>
    <t>24q660103041</t>
  </si>
  <si>
    <t>王光宏</t>
  </si>
  <si>
    <t>24q7101032104</t>
  </si>
  <si>
    <t>王茂霖</t>
  </si>
  <si>
    <t>24q660103184</t>
  </si>
  <si>
    <t>杨佳豪</t>
  </si>
  <si>
    <t>24q660103044</t>
  </si>
  <si>
    <t>张再勇</t>
  </si>
  <si>
    <t>24q660103200</t>
  </si>
  <si>
    <t>曾文帅</t>
  </si>
  <si>
    <t>24q660103071</t>
  </si>
  <si>
    <t>曾志城</t>
  </si>
  <si>
    <t>樊舒羽</t>
  </si>
  <si>
    <t>24q660103146</t>
  </si>
  <si>
    <t>冯宇航</t>
  </si>
  <si>
    <t>24q660103147</t>
  </si>
  <si>
    <t>何凌志</t>
  </si>
  <si>
    <t>24q770303008</t>
  </si>
  <si>
    <t>何懿轩</t>
  </si>
  <si>
    <t>24q660103073</t>
  </si>
  <si>
    <t>侯锦轩</t>
  </si>
  <si>
    <t>24q660103152</t>
  </si>
  <si>
    <t>黎旭阳</t>
  </si>
  <si>
    <t>24q7101032867</t>
  </si>
  <si>
    <t>24q6601030012</t>
  </si>
  <si>
    <t>11,5</t>
  </si>
  <si>
    <t>李响</t>
  </si>
  <si>
    <t>24q660103162</t>
  </si>
  <si>
    <t>李榆涵</t>
  </si>
  <si>
    <t>24q660103164</t>
  </si>
  <si>
    <t>刘靳博</t>
  </si>
  <si>
    <t>24q660103166</t>
  </si>
  <si>
    <t>刘英杰</t>
  </si>
  <si>
    <t>24q660103170</t>
  </si>
  <si>
    <t>刘宇鑫</t>
  </si>
  <si>
    <t>24q770303022</t>
  </si>
  <si>
    <t>荣祖平</t>
  </si>
  <si>
    <t>24q660103076</t>
  </si>
  <si>
    <t>宋薪瑞</t>
  </si>
  <si>
    <t>24q660103078</t>
  </si>
  <si>
    <t>宋泽文</t>
  </si>
  <si>
    <t>24q660103180</t>
  </si>
  <si>
    <t>万炫宏</t>
  </si>
  <si>
    <t>24q660103079</t>
  </si>
  <si>
    <t>汪佳乐</t>
  </si>
  <si>
    <t>24q660103181</t>
  </si>
  <si>
    <t>汪靖涵</t>
  </si>
  <si>
    <t>24q660103182</t>
  </si>
  <si>
    <t>汪俊杰</t>
  </si>
  <si>
    <t>24q660103080</t>
  </si>
  <si>
    <t>王继洪</t>
  </si>
  <si>
    <t>24q660103081</t>
  </si>
  <si>
    <t>王栎舒</t>
  </si>
  <si>
    <t>24q660103082</t>
  </si>
  <si>
    <t>王思贝</t>
  </si>
  <si>
    <t>24q660103083</t>
  </si>
  <si>
    <t>王伟桦</t>
  </si>
  <si>
    <t>24q660103084</t>
  </si>
  <si>
    <t>王宇航</t>
  </si>
  <si>
    <t>24q660103085</t>
  </si>
  <si>
    <t>伍毅博</t>
  </si>
  <si>
    <t>24q660103086</t>
  </si>
  <si>
    <t>肖俣晨</t>
  </si>
  <si>
    <t>24q660103087</t>
  </si>
  <si>
    <t>徐晋轩</t>
  </si>
  <si>
    <t>24q660103088</t>
  </si>
  <si>
    <t>许宇仝</t>
  </si>
  <si>
    <t>24q660103089</t>
  </si>
  <si>
    <t>杨家鑫</t>
  </si>
  <si>
    <t>24q660103090</t>
  </si>
  <si>
    <t>杨润超</t>
  </si>
  <si>
    <t>24q660103091</t>
  </si>
  <si>
    <t>杨文杰</t>
  </si>
  <si>
    <t>24q660103092</t>
  </si>
  <si>
    <t>杨心茹</t>
  </si>
  <si>
    <t>24q660103093</t>
  </si>
  <si>
    <t>余奥</t>
  </si>
  <si>
    <t>24q660103094</t>
  </si>
  <si>
    <t>余泽敏</t>
  </si>
  <si>
    <t>24q660103095</t>
  </si>
  <si>
    <t>张杰红</t>
  </si>
  <si>
    <t>24q660103096</t>
  </si>
  <si>
    <t>张心怡</t>
  </si>
  <si>
    <t>24q660103098</t>
  </si>
  <si>
    <t>张宇</t>
  </si>
  <si>
    <t>24q660103099</t>
  </si>
  <si>
    <t>张袁方</t>
  </si>
  <si>
    <t>24q660103100</t>
  </si>
  <si>
    <t>张再坤</t>
  </si>
  <si>
    <t>24q660103101</t>
  </si>
  <si>
    <t>赵正欣</t>
  </si>
  <si>
    <t>24q660103102</t>
  </si>
  <si>
    <t>郑广川</t>
  </si>
  <si>
    <t>24q660103103</t>
  </si>
  <si>
    <t>郑思语</t>
  </si>
  <si>
    <t>24q710103286151</t>
  </si>
  <si>
    <t>钟麦连</t>
  </si>
  <si>
    <t>24q660103104</t>
  </si>
  <si>
    <t>周豪</t>
  </si>
  <si>
    <t>24q660103105</t>
  </si>
  <si>
    <t>周梦鑫</t>
  </si>
  <si>
    <t>24q6601031461</t>
  </si>
  <si>
    <t>周腾昕</t>
  </si>
  <si>
    <t>24q660103106</t>
  </si>
  <si>
    <t>周天权</t>
  </si>
  <si>
    <t>24q660103107</t>
  </si>
  <si>
    <t>周星城</t>
  </si>
  <si>
    <t>24q660103108</t>
  </si>
  <si>
    <t>祝云锋</t>
  </si>
  <si>
    <t>24q660103109</t>
  </si>
  <si>
    <t>曹尹杰</t>
  </si>
  <si>
    <t>24q710103124</t>
  </si>
  <si>
    <t>曾滟</t>
  </si>
  <si>
    <t>24q660103142</t>
  </si>
  <si>
    <t>董廖丞</t>
  </si>
  <si>
    <t>24q660103145</t>
  </si>
  <si>
    <t>甘陈鑫</t>
  </si>
  <si>
    <t>24q660103148</t>
  </si>
  <si>
    <t>高浩逸</t>
  </si>
  <si>
    <t>24q660103150</t>
  </si>
  <si>
    <t>龚科瑞</t>
  </si>
  <si>
    <t>24q660103151</t>
  </si>
  <si>
    <t>侯耀辉</t>
  </si>
  <si>
    <t>24q660103153</t>
  </si>
  <si>
    <t>侯伊凡</t>
  </si>
  <si>
    <t>24q660103154</t>
  </si>
  <si>
    <t>黄睿豪</t>
  </si>
  <si>
    <t>24q660103155</t>
  </si>
  <si>
    <t>蒋沁洋</t>
  </si>
  <si>
    <t>24q660103156</t>
  </si>
  <si>
    <t>李定霖</t>
  </si>
  <si>
    <t>24q660103158</t>
  </si>
  <si>
    <t>李浩然</t>
  </si>
  <si>
    <t>24q660103159</t>
  </si>
  <si>
    <t>24q660103160</t>
  </si>
  <si>
    <t>李相霖</t>
  </si>
  <si>
    <t>24q660103161</t>
  </si>
  <si>
    <t>刘义航</t>
  </si>
  <si>
    <t>24q660103169</t>
  </si>
  <si>
    <t>罗一鸣</t>
  </si>
  <si>
    <t>24q660103172</t>
  </si>
  <si>
    <t>牟雨浩</t>
  </si>
  <si>
    <t>24q660103173</t>
  </si>
  <si>
    <t>彭咏诚</t>
  </si>
  <si>
    <t>24q710103180</t>
  </si>
  <si>
    <t>祁咏峰</t>
  </si>
  <si>
    <t>24q660103175</t>
  </si>
  <si>
    <t>宋满明</t>
  </si>
  <si>
    <t>24q660103177</t>
  </si>
  <si>
    <t>宋宇坚</t>
  </si>
  <si>
    <t>24q660103178</t>
  </si>
  <si>
    <t>宋宇涛</t>
  </si>
  <si>
    <t>24q660103179</t>
  </si>
  <si>
    <t>王俊杰</t>
  </si>
  <si>
    <t>24q660103183</t>
  </si>
  <si>
    <t>王旭</t>
  </si>
  <si>
    <t>24q660103185</t>
  </si>
  <si>
    <t>王学蒙</t>
  </si>
  <si>
    <t>24q710103304</t>
  </si>
  <si>
    <t>王子华</t>
  </si>
  <si>
    <t>24q660103186</t>
  </si>
  <si>
    <t>文康</t>
  </si>
  <si>
    <t>24q660103187</t>
  </si>
  <si>
    <t>文锡梁</t>
  </si>
  <si>
    <t>24q660103188</t>
  </si>
  <si>
    <t>巫曦鹏</t>
  </si>
  <si>
    <t>24q660103189</t>
  </si>
  <si>
    <t>鲜茜敏</t>
  </si>
  <si>
    <t>24q710103310</t>
  </si>
  <si>
    <t>鲜宇</t>
  </si>
  <si>
    <t>24q660103190</t>
  </si>
  <si>
    <t>许培钦</t>
  </si>
  <si>
    <t>24q660103191</t>
  </si>
  <si>
    <t>杨尚崧</t>
  </si>
  <si>
    <t>24q660103192</t>
  </si>
  <si>
    <t>余承威</t>
  </si>
  <si>
    <t>24q660103194</t>
  </si>
  <si>
    <t>张奥宁</t>
  </si>
  <si>
    <t>24q660103195</t>
  </si>
  <si>
    <t>张华磊</t>
  </si>
  <si>
    <t>24q660103196</t>
  </si>
  <si>
    <t>张庆林</t>
  </si>
  <si>
    <t>24q660103197</t>
  </si>
  <si>
    <t>张睿桓</t>
  </si>
  <si>
    <t>24q660103198</t>
  </si>
  <si>
    <t>张宇浩</t>
  </si>
  <si>
    <t>24q660103199</t>
  </si>
  <si>
    <t>24q660103201</t>
  </si>
  <si>
    <t>周松明</t>
  </si>
  <si>
    <t>24q660103202</t>
  </si>
  <si>
    <t>周欣悦</t>
  </si>
  <si>
    <t>24q660103203</t>
  </si>
  <si>
    <t>陈佳鑫</t>
  </si>
  <si>
    <t>24q770303001</t>
  </si>
  <si>
    <t>邓文灏</t>
  </si>
  <si>
    <t>24q770303004</t>
  </si>
  <si>
    <t>丁米艾</t>
  </si>
  <si>
    <t>24q710201071</t>
  </si>
  <si>
    <t>杜以姗</t>
  </si>
  <si>
    <t>24q770303005</t>
  </si>
  <si>
    <t>付宇琳</t>
  </si>
  <si>
    <t>MK20241188</t>
  </si>
  <si>
    <t>何宇杭</t>
  </si>
  <si>
    <t>24q770303010</t>
  </si>
  <si>
    <t>胡家豪</t>
  </si>
  <si>
    <t>24q770303011</t>
  </si>
  <si>
    <t>24q770303014</t>
  </si>
  <si>
    <t>李冉冉</t>
  </si>
  <si>
    <t>24q770303015</t>
  </si>
  <si>
    <t>李如意</t>
  </si>
  <si>
    <t>24q770303016</t>
  </si>
  <si>
    <t>李诗潮</t>
  </si>
  <si>
    <t>24q71010328610</t>
  </si>
  <si>
    <t>李帅建</t>
  </si>
  <si>
    <t>24q71010328611</t>
  </si>
  <si>
    <t>林煜窈</t>
  </si>
  <si>
    <t>24q710201118</t>
  </si>
  <si>
    <t>刘奥华</t>
  </si>
  <si>
    <t>24q710201077</t>
  </si>
  <si>
    <t>刘冰燕</t>
  </si>
  <si>
    <t>24q770303018</t>
  </si>
  <si>
    <t>罗金蕊</t>
  </si>
  <si>
    <t>24q710201169</t>
  </si>
  <si>
    <t>罗鑫佩</t>
  </si>
  <si>
    <t>24q770303023</t>
  </si>
  <si>
    <t>吕杨新昊</t>
  </si>
  <si>
    <t>24q770303024</t>
  </si>
  <si>
    <t>木乃陆斤</t>
  </si>
  <si>
    <t>24q770303025</t>
  </si>
  <si>
    <t>彭欣怡</t>
  </si>
  <si>
    <t>24q770303026</t>
  </si>
  <si>
    <t>汪城鑫</t>
  </si>
  <si>
    <t>24q770303030</t>
  </si>
  <si>
    <t>王仕杰</t>
  </si>
  <si>
    <t>王雅莉</t>
  </si>
  <si>
    <t>24q770303034</t>
  </si>
  <si>
    <t>文国蔓</t>
  </si>
  <si>
    <t>24q770303038</t>
  </si>
  <si>
    <t>伍城昔</t>
  </si>
  <si>
    <t>24q710201097</t>
  </si>
  <si>
    <t>谢天浩</t>
  </si>
  <si>
    <t>24q710103084</t>
  </si>
  <si>
    <t>杨家星</t>
  </si>
  <si>
    <t>24q710103986331</t>
  </si>
  <si>
    <t>姚宇凡</t>
  </si>
  <si>
    <t>2431049</t>
  </si>
  <si>
    <t>余孙荃</t>
  </si>
  <si>
    <t>24q710103325</t>
  </si>
  <si>
    <t>张贝</t>
  </si>
  <si>
    <t>24q770303044</t>
  </si>
  <si>
    <t>张俊涛</t>
  </si>
  <si>
    <t>24q770303045</t>
  </si>
  <si>
    <t>赵文杰</t>
  </si>
  <si>
    <t>5107424270439</t>
  </si>
  <si>
    <t>曹义雪</t>
  </si>
  <si>
    <t>24q740101071</t>
  </si>
  <si>
    <t>陈卓雅</t>
  </si>
  <si>
    <t>24q740101072</t>
  </si>
  <si>
    <t>郭天宇</t>
  </si>
  <si>
    <t>韩小玲</t>
  </si>
  <si>
    <t>24q740101010</t>
  </si>
  <si>
    <t>胡凌薇</t>
  </si>
  <si>
    <t>24q740101078</t>
  </si>
  <si>
    <t>雷雅馨</t>
  </si>
  <si>
    <t>24q740101083</t>
  </si>
  <si>
    <t>李艾</t>
  </si>
  <si>
    <t>24q740101084</t>
  </si>
  <si>
    <t>李佳雯</t>
  </si>
  <si>
    <t>24q740105009</t>
  </si>
  <si>
    <t>李梦茹</t>
  </si>
  <si>
    <t>24q740101085</t>
  </si>
  <si>
    <t>刘鑫宇</t>
  </si>
  <si>
    <t>24q740101086</t>
  </si>
  <si>
    <t>刘宇菲</t>
  </si>
  <si>
    <t>24q740101087</t>
  </si>
  <si>
    <t>罗奥阳</t>
  </si>
  <si>
    <t>24q740101088</t>
  </si>
  <si>
    <t>万钰菲</t>
  </si>
  <si>
    <t>24q740101090</t>
  </si>
  <si>
    <t>汪星宇</t>
  </si>
  <si>
    <t>24q740101091</t>
  </si>
  <si>
    <t>王夏芸</t>
  </si>
  <si>
    <t>24q740101092</t>
  </si>
  <si>
    <t>王钰彤</t>
  </si>
  <si>
    <t>24q740101093</t>
  </si>
  <si>
    <t>伍诗雨</t>
  </si>
  <si>
    <t>24q740101094</t>
  </si>
  <si>
    <t>伍紫怡</t>
  </si>
  <si>
    <t>24q740101038</t>
  </si>
  <si>
    <t>鲜红英</t>
  </si>
  <si>
    <t>24q740101095</t>
  </si>
  <si>
    <t>徐诗雨</t>
  </si>
  <si>
    <t>24q740101096</t>
  </si>
  <si>
    <t>24q740101100</t>
  </si>
  <si>
    <t>24q740101101</t>
  </si>
  <si>
    <t>杨梦琳</t>
  </si>
  <si>
    <t>24q71010328621</t>
  </si>
  <si>
    <t>杨思琴</t>
  </si>
  <si>
    <t>24q740101102</t>
  </si>
  <si>
    <t>余梦涵</t>
  </si>
  <si>
    <t>24q740101103</t>
  </si>
  <si>
    <t>张艺凡</t>
  </si>
  <si>
    <t>24q740101105</t>
  </si>
  <si>
    <t xml:space="preserve">19
</t>
  </si>
  <si>
    <t>25q710103160</t>
  </si>
</sst>
</file>

<file path=xl/styles.xml><?xml version="1.0" encoding="utf-8"?>
<styleSheet xmlns="http://schemas.openxmlformats.org/spreadsheetml/2006/main">
  <numFmts count="3">
    <numFmt numFmtId="300" formatCode="0_ "/>
    <numFmt numFmtId="301" formatCode="#,##0.00_ "/>
    <numFmt numFmtId="302" formatCode="General"/>
  </numFmts>
  <fonts count="30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color theme="1"/>
      <sz val="14"/>
      <scheme val="minor"/>
    </font>
    <font>
      <name val="Arial"/>
      <charset val="134"/>
      <family val="3"/>
      <sz val="10"/>
      <scheme val="minor"/>
    </font>
    <font>
      <name val="宋体"/>
    </font>
    <font>
      <name val="Arial"/>
      <sz val="10"/>
    </font>
    <font>
      <name val="仿宋"/>
      <charset val="134"/>
      <family val="3"/>
      <scheme val="minor"/>
    </font>
    <font>
      <name val="宋体"/>
      <charset val="134"/>
      <family val="3"/>
      <scheme val="minor"/>
    </font>
    <font>
      <name val="宋体"/>
      <color theme="1"/>
      <sz val="12"/>
    </font>
    <font>
      <name val="宋体"/>
      <color theme="1"/>
      <sz val="14"/>
    </font>
    <font>
      <name val="宋体"/>
      <charset val="134"/>
      <family val="3"/>
      <color rgb="FF000000"/>
      <sz val="14"/>
      <scheme val="minor"/>
    </font>
    <font>
      <name val="宋体"/>
      <charset val="134"/>
      <family val="3"/>
      <sz val="14"/>
      <scheme val="minor"/>
    </font>
    <font>
      <name val="宋体"/>
      <sz val="14"/>
    </font>
    <font>
      <name val="Arial"/>
      <charset val="134"/>
      <family val="3"/>
      <scheme val="minor"/>
    </font>
    <font>
      <name val="宋体-简"/>
      <charset val="134"/>
      <family val="3"/>
      <scheme val="minor"/>
    </font>
    <font>
      <name val="Arial"/>
    </font>
    <font>
      <name val="宋体-简"/>
    </font>
    <font>
      <name val="宋体-简"/>
    </font>
    <font>
      <name val="Arial"/>
    </font>
    <font>
      <name val="宋体"/>
    </font>
    <font>
      <name val="宋体"/>
      <charset val="134"/>
      <family val="3"/>
      <sz val="12"/>
      <scheme val="minor"/>
    </font>
    <font>
      <name val="仿宋"/>
      <charset val="134"/>
      <family val="3"/>
      <sz val="12"/>
      <scheme val="minor"/>
    </font>
    <font>
      <name val="仿宋"/>
      <sz val="12"/>
    </font>
    <font>
      <name val="仿宋"/>
      <sz val="12"/>
    </font>
    <font>
      <color rgb="FFFFFFFF"/>
    </font>
    <font>
      <name val="宋体"/>
      <color theme="1"/>
      <sz val="14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color theme="1"/>
      <sz val="11"/>
      <scheme val="minor"/>
    </font>
  </fonts>
  <fills count="12">
    <fill>
      <patternFill patternType="none"/>
    </fill>
    <fill>
      <patternFill patternType="gray125"/>
    </fill>
    <fill>
      <patternFill patternType="none"/>
    </fill>
    <fill/>
    <fill/>
    <fill>
      <patternFill patternType="none"/>
    </fill>
    <fill>
      <patternFill patternType="solid">
        <fgColor rgb="FFD9D9D9"/>
        <bgColor rgb="FFD9D9D9"/>
      </patternFill>
    </fill>
    <fill/>
    <fill>
      <patternFill patternType="solid">
        <fgColor rgb="FF8CDDFA"/>
      </patternFill>
    </fill>
    <fill>
      <patternFill patternType="solid">
        <fgColor rgb="FFFFFFFF"/>
      </patternFill>
    </fill>
    <fill>
      <patternFill patternType="none">
        <fgColor rgb="FF8CDDFA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  <diagonal/>
    </border>
    <border>
      <left/>
      <right/>
      <top/>
      <bottom/>
    </border>
    <border>
      <right/>
      <top/>
      <bottom/>
    </border>
    <border>
      <left/>
      <right/>
      <bottom/>
    </border>
    <border>
      <right/>
      <bottom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</borders>
  <cellStyleXfs>
    <xf numFmtId="302" fontId="29" fillId="0" borderId="23" xfId="0">
      <alignment vertical="center"/>
    </xf>
  </cellStyleXfs>
  <cellXfs count="1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2" fontId="3" fillId="0" borderId="1" xfId="0" applyFont="1" applyBorder="1" applyAlignment="1">
      <alignment horizontal="center" vertical="center"/>
    </xf>
    <xf numFmtId="302" fontId="3" fillId="0" borderId="1" xfId="0" applyFont="1" applyBorder="1">
      <alignment vertical="center"/>
    </xf>
    <xf numFmtId="0" fontId="3" fillId="0" borderId="1" xfId="0" applyNumberFormat="1" applyFont="1" applyBorder="1">
      <alignment vertical="center"/>
    </xf>
    <xf fontId="4" fillId="0" borderId="2" xfId="0">
      <alignment horizontal="center" vertical="center" textRotation="0"/>
    </xf>
    <xf numFmtId="0" fontId="5" fillId="2" borderId="3" xfId="0" applyNumberFormat="1" applyFont="1" applyFill="1" applyBorder="1" applyAlignment="1">
      <alignment horizontal="center" vertical="center"/>
    </xf>
    <xf fontId="6" fillId="0" borderId="4" xfId="0">
      <alignment horizontal="center" vertical="center" textRotation="0"/>
    </xf>
    <xf fontId="7" fillId="0" borderId="5" xfId="0">
      <alignment horizontal="center" vertical="center" textRotation="0"/>
    </xf>
    <xf fontId="8" fillId="0" borderId="5" xfId="0">
      <alignment horizontal="center" vertical="center" textRotation="0"/>
    </xf>
    <xf numFmtId="0" fontId="3" fillId="0" borderId="1" xfId="0" applyNumberFormat="1" applyFont="1" applyBorder="1" applyAlignment="1">
      <alignment horizontal="center" vertical="center"/>
    </xf>
    <xf numFmtId="0" fontId="9" fillId="2" borderId="3" xfId="0" applyNumberFormat="1" applyFont="1" applyFill="1" applyBorder="1" applyAlignment="1">
      <alignment horizontal="center" vertical="center"/>
    </xf>
    <xf numFmtId="0" fontId="29" fillId="2" borderId="3" xfId="0" applyNumberFormat="1" applyFill="1" applyBorder="1" applyAlignment="1">
      <alignment horizontal="center" vertical="center"/>
    </xf>
    <xf numFmtId="302" fontId="3" fillId="0" borderId="6" xfId="0" applyFont="1" applyBorder="1" applyAlignment="1">
      <alignment horizontal="center" vertical="center"/>
    </xf>
    <xf numFmtId="0" fontId="29" fillId="0" borderId="1" xfId="0" applyNumberFormat="1" applyBorder="1">
      <alignment vertical="center"/>
    </xf>
    <xf numFmtId="0" fontId="5" fillId="0" borderId="1" xfId="0" applyNumberFormat="1" applyFont="1" applyBorder="1">
      <alignment vertical="center"/>
    </xf>
    <xf numFmtId="302" fontId="29" fillId="0" borderId="1" xfId="0" applyBorder="1">
      <alignment vertical="center"/>
    </xf>
    <xf numFmtId="302" fontId="10" fillId="0" borderId="7" xfId="0" applyFont="1" applyBorder="1">
      <alignment vertical="center"/>
    </xf>
    <xf numFmtId="0" fontId="3" fillId="0" borderId="1" xfId="0">
      <alignment vertical="center"/>
    </xf>
    <xf fontId="3" fillId="0" borderId="1" xfId="0">
      <alignment vertical="center"/>
    </xf>
    <xf numFmtId="0" fontId="10" fillId="0" borderId="7" xfId="0" applyNumberFormat="1" applyFont="1" applyBorder="1">
      <alignment vertical="center"/>
    </xf>
    <xf fontId="10" fillId="0" borderId="7" xfId="0">
      <alignment vertical="center"/>
    </xf>
    <xf fontId="3" fillId="0" borderId="1" xfId="0">
      <alignment horizontal="center" vertical="center"/>
    </xf>
    <xf numFmtId="302" fontId="10" fillId="0" borderId="7" xfId="0" applyFont="1" applyBorder="1">
      <alignment vertical="center"/>
    </xf>
    <xf numFmtId="302" fontId="11" fillId="0" borderId="1" xfId="0" applyFont="1" applyBorder="1">
      <alignment vertical="center"/>
    </xf>
    <xf numFmtId="0" fontId="3" fillId="0" borderId="1" xfId="0" applyNumberFormat="1" applyFont="1" applyBorder="1" applyAlignment="1">
      <alignment vertical="center" wrapText="1"/>
    </xf>
    <xf fontId="0" fillId="0" borderId="0" xfId="0">
      <alignment vertical="center" wrapText="1"/>
    </xf>
    <xf fontId="12" fillId="0" borderId="5" xfId="0">
      <alignment horizontal="center" vertical="center" textRotation="0"/>
    </xf>
    <xf fontId="12" fillId="0" borderId="8" xfId="0">
      <alignment horizontal="center" vertical="center" textRotation="0"/>
    </xf>
    <xf fontId="12" fillId="0" borderId="5" xfId="0">
      <alignment vertical="center" textRotation="0"/>
    </xf>
    <xf fontId="12" fillId="0" borderId="9" xfId="0">
      <alignment horizontal="center" vertical="center" textRotation="0"/>
    </xf>
    <xf fontId="12" fillId="0" borderId="10" xfId="0">
      <alignment horizontal="center" vertical="center" textRotation="0"/>
    </xf>
    <xf fontId="12" fillId="0" borderId="9" xfId="0">
      <alignment vertical="center" textRotation="0"/>
    </xf>
    <xf fontId="13" fillId="0" borderId="9" xfId="0">
      <alignment horizontal="center" vertical="center" textRotation="0"/>
    </xf>
    <xf fontId="14" fillId="0" borderId="5" xfId="0">
      <alignment horizontal="center" vertical="center" textRotation="0"/>
    </xf>
    <xf fontId="15" fillId="0" borderId="5" xfId="0">
      <alignment horizontal="center" vertical="center" textRotation="0"/>
    </xf>
    <xf fontId="8" fillId="0" borderId="5" xfId="0">
      <alignment vertical="center" textRotation="0"/>
    </xf>
    <xf fontId="16" fillId="3" borderId="11" xfId="0">
      <alignment horizontal="center" vertical="center" textRotation="0"/>
    </xf>
    <xf fontId="17" fillId="4" borderId="11" xfId="0">
      <alignment horizontal="center" vertical="center" textRotation="0"/>
    </xf>
    <xf fontId="18" fillId="3" borderId="11" xfId="0">
      <alignment horizontal="center" vertical="center" textRotation="0"/>
    </xf>
    <xf fontId="19" fillId="3" borderId="11" xfId="0">
      <alignment horizontal="center" vertical="center" textRotation="0"/>
    </xf>
    <xf fontId="19" fillId="0" borderId="11" xfId="0">
      <alignment horizontal="center" vertical="center" textRotation="0"/>
    </xf>
    <xf fontId="20" fillId="0" borderId="11" xfId="0">
      <alignment horizontal="center" vertical="center" textRotation="0"/>
    </xf>
    <xf fontId="20" fillId="0" borderId="11" xfId="0">
      <alignment vertical="center" textRotation="0"/>
    </xf>
    <xf numFmtId="302" fontId="3" fillId="0" borderId="6" xfId="0" applyFont="1" applyBorder="1">
      <alignment vertical="center"/>
    </xf>
    <xf numFmtId="302" fontId="29" fillId="0" borderId="6" xfId="0" applyBorder="1">
      <alignment vertical="center"/>
    </xf>
    <xf numFmtId="302" fontId="3" fillId="5" borderId="1" xfId="0" applyFont="1" applyFill="1" applyBorder="1" applyAlignment="1">
      <alignment horizontal="center" vertical="center"/>
    </xf>
    <xf numFmtId="300" fontId="8" fillId="6" borderId="5" xfId="0">
      <alignment vertical="center" textRotation="0"/>
    </xf>
    <xf numFmtId="300" fontId="8" fillId="0" borderId="9" xfId="0">
      <alignment vertical="center" textRotation="0"/>
    </xf>
    <xf numFmtId="300" fontId="8" fillId="6" borderId="9" xfId="0">
      <alignment vertical="center" textRotation="0"/>
    </xf>
    <xf numFmtId="0" fontId="3" fillId="0" borderId="1" xfId="0">
      <alignment horizontal="center" vertical="center"/>
    </xf>
    <xf numFmtId="59" fontId="21" fillId="0" borderId="9" xfId="0">
      <alignment vertical="center" textRotation="0"/>
    </xf>
    <xf numFmtId="59" fontId="21" fillId="6" borderId="9" xfId="0">
      <alignment vertical="center" textRotation="0"/>
    </xf>
    <xf numFmtId="302" fontId="29" fillId="0" borderId="12" xfId="0" applyBorder="1">
      <alignment vertical="center"/>
    </xf>
    <xf fontId="8" fillId="0" borderId="9" xfId="0">
      <alignment vertical="center" textRotation="0"/>
    </xf>
    <xf fontId="10" fillId="0" borderId="7" xfId="0">
      <alignment vertical="center"/>
    </xf>
    <xf fontId="0" fillId="2" borderId="0" xfId="0">
      <alignment horizontal="center" vertical="center"/>
    </xf>
    <xf numFmtId="300" fontId="20" fillId="7" borderId="13" xfId="0">
      <alignment vertical="center" textRotation="0"/>
    </xf>
    <xf numFmtId="300" fontId="20" fillId="5" borderId="3" xfId="0">
      <alignment vertical="center" textRotation="0"/>
    </xf>
    <xf fontId="22" fillId="0" borderId="5" xfId="0">
      <alignment horizontal="center" vertical="center" textRotation="0"/>
    </xf>
    <xf fontId="22" fillId="7" borderId="5" xfId="0">
      <alignment horizontal="center" vertical="center" textRotation="0"/>
    </xf>
    <xf numFmtId="300" fontId="22" fillId="7" borderId="5" xfId="0">
      <alignment horizontal="center" vertical="center" textRotation="0"/>
    </xf>
    <xf fontId="23" fillId="0" borderId="5" xfId="0">
      <alignment horizontal="center" vertical="center" textRotation="0"/>
    </xf>
    <xf numFmtId="300" fontId="22" fillId="0" borderId="5" xfId="0">
      <alignment horizontal="center" vertical="center" textRotation="0"/>
    </xf>
    <xf fontId="23" fillId="0" borderId="11" xfId="0">
      <alignment horizontal="center" vertical="center" textRotation="0"/>
    </xf>
    <xf fontId="24" fillId="3" borderId="11" xfId="0">
      <alignment horizontal="center" vertical="center" textRotation="0"/>
    </xf>
    <xf fontId="23" fillId="3" borderId="11" xfId="0">
      <alignment horizontal="center" vertical="center" textRotation="0"/>
    </xf>
    <xf fontId="23" fillId="3" borderId="11" xfId="0">
      <alignment horizontal="center" vertical="center" textRotation="0"/>
    </xf>
    <xf numFmtId="301" fontId="3" fillId="0" borderId="1" xfId="0" applyNumberFormat="1" applyFont="1" applyBorder="1">
      <alignment vertical="center"/>
    </xf>
    <xf numFmtId="0" fontId="3" fillId="0" borderId="1" xfId="0" applyNumberFormat="1" applyFont="1" applyBorder="1" applyAlignment="1">
      <alignment vertical="center" wrapText="0"/>
    </xf>
    <xf fontId="8" fillId="0" borderId="14" xfId="0">
      <alignment vertical="center" textRotation="0"/>
    </xf>
    <xf fontId="25" fillId="0" borderId="15" xfId="0">
      <alignment vertical="center"/>
    </xf>
    <xf fontId="25" fillId="0" borderId="16" xfId="0">
      <alignment vertical="center"/>
    </xf>
    <xf fontId="25" fillId="0" borderId="0" xfId="0">
      <alignment vertical="center"/>
    </xf>
    <xf fontId="25" fillId="0" borderId="17" xfId="0">
      <alignment vertical="center"/>
    </xf>
    <xf fontId="25" fillId="0" borderId="18" xfId="0">
      <alignment vertical="center"/>
    </xf>
    <xf numFmtId="0" fontId="3" fillId="0" borderId="6" xfId="0" applyNumberFormat="1" applyFont="1" applyBorder="1" applyAlignment="1">
      <alignment horizontal="center" vertical="center"/>
    </xf>
    <xf numFmtId="0" fontId="11" fillId="5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0"/>
    </xf>
    <xf fontId="6" fillId="0" borderId="2" xfId="0">
      <alignment horizontal="center" vertical="center" textRotation="0"/>
    </xf>
    <xf numFmtId="302" fontId="29" fillId="0" borderId="1" xfId="0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fontId="0" fillId="0" borderId="0" xfId="0">
      <alignment horizontal="center" vertical="center"/>
    </xf>
    <xf numFmtId="302" fontId="4" fillId="0" borderId="2" xfId="0" applyFont="1" applyBorder="1" applyAlignment="1">
      <alignment horizontal="center" vertical="center" textRotation="0"/>
    </xf>
    <xf numFmtId="302" fontId="10" fillId="0" borderId="7" xfId="0" applyFont="1" applyBorder="1" applyAlignment="1">
      <alignment horizontal="center" vertical="center"/>
    </xf>
    <xf numFmtId="302" fontId="26" fillId="0" borderId="7" xfId="0" applyFont="1" applyBorder="1" applyAlignment="1">
      <alignment horizontal="center" vertical="center"/>
    </xf>
    <xf numFmtId="302" fontId="10" fillId="0" borderId="7" xfId="0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 vertical="center"/>
    </xf>
    <xf fontId="6" fillId="3" borderId="4" xfId="0">
      <alignment horizontal="center" vertical="center" textRotation="0"/>
    </xf>
    <xf fontId="8" fillId="9" borderId="5" xfId="0">
      <alignment vertical="center" textRotation="0"/>
    </xf>
    <xf fontId="21" fillId="9" borderId="5" xfId="0">
      <alignment vertical="bottom" textRotation="0"/>
    </xf>
    <xf numFmtId="0" fontId="10" fillId="0" borderId="7" xfId="0">
      <alignment vertical="center"/>
    </xf>
    <xf numFmtId="0" fontId="3" fillId="0" borderId="1" xfId="0" applyNumberFormat="1" applyFont="1" applyBorder="1" applyAlignment="1">
      <alignment horizontal="center" vertical="center" textRotation="0"/>
    </xf>
    <xf fontId="25" fillId="0" borderId="0" xfId="0">
      <alignment vertical="center"/>
    </xf>
    <xf numFmtId="302" fontId="3" fillId="0" borderId="1" xfId="0" applyFont="1" applyBorder="1" applyAlignment="1">
      <alignment horizontal="center" vertical="center" wrapText="1"/>
    </xf>
    <xf fontId="3" fillId="0" borderId="1" xfId="0">
      <alignment horizontal="center" vertical="center" wrapText="1"/>
    </xf>
    <xf fontId="8" fillId="6" borderId="9" xfId="0">
      <alignment vertical="center" textRotation="0"/>
    </xf>
    <xf numFmtId="0" fontId="29" fillId="0" borderId="7" xfId="0" applyNumberFormat="1" applyBorder="1">
      <alignment vertical="center"/>
    </xf>
    <xf numFmtId="0" fontId="29" fillId="0" borderId="7" xfId="0" applyNumberFormat="1" applyBorder="1">
      <alignment vertical="center"/>
    </xf>
    <xf numFmtId="0" fontId="10" fillId="0" borderId="7" xfId="0" applyNumberFormat="1" applyFont="1" applyBorder="1" applyAlignment="1">
      <alignment horizontal="center" vertical="center"/>
    </xf>
    <xf numFmtId="0" fontId="20" fillId="5" borderId="0" xfId="0">
      <alignment horizontal="center" vertical="center"/>
    </xf>
    <xf numFmtId="302" fontId="10" fillId="3" borderId="7" xfId="0" applyFont="1" applyFill="1" applyBorder="1" applyAlignment="1">
      <alignment horizontal="center" vertical="center"/>
    </xf>
    <xf numFmtId="0" fontId="0" fillId="2" borderId="3" xfId="0">
      <alignment horizontal="center" vertical="center"/>
    </xf>
    <xf numFmtId="300" fontId="20" fillId="6" borderId="13" xfId="0">
      <alignment vertical="center" textRotation="0"/>
    </xf>
    <xf numFmtId="302" fontId="29" fillId="0" borderId="7" xfId="0" applyBorder="1">
      <alignment vertical="center"/>
    </xf>
    <xf fontId="4" fillId="0" borderId="19" xfId="0">
      <alignment horizontal="center" vertical="center" textRotation="0"/>
    </xf>
    <xf fontId="4" fillId="0" borderId="20" xfId="0">
      <alignment horizontal="center" vertical="center" textRotation="0"/>
    </xf>
    <xf fontId="4" fillId="0" borderId="21" xfId="0">
      <alignment horizontal="center" vertical="center" textRotation="0"/>
    </xf>
    <xf numFmtId="302" fontId="3" fillId="9" borderId="1" xfId="0" applyFont="1" applyFill="1" applyBorder="1" applyAlignment="1">
      <alignment horizontal="center" vertical="center"/>
    </xf>
    <xf numFmtId="302" fontId="3" fillId="9" borderId="1" xfId="0" applyFont="1" applyFill="1" applyBorder="1">
      <alignment vertical="center"/>
    </xf>
    <xf fontId="3" fillId="9" borderId="1" xfId="0">
      <alignment horizontal="center" vertical="center" justifyLastLine="0" shrinkToFit="0"/>
    </xf>
    <xf fontId="12" fillId="9" borderId="5" xfId="0">
      <alignment horizontal="center" vertical="center" textRotation="0"/>
    </xf>
    <xf numFmtId="0" fontId="3" fillId="9" borderId="1" xfId="0" applyNumberFormat="1" applyFont="1" applyFill="1" applyBorder="1" applyAlignment="1">
      <alignment horizontal="center" vertical="center"/>
    </xf>
    <xf numFmtId="302" fontId="27" fillId="0" borderId="23" xfId="0" applyFont="1" applyAlignment="1">
      <alignment horizontal="center" vertical="center"/>
    </xf>
    <xf numFmtId="302" fontId="3" fillId="0" borderId="22" xfId="0" applyFont="1" applyBorder="1" applyAlignment="1">
      <alignment horizontal="center" vertical="center"/>
    </xf>
    <xf numFmtId="302" fontId="3" fillId="0" borderId="22" xfId="0" applyFont="1" applyBorder="1">
      <alignment vertical="center"/>
    </xf>
    <xf numFmtId="302" fontId="10" fillId="0" borderId="7" xfId="0" applyFont="1" applyBorder="1" applyAlignment="1">
      <alignment horizontal="center" vertical="center" wrapText="1"/>
    </xf>
    <xf numFmtId="0" fontId="10" fillId="0" borderId="7" xfId="0" applyNumberFormat="1" applyFont="1" applyBorder="1" applyAlignment="1">
      <alignment horizontal="center" vertical="center" wrapText="1"/>
    </xf>
    <xf numFmtId="302" fontId="11" fillId="0" borderId="1" xfId="0" applyFont="1" applyBorder="1" applyAlignment="1">
      <alignment horizontal="center" vertical="center" wrapText="1"/>
    </xf>
    <xf numFmtId="302" fontId="28" fillId="2" borderId="23" xfId="0" applyNumberFormat="1" applyFont="1" applyFill="1" applyBorder="1" applyAlignment="1">
      <alignment horizontal="center" vertical="center"/>
    </xf>
    <xf numFmtId="302" fontId="29" fillId="2" borderId="23" xfId="0" applyNumberFormat="1" applyFill="1" applyBorder="1" applyAlignment="1">
      <alignment horizontal="center" vertical="center"/>
    </xf>
    <xf fontId="0" fillId="10" borderId="0" xfId="0">
      <alignment horizontal="center" vertical="center"/>
    </xf>
    <xf numFmtId="302" fontId="29" fillId="11" borderId="23" xfId="0" applyNumberFormat="1" applyFill="1" applyBorder="1" applyAlignment="1">
      <alignment horizontal="center" vertical="center"/>
    </xf>
    <xf fontId="0" fillId="9" borderId="0" xfId="0">
      <alignment vertical="center"/>
    </xf>
    <xf numFmtId="302" fontId="3" fillId="2" borderId="23" xfId="0" applyNumberFormat="1" applyFont="1" applyFill="1" applyBorder="1" applyAlignment="1">
      <alignment horizontal="center" vertical="center"/>
    </xf>
    <xf fontId="0" fillId="0" borderId="0" xfId="0">
      <alignment horizontal="center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41" Type="http://schemas.openxmlformats.org/officeDocument/2006/relationships/externalLink" Target="externalLinks/externalLink1.xml" /><Relationship Id="rId7" Type="http://schemas.openxmlformats.org/officeDocument/2006/relationships/worksheet" Target="worksheets/sheet5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17" Type="http://schemas.openxmlformats.org/officeDocument/2006/relationships/worksheet" Target="worksheets/sheet15.xml" /><Relationship Id="rId42" Type="http://schemas.openxmlformats.org/officeDocument/2006/relationships/externalLink" Target="externalLinks/externalLink2.xml" /><Relationship Id="rId10" Type="http://schemas.openxmlformats.org/officeDocument/2006/relationships/worksheet" Target="worksheets/sheet8.xml" /><Relationship Id="rId28" Type="http://schemas.openxmlformats.org/officeDocument/2006/relationships/worksheet" Target="worksheets/sheet26.xml" /><Relationship Id="rId14" Type="http://schemas.openxmlformats.org/officeDocument/2006/relationships/worksheet" Target="worksheets/sheet12.xml" /><Relationship Id="rId8" Type="http://schemas.openxmlformats.org/officeDocument/2006/relationships/worksheet" Target="worksheets/sheet6.xml" /><Relationship Id="rId18" Type="http://schemas.openxmlformats.org/officeDocument/2006/relationships/worksheet" Target="worksheets/sheet16.xml" /><Relationship Id="rId23" Type="http://schemas.openxmlformats.org/officeDocument/2006/relationships/worksheet" Target="worksheets/sheet21.xml" /><Relationship Id="rId0" Type="http://schemas.openxmlformats.org/officeDocument/2006/relationships/sharedStrings" Target="sharedStrings.xml" /><Relationship Id="rId16" Type="http://schemas.openxmlformats.org/officeDocument/2006/relationships/worksheet" Target="worksheets/sheet14.xml" /><Relationship Id="rId26" Type="http://schemas.openxmlformats.org/officeDocument/2006/relationships/worksheet" Target="worksheets/sheet24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24" Type="http://schemas.openxmlformats.org/officeDocument/2006/relationships/worksheet" Target="worksheets/sheet22.xml" /><Relationship Id="rId2" Type="http://schemas.openxmlformats.org/officeDocument/2006/relationships/styles" Target="styles.xml" /><Relationship Id="rId32" Type="http://schemas.openxmlformats.org/officeDocument/2006/relationships/worksheet" Target="worksheets/sheet30.xml" /><Relationship Id="rId12" Type="http://schemas.openxmlformats.org/officeDocument/2006/relationships/worksheet" Target="worksheets/sheet10.xml" /><Relationship Id="rId30" Type="http://schemas.openxmlformats.org/officeDocument/2006/relationships/worksheet" Target="worksheets/sheet28.xml" /><Relationship Id="rId13" Type="http://schemas.openxmlformats.org/officeDocument/2006/relationships/worksheet" Target="worksheets/sheet11.xml" /><Relationship Id="rId25" Type="http://schemas.openxmlformats.org/officeDocument/2006/relationships/worksheet" Target="worksheets/sheet23.xml" /><Relationship Id="rId35" Type="http://schemas.openxmlformats.org/officeDocument/2006/relationships/worksheet" Target="worksheets/sheet33.xml" /><Relationship Id="rId27" Type="http://schemas.openxmlformats.org/officeDocument/2006/relationships/worksheet" Target="worksheets/sheet25.xml" /><Relationship Id="rId36" Type="http://schemas.openxmlformats.org/officeDocument/2006/relationships/worksheet" Target="worksheets/sheet34.xml" /><Relationship Id="rId31" Type="http://schemas.openxmlformats.org/officeDocument/2006/relationships/worksheet" Target="worksheets/sheet29.xml" /><Relationship Id="rId33" Type="http://schemas.openxmlformats.org/officeDocument/2006/relationships/worksheet" Target="worksheets/sheet31.xml" /><Relationship Id="rId38" Type="http://schemas.openxmlformats.org/officeDocument/2006/relationships/worksheet" Target="worksheets/sheet36.xml" /><Relationship Id="rId34" Type="http://schemas.openxmlformats.org/officeDocument/2006/relationships/worksheet" Target="worksheets/sheet32.xml" /><Relationship Id="rId29" Type="http://schemas.openxmlformats.org/officeDocument/2006/relationships/worksheet" Target="worksheets/sheet27.xml" /><Relationship Id="rId37" Type="http://schemas.openxmlformats.org/officeDocument/2006/relationships/worksheet" Target="worksheets/sheet35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/Relationships>
</file>

<file path=xl/externalLinks/_rels/externalLink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Users\Administrator\Desktop\25.xls" TargetMode="External"/></Relationships>
</file>

<file path=xl/externalLinks/_rels/externalLink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C:\Users\Administrator\Desktop\24&#32423;.xls" TargetMode="External"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0">
    <sheetNames>
      <sheetName val="在校生综合信息查询"/>
    </sheetNames>
    <sheetDataSet>
      <sheetData sheetId="0">
        <row r="2">
          <cell r="A2" t="str">
            <v>冯钥垚</v>
          </cell>
          <cell r="B2" t="str">
            <v>25q710103145</v>
          </cell>
          <cell r="C2" t="str">
            <v>25级保育1班</v>
          </cell>
        </row>
        <row r="3">
          <cell r="A3" t="str">
            <v>韩雨轩</v>
          </cell>
          <cell r="B3" t="str">
            <v>25q770101033</v>
          </cell>
          <cell r="C3" t="str">
            <v>25级保育1班</v>
          </cell>
        </row>
        <row r="4">
          <cell r="A4" t="str">
            <v>付雅琳</v>
          </cell>
          <cell r="B4" t="str">
            <v>25q770101034</v>
          </cell>
          <cell r="C4" t="str">
            <v>25级保育1班</v>
          </cell>
        </row>
        <row r="5">
          <cell r="A5" t="str">
            <v>杨梦涵</v>
          </cell>
          <cell r="B5" t="str">
            <v>25q770101050</v>
          </cell>
          <cell r="C5" t="str">
            <v>25级保育1班</v>
          </cell>
        </row>
        <row r="6">
          <cell r="A6" t="str">
            <v>邓文昊</v>
          </cell>
          <cell r="B6" t="str">
            <v>25q770303002</v>
          </cell>
          <cell r="C6" t="str">
            <v>25级保育1班</v>
          </cell>
        </row>
        <row r="7">
          <cell r="A7" t="str">
            <v>汪阳</v>
          </cell>
          <cell r="B7" t="str">
            <v>25q770303054</v>
          </cell>
          <cell r="C7" t="str">
            <v>25级保育1班</v>
          </cell>
        </row>
        <row r="8">
          <cell r="A8" t="str">
            <v>白心怡</v>
          </cell>
          <cell r="B8" t="str">
            <v>25q770303055</v>
          </cell>
          <cell r="C8" t="str">
            <v>25级保育1班</v>
          </cell>
        </row>
        <row r="9">
          <cell r="A9" t="str">
            <v>白海霞</v>
          </cell>
          <cell r="B9" t="str">
            <v>25q710201241</v>
          </cell>
          <cell r="C9" t="str">
            <v>25级保育1班</v>
          </cell>
        </row>
        <row r="10">
          <cell r="A10" t="str">
            <v>陈紫琳</v>
          </cell>
          <cell r="B10" t="str">
            <v>25q740101023</v>
          </cell>
          <cell r="C10" t="str">
            <v>25级保育1班</v>
          </cell>
        </row>
        <row r="11">
          <cell r="A11" t="str">
            <v>张豪鹏</v>
          </cell>
          <cell r="B11" t="str">
            <v>25q770101001</v>
          </cell>
          <cell r="C11" t="str">
            <v>25级保育1班</v>
          </cell>
        </row>
        <row r="12">
          <cell r="A12" t="str">
            <v>李泳颉</v>
          </cell>
          <cell r="B12" t="str">
            <v>25q770101003</v>
          </cell>
          <cell r="C12" t="str">
            <v>25级保育1班</v>
          </cell>
        </row>
        <row r="13">
          <cell r="A13" t="str">
            <v>李泳谊</v>
          </cell>
          <cell r="B13" t="str">
            <v>25q770101004</v>
          </cell>
          <cell r="C13" t="str">
            <v>25级保育1班</v>
          </cell>
        </row>
        <row r="14">
          <cell r="A14" t="str">
            <v>黄麟瑾</v>
          </cell>
          <cell r="B14" t="str">
            <v>25q770101005</v>
          </cell>
          <cell r="C14" t="str">
            <v>25级保育1班</v>
          </cell>
        </row>
        <row r="15">
          <cell r="A15" t="str">
            <v>田金玲</v>
          </cell>
          <cell r="B15" t="str">
            <v>25q770101006</v>
          </cell>
          <cell r="C15" t="str">
            <v>25级保育1班</v>
          </cell>
        </row>
        <row r="16">
          <cell r="A16" t="str">
            <v>范雨</v>
          </cell>
          <cell r="B16" t="str">
            <v>25q770101007</v>
          </cell>
          <cell r="C16" t="str">
            <v>25级保育1班</v>
          </cell>
        </row>
        <row r="17">
          <cell r="A17" t="str">
            <v>熊启馨</v>
          </cell>
          <cell r="B17" t="str">
            <v>25q770101008</v>
          </cell>
          <cell r="C17" t="str">
            <v>25级保育1班</v>
          </cell>
        </row>
        <row r="18">
          <cell r="A18" t="str">
            <v>袁梦梅</v>
          </cell>
          <cell r="B18" t="str">
            <v>25q770101009</v>
          </cell>
          <cell r="C18" t="str">
            <v>25级保育1班</v>
          </cell>
        </row>
        <row r="19">
          <cell r="A19" t="str">
            <v>陈紫伊</v>
          </cell>
          <cell r="B19" t="str">
            <v>25q770101010</v>
          </cell>
          <cell r="C19" t="str">
            <v>25级保育1班</v>
          </cell>
        </row>
        <row r="20">
          <cell r="A20" t="str">
            <v>李紫菡</v>
          </cell>
          <cell r="B20" t="str">
            <v>25q770101011</v>
          </cell>
          <cell r="C20" t="str">
            <v>25级保育1班</v>
          </cell>
        </row>
        <row r="21">
          <cell r="A21" t="str">
            <v>郑依萍</v>
          </cell>
          <cell r="B21" t="str">
            <v>25q770101012</v>
          </cell>
          <cell r="C21" t="str">
            <v>25级保育1班</v>
          </cell>
        </row>
        <row r="22">
          <cell r="A22" t="str">
            <v>闵可馨</v>
          </cell>
          <cell r="B22" t="str">
            <v>25q770101013</v>
          </cell>
          <cell r="C22" t="str">
            <v>25级保育1班</v>
          </cell>
        </row>
        <row r="23">
          <cell r="A23" t="str">
            <v>付雨馨</v>
          </cell>
          <cell r="B23" t="str">
            <v>25q770101014</v>
          </cell>
          <cell r="C23" t="str">
            <v>25级保育1班</v>
          </cell>
        </row>
        <row r="24">
          <cell r="A24" t="str">
            <v>张紫涵</v>
          </cell>
          <cell r="B24" t="str">
            <v>25q770101015</v>
          </cell>
          <cell r="C24" t="str">
            <v>25级保育1班</v>
          </cell>
        </row>
        <row r="25">
          <cell r="A25" t="str">
            <v>沈子涵</v>
          </cell>
          <cell r="B25" t="str">
            <v>25q770101016</v>
          </cell>
          <cell r="C25" t="str">
            <v>25级保育1班</v>
          </cell>
        </row>
        <row r="26">
          <cell r="A26" t="str">
            <v>牟梦昕</v>
          </cell>
          <cell r="B26" t="str">
            <v>25q770101017</v>
          </cell>
          <cell r="C26" t="str">
            <v>25级保育1班</v>
          </cell>
        </row>
        <row r="27">
          <cell r="A27" t="str">
            <v>朱语佳</v>
          </cell>
          <cell r="B27" t="str">
            <v>25q770101018</v>
          </cell>
          <cell r="C27" t="str">
            <v>25级保育1班</v>
          </cell>
        </row>
        <row r="28">
          <cell r="A28" t="str">
            <v>史梓钰</v>
          </cell>
          <cell r="B28" t="str">
            <v>25q770101019</v>
          </cell>
          <cell r="C28" t="str">
            <v>25级保育1班</v>
          </cell>
        </row>
        <row r="29">
          <cell r="A29" t="str">
            <v>李嘉琪</v>
          </cell>
          <cell r="B29" t="str">
            <v>25q770101020</v>
          </cell>
          <cell r="C29" t="str">
            <v>25级保育1班</v>
          </cell>
        </row>
        <row r="30">
          <cell r="A30" t="str">
            <v>李雨琴</v>
          </cell>
          <cell r="B30" t="str">
            <v>25q770101022</v>
          </cell>
          <cell r="C30" t="str">
            <v>25级保育1班</v>
          </cell>
        </row>
        <row r="31">
          <cell r="A31" t="str">
            <v>赵语瞳</v>
          </cell>
          <cell r="B31" t="str">
            <v>25q770101023</v>
          </cell>
          <cell r="C31" t="str">
            <v>25级保育1班</v>
          </cell>
        </row>
        <row r="32">
          <cell r="A32" t="str">
            <v>田雨馨</v>
          </cell>
          <cell r="B32" t="str">
            <v>25q770101024</v>
          </cell>
          <cell r="C32" t="str">
            <v>25级保育1班</v>
          </cell>
        </row>
        <row r="33">
          <cell r="A33" t="str">
            <v>陈李红</v>
          </cell>
          <cell r="B33" t="str">
            <v>25q770101025</v>
          </cell>
          <cell r="C33" t="str">
            <v>25级保育1班</v>
          </cell>
        </row>
        <row r="34">
          <cell r="A34" t="str">
            <v>张涵嫣</v>
          </cell>
          <cell r="B34" t="str">
            <v>25q770101026</v>
          </cell>
          <cell r="C34" t="str">
            <v>25级保育1班</v>
          </cell>
        </row>
        <row r="35">
          <cell r="A35" t="str">
            <v>罗李依</v>
          </cell>
          <cell r="B35" t="str">
            <v>25q770101027</v>
          </cell>
          <cell r="C35" t="str">
            <v>25级保育1班</v>
          </cell>
        </row>
        <row r="36">
          <cell r="A36" t="str">
            <v>李茜</v>
          </cell>
          <cell r="B36" t="str">
            <v>25q770101028</v>
          </cell>
          <cell r="C36" t="str">
            <v>25级保育1班</v>
          </cell>
        </row>
        <row r="37">
          <cell r="A37" t="str">
            <v>张梦宇</v>
          </cell>
          <cell r="B37" t="str">
            <v>25q770101029</v>
          </cell>
          <cell r="C37" t="str">
            <v>25级保育1班</v>
          </cell>
        </row>
        <row r="38">
          <cell r="A38" t="str">
            <v>宋雨馨</v>
          </cell>
          <cell r="B38" t="str">
            <v>25q770101030</v>
          </cell>
          <cell r="C38" t="str">
            <v>25级保育1班</v>
          </cell>
        </row>
        <row r="39">
          <cell r="A39" t="str">
            <v>徐樱玲</v>
          </cell>
          <cell r="B39" t="str">
            <v>25q770101031</v>
          </cell>
          <cell r="C39" t="str">
            <v>25级保育1班</v>
          </cell>
        </row>
        <row r="40">
          <cell r="A40" t="str">
            <v>郑紫瑄</v>
          </cell>
          <cell r="B40" t="str">
            <v>25q770101032</v>
          </cell>
          <cell r="C40" t="str">
            <v>25级保育1班</v>
          </cell>
        </row>
        <row r="41">
          <cell r="A41" t="str">
            <v>汪益冰</v>
          </cell>
          <cell r="B41" t="str">
            <v>25q770101035</v>
          </cell>
          <cell r="C41" t="str">
            <v>25级保育1班</v>
          </cell>
        </row>
        <row r="42">
          <cell r="A42" t="str">
            <v>沈玉欣</v>
          </cell>
          <cell r="B42" t="str">
            <v>24q71010328616</v>
          </cell>
          <cell r="C42" t="str">
            <v>25级保育2班(本方)</v>
          </cell>
        </row>
        <row r="43">
          <cell r="A43" t="str">
            <v>王梦婷</v>
          </cell>
          <cell r="B43" t="str">
            <v>25q710201042</v>
          </cell>
          <cell r="C43" t="str">
            <v>25级保育2班(本方)</v>
          </cell>
        </row>
        <row r="44">
          <cell r="A44" t="str">
            <v>彭潇然</v>
          </cell>
          <cell r="B44" t="str">
            <v>25q710201047</v>
          </cell>
          <cell r="C44" t="str">
            <v>25级保育2班(本方)</v>
          </cell>
        </row>
        <row r="45">
          <cell r="A45" t="str">
            <v>霍静琳</v>
          </cell>
          <cell r="B45" t="str">
            <v>25q770101036</v>
          </cell>
          <cell r="C45" t="str">
            <v>25级保育2班(本方)</v>
          </cell>
        </row>
        <row r="46">
          <cell r="A46" t="str">
            <v>孙雨茹</v>
          </cell>
          <cell r="B46" t="str">
            <v>25q770101037</v>
          </cell>
          <cell r="C46" t="str">
            <v>25级保育2班(本方)</v>
          </cell>
        </row>
        <row r="47">
          <cell r="A47" t="str">
            <v>徐梓茹</v>
          </cell>
          <cell r="B47" t="str">
            <v>25q770101038</v>
          </cell>
          <cell r="C47" t="str">
            <v>25级保育2班(本方)</v>
          </cell>
        </row>
        <row r="48">
          <cell r="A48" t="str">
            <v>谢梦琴</v>
          </cell>
          <cell r="B48" t="str">
            <v>25q770101039</v>
          </cell>
          <cell r="C48" t="str">
            <v>25级保育2班(本方)</v>
          </cell>
        </row>
        <row r="49">
          <cell r="A49" t="str">
            <v>李梦蝶</v>
          </cell>
          <cell r="B49" t="str">
            <v>25q770101040</v>
          </cell>
          <cell r="C49" t="str">
            <v>25级保育2班(本方)</v>
          </cell>
        </row>
        <row r="50">
          <cell r="A50" t="str">
            <v>王艳茹</v>
          </cell>
          <cell r="B50" t="str">
            <v>25q770101041</v>
          </cell>
          <cell r="C50" t="str">
            <v>25级保育2班(本方)</v>
          </cell>
        </row>
        <row r="51">
          <cell r="A51" t="str">
            <v>曹雅琳</v>
          </cell>
          <cell r="B51" t="str">
            <v>25q770101042</v>
          </cell>
          <cell r="C51" t="str">
            <v>25级保育2班(本方)</v>
          </cell>
        </row>
        <row r="52">
          <cell r="A52" t="str">
            <v>李重阳</v>
          </cell>
          <cell r="B52" t="str">
            <v>25q770101043</v>
          </cell>
          <cell r="C52" t="str">
            <v>25级保育2班(本方)</v>
          </cell>
        </row>
        <row r="53">
          <cell r="A53" t="str">
            <v>曾艺萌</v>
          </cell>
          <cell r="B53" t="str">
            <v>25q770101045</v>
          </cell>
          <cell r="C53" t="str">
            <v>25级保育2班(本方)</v>
          </cell>
        </row>
        <row r="54">
          <cell r="A54" t="str">
            <v>得西措</v>
          </cell>
          <cell r="B54" t="str">
            <v>25q770101046</v>
          </cell>
          <cell r="C54" t="str">
            <v>25级保育2班(本方)</v>
          </cell>
        </row>
        <row r="55">
          <cell r="A55" t="str">
            <v>黄馨甜</v>
          </cell>
          <cell r="B55" t="str">
            <v>25q770101047</v>
          </cell>
          <cell r="C55" t="str">
            <v>25级保育2班(本方)</v>
          </cell>
        </row>
        <row r="56">
          <cell r="A56" t="str">
            <v>王依依</v>
          </cell>
          <cell r="B56" t="str">
            <v>25q770101048</v>
          </cell>
          <cell r="C56" t="str">
            <v>25级保育2班(本方)</v>
          </cell>
        </row>
        <row r="57">
          <cell r="A57" t="str">
            <v>王逸婷</v>
          </cell>
          <cell r="B57" t="str">
            <v>25q770101049</v>
          </cell>
          <cell r="C57" t="str">
            <v>25级保育2班(本方)</v>
          </cell>
        </row>
        <row r="58">
          <cell r="A58" t="str">
            <v>张雨嘉</v>
          </cell>
          <cell r="B58" t="str">
            <v>25q770101051</v>
          </cell>
          <cell r="C58" t="str">
            <v>25级保育2班(本方)</v>
          </cell>
        </row>
        <row r="59">
          <cell r="A59" t="str">
            <v>祝王婷</v>
          </cell>
          <cell r="B59" t="str">
            <v>25q770101052</v>
          </cell>
          <cell r="C59" t="str">
            <v>25级保育2班(本方)</v>
          </cell>
        </row>
        <row r="60">
          <cell r="A60" t="str">
            <v>郑思琦</v>
          </cell>
          <cell r="B60" t="str">
            <v>25q770101053</v>
          </cell>
          <cell r="C60" t="str">
            <v>25级保育2班(本方)</v>
          </cell>
        </row>
        <row r="61">
          <cell r="A61" t="str">
            <v>黄俊曦</v>
          </cell>
          <cell r="B61" t="str">
            <v>25q770101054</v>
          </cell>
          <cell r="C61" t="str">
            <v>25级保育2班(本方)</v>
          </cell>
        </row>
        <row r="62">
          <cell r="A62" t="str">
            <v>牟钰柯</v>
          </cell>
          <cell r="B62" t="str">
            <v>25q770101056</v>
          </cell>
          <cell r="C62" t="str">
            <v>25级保育2班(本方)</v>
          </cell>
        </row>
        <row r="63">
          <cell r="A63" t="str">
            <v>李佳懿</v>
          </cell>
          <cell r="B63" t="str">
            <v>25q770101057</v>
          </cell>
          <cell r="C63" t="str">
            <v>25级保育2班(本方)</v>
          </cell>
        </row>
        <row r="64">
          <cell r="A64" t="str">
            <v>陈鸿雁</v>
          </cell>
          <cell r="B64" t="str">
            <v>25q770101058</v>
          </cell>
          <cell r="C64" t="str">
            <v>25级保育2班(本方)</v>
          </cell>
        </row>
        <row r="65">
          <cell r="A65" t="str">
            <v>华晶晶</v>
          </cell>
          <cell r="B65" t="str">
            <v>25q770101059</v>
          </cell>
          <cell r="C65" t="str">
            <v>25级保育2班(本方)</v>
          </cell>
        </row>
        <row r="66">
          <cell r="A66" t="str">
            <v>李宇馨</v>
          </cell>
          <cell r="B66" t="str">
            <v>25q770101060</v>
          </cell>
          <cell r="C66" t="str">
            <v>25级保育2班(本方)</v>
          </cell>
        </row>
        <row r="67">
          <cell r="A67" t="str">
            <v>秦芸</v>
          </cell>
          <cell r="B67" t="str">
            <v>25q770101044</v>
          </cell>
          <cell r="C67" t="str">
            <v>25级保育2班(本方)</v>
          </cell>
        </row>
        <row r="68">
          <cell r="A68" t="str">
            <v>周国靖</v>
          </cell>
          <cell r="B68" t="str">
            <v>25q710103355</v>
          </cell>
          <cell r="C68" t="str">
            <v>25级茶艺班</v>
          </cell>
        </row>
        <row r="69">
          <cell r="A69" t="str">
            <v>刘琳</v>
          </cell>
          <cell r="B69" t="str">
            <v>25q710103205</v>
          </cell>
          <cell r="C69" t="str">
            <v>25级茶艺班</v>
          </cell>
        </row>
        <row r="70">
          <cell r="A70" t="str">
            <v>杨晰文</v>
          </cell>
          <cell r="B70" t="str">
            <v>25q740101002</v>
          </cell>
          <cell r="C70" t="str">
            <v>25级茶艺班</v>
          </cell>
        </row>
        <row r="71">
          <cell r="A71" t="str">
            <v>张诗雨</v>
          </cell>
          <cell r="B71" t="str">
            <v>25q740101004</v>
          </cell>
          <cell r="C71" t="str">
            <v>25级茶艺班</v>
          </cell>
        </row>
        <row r="72">
          <cell r="A72" t="str">
            <v>刘子瑜</v>
          </cell>
          <cell r="B72" t="str">
            <v>25q740101006</v>
          </cell>
          <cell r="C72" t="str">
            <v>25级茶艺班</v>
          </cell>
        </row>
        <row r="73">
          <cell r="A73" t="str">
            <v>刘欣雨</v>
          </cell>
          <cell r="B73" t="str">
            <v>25q740101049</v>
          </cell>
          <cell r="C73" t="str">
            <v>25级茶艺班</v>
          </cell>
        </row>
        <row r="74">
          <cell r="A74" t="str">
            <v>王彩霞</v>
          </cell>
          <cell r="B74" t="str">
            <v>25q740101050</v>
          </cell>
          <cell r="C74" t="str">
            <v>25级茶艺班</v>
          </cell>
        </row>
        <row r="75">
          <cell r="A75" t="str">
            <v>苟雨涵</v>
          </cell>
          <cell r="B75" t="str">
            <v>25q740101055</v>
          </cell>
          <cell r="C75" t="str">
            <v>25级茶艺班</v>
          </cell>
        </row>
        <row r="76">
          <cell r="A76" t="str">
            <v>赵梓伊</v>
          </cell>
          <cell r="B76" t="str">
            <v>25q740101056</v>
          </cell>
          <cell r="C76" t="str">
            <v>25级茶艺班</v>
          </cell>
        </row>
        <row r="77">
          <cell r="A77" t="str">
            <v>张雨欣</v>
          </cell>
          <cell r="B77" t="str">
            <v>25q740101057</v>
          </cell>
          <cell r="C77" t="str">
            <v>25级茶艺班</v>
          </cell>
        </row>
        <row r="78">
          <cell r="A78" t="str">
            <v>杨晶</v>
          </cell>
          <cell r="B78" t="str">
            <v>25q740101058</v>
          </cell>
          <cell r="C78" t="str">
            <v>25级茶艺班</v>
          </cell>
        </row>
        <row r="79">
          <cell r="A79" t="str">
            <v>宿羽菲</v>
          </cell>
          <cell r="B79" t="str">
            <v>25q740101059</v>
          </cell>
          <cell r="C79" t="str">
            <v>25级茶艺班</v>
          </cell>
        </row>
        <row r="80">
          <cell r="A80" t="str">
            <v>赵雯怡</v>
          </cell>
          <cell r="B80" t="str">
            <v>25q740101060</v>
          </cell>
          <cell r="C80" t="str">
            <v>25级茶艺班</v>
          </cell>
        </row>
        <row r="81">
          <cell r="A81" t="str">
            <v>李晨</v>
          </cell>
          <cell r="B81" t="str">
            <v>25q740101061</v>
          </cell>
          <cell r="C81" t="str">
            <v>25级茶艺班</v>
          </cell>
        </row>
        <row r="82">
          <cell r="A82" t="str">
            <v>任巧怡</v>
          </cell>
          <cell r="B82" t="str">
            <v>25q740101063</v>
          </cell>
          <cell r="C82" t="str">
            <v>25级茶艺班</v>
          </cell>
        </row>
        <row r="83">
          <cell r="A83" t="str">
            <v>何正莹</v>
          </cell>
          <cell r="B83" t="str">
            <v>25q740101064</v>
          </cell>
          <cell r="C83" t="str">
            <v>25级茶艺班</v>
          </cell>
        </row>
        <row r="84">
          <cell r="A84" t="str">
            <v>祝荔檬</v>
          </cell>
          <cell r="B84" t="str">
            <v>25q740101065</v>
          </cell>
          <cell r="C84" t="str">
            <v>25级茶艺班</v>
          </cell>
        </row>
        <row r="85">
          <cell r="A85" t="str">
            <v>沈丹凤</v>
          </cell>
          <cell r="B85" t="str">
            <v>25q740101066</v>
          </cell>
          <cell r="C85" t="str">
            <v>25级茶艺班</v>
          </cell>
        </row>
        <row r="86">
          <cell r="A86" t="str">
            <v>张雅萱</v>
          </cell>
          <cell r="B86" t="str">
            <v>25q740101067</v>
          </cell>
          <cell r="C86" t="str">
            <v>25级茶艺班</v>
          </cell>
        </row>
        <row r="87">
          <cell r="A87" t="str">
            <v>陈湘</v>
          </cell>
          <cell r="B87" t="str">
            <v>25q740101068</v>
          </cell>
          <cell r="C87" t="str">
            <v>25级茶艺班</v>
          </cell>
        </row>
        <row r="88">
          <cell r="A88" t="str">
            <v>杨梦宇</v>
          </cell>
          <cell r="B88" t="str">
            <v>25710103356</v>
          </cell>
          <cell r="C88" t="str">
            <v>25级茶艺班</v>
          </cell>
        </row>
        <row r="89">
          <cell r="A89" t="str">
            <v>谢成毅</v>
          </cell>
          <cell r="B89" t="str">
            <v>25q710103262</v>
          </cell>
          <cell r="C89" t="str">
            <v>25级电子1班</v>
          </cell>
        </row>
        <row r="90">
          <cell r="A90" t="str">
            <v>江雨帆</v>
          </cell>
          <cell r="B90" t="str">
            <v>25q710103269</v>
          </cell>
          <cell r="C90" t="str">
            <v>25级电子1班</v>
          </cell>
        </row>
        <row r="91">
          <cell r="A91" t="str">
            <v>孙梓怡</v>
          </cell>
          <cell r="B91" t="str">
            <v>25q710103271</v>
          </cell>
          <cell r="C91" t="str">
            <v>25级电子1班</v>
          </cell>
        </row>
        <row r="92">
          <cell r="A92" t="str">
            <v>张超</v>
          </cell>
          <cell r="B92" t="str">
            <v>25q710103276</v>
          </cell>
          <cell r="C92" t="str">
            <v>25级电子1班</v>
          </cell>
        </row>
        <row r="93">
          <cell r="A93" t="str">
            <v>田珂欣</v>
          </cell>
          <cell r="B93" t="str">
            <v>25q710103280</v>
          </cell>
          <cell r="C93" t="str">
            <v>25级电子1班</v>
          </cell>
        </row>
        <row r="94">
          <cell r="A94" t="str">
            <v>高玉涵</v>
          </cell>
          <cell r="B94" t="str">
            <v>25q710103283</v>
          </cell>
          <cell r="C94" t="str">
            <v>25级电子1班</v>
          </cell>
        </row>
        <row r="95">
          <cell r="A95" t="str">
            <v>朱元虎</v>
          </cell>
          <cell r="B95" t="str">
            <v>25q770303005</v>
          </cell>
          <cell r="C95" t="str">
            <v>25级电子1班</v>
          </cell>
        </row>
        <row r="96">
          <cell r="A96" t="str">
            <v>符玉涵</v>
          </cell>
          <cell r="B96" t="str">
            <v>25q770303012</v>
          </cell>
          <cell r="C96" t="str">
            <v>25级电子1班</v>
          </cell>
        </row>
        <row r="97">
          <cell r="A97" t="str">
            <v>杨文凯</v>
          </cell>
          <cell r="B97" t="str">
            <v>25q770303018</v>
          </cell>
          <cell r="C97" t="str">
            <v>25级电子1班</v>
          </cell>
        </row>
        <row r="98">
          <cell r="A98" t="str">
            <v>房竣</v>
          </cell>
          <cell r="B98" t="str">
            <v>25q770303019</v>
          </cell>
          <cell r="C98" t="str">
            <v>25级电子1班</v>
          </cell>
        </row>
        <row r="99">
          <cell r="A99" t="str">
            <v>陈奕宇</v>
          </cell>
          <cell r="B99" t="str">
            <v>25q770303042</v>
          </cell>
          <cell r="C99" t="str">
            <v>25级电子1班</v>
          </cell>
        </row>
        <row r="100">
          <cell r="A100" t="str">
            <v>姜博译</v>
          </cell>
          <cell r="B100" t="str">
            <v>25q660103116</v>
          </cell>
          <cell r="C100" t="str">
            <v>25级电子1班</v>
          </cell>
        </row>
        <row r="101">
          <cell r="A101" t="str">
            <v>梁志灏</v>
          </cell>
          <cell r="B101" t="str">
            <v>25q660103118</v>
          </cell>
          <cell r="C101" t="str">
            <v>25级电子1班</v>
          </cell>
        </row>
        <row r="102">
          <cell r="A102" t="str">
            <v>杨加全</v>
          </cell>
          <cell r="B102" t="str">
            <v>25q710103298</v>
          </cell>
          <cell r="C102" t="str">
            <v>25级电子1班</v>
          </cell>
        </row>
        <row r="103">
          <cell r="A103" t="str">
            <v>祝健平</v>
          </cell>
          <cell r="B103" t="str">
            <v>25q710103305</v>
          </cell>
          <cell r="C103" t="str">
            <v>25级电子1班</v>
          </cell>
        </row>
        <row r="104">
          <cell r="A104" t="str">
            <v>王文凯</v>
          </cell>
          <cell r="B104" t="str">
            <v>25q710103349</v>
          </cell>
          <cell r="C104" t="str">
            <v>25级电子1班</v>
          </cell>
        </row>
        <row r="105">
          <cell r="A105" t="str">
            <v>袁锐军</v>
          </cell>
          <cell r="B105" t="str">
            <v>25q710103282</v>
          </cell>
          <cell r="C105" t="str">
            <v>25级电子1班</v>
          </cell>
        </row>
        <row r="106">
          <cell r="A106" t="str">
            <v>权文博</v>
          </cell>
          <cell r="B106" t="str">
            <v>25q710103295</v>
          </cell>
          <cell r="C106" t="str">
            <v>25级电子1班</v>
          </cell>
        </row>
        <row r="107">
          <cell r="A107" t="str">
            <v>郑炳耀</v>
          </cell>
          <cell r="B107" t="str">
            <v>25q710103348</v>
          </cell>
          <cell r="C107" t="str">
            <v>25级电子1班</v>
          </cell>
        </row>
        <row r="108">
          <cell r="A108" t="str">
            <v>李燕</v>
          </cell>
          <cell r="B108" t="str">
            <v>25q770101002</v>
          </cell>
          <cell r="C108" t="str">
            <v>25级电子1班</v>
          </cell>
        </row>
        <row r="109">
          <cell r="A109" t="str">
            <v>许巧利</v>
          </cell>
          <cell r="B109" t="str">
            <v>25q710103296</v>
          </cell>
          <cell r="C109" t="str">
            <v>25级电子1班</v>
          </cell>
        </row>
        <row r="110">
          <cell r="A110" t="str">
            <v>杨艺</v>
          </cell>
          <cell r="B110" t="str">
            <v>25q710103297</v>
          </cell>
          <cell r="C110" t="str">
            <v>25级电子1班</v>
          </cell>
        </row>
        <row r="111">
          <cell r="A111" t="str">
            <v>付鑫玥</v>
          </cell>
          <cell r="B111" t="str">
            <v>25q710103299</v>
          </cell>
          <cell r="C111" t="str">
            <v>25级电子1班</v>
          </cell>
        </row>
        <row r="112">
          <cell r="A112" t="str">
            <v>万富强</v>
          </cell>
          <cell r="B112" t="str">
            <v>25q710103300</v>
          </cell>
          <cell r="C112" t="str">
            <v>25级电子1班</v>
          </cell>
        </row>
        <row r="113">
          <cell r="A113" t="str">
            <v>高玉轩</v>
          </cell>
          <cell r="B113" t="str">
            <v>25q710103301</v>
          </cell>
          <cell r="C113" t="str">
            <v>25级电子1班</v>
          </cell>
        </row>
        <row r="114">
          <cell r="A114" t="str">
            <v>杨琴</v>
          </cell>
          <cell r="B114" t="str">
            <v>25q710103302</v>
          </cell>
          <cell r="C114" t="str">
            <v>25级电子1班</v>
          </cell>
        </row>
        <row r="115">
          <cell r="A115" t="str">
            <v>杨恩成</v>
          </cell>
          <cell r="B115" t="str">
            <v>25q710103303</v>
          </cell>
          <cell r="C115" t="str">
            <v>25级电子1班</v>
          </cell>
        </row>
        <row r="116">
          <cell r="A116" t="str">
            <v>周宏伟</v>
          </cell>
          <cell r="B116" t="str">
            <v>25q710103306</v>
          </cell>
          <cell r="C116" t="str">
            <v>25级电子1班</v>
          </cell>
        </row>
        <row r="117">
          <cell r="A117" t="str">
            <v>黄梓桂</v>
          </cell>
          <cell r="B117" t="str">
            <v>25q710103307</v>
          </cell>
          <cell r="C117" t="str">
            <v>25级电子1班</v>
          </cell>
        </row>
        <row r="118">
          <cell r="A118" t="str">
            <v>谢帅</v>
          </cell>
          <cell r="B118" t="str">
            <v>25q710103309</v>
          </cell>
          <cell r="C118" t="str">
            <v>25级电子1班</v>
          </cell>
        </row>
        <row r="119">
          <cell r="A119" t="str">
            <v>秦瑞新</v>
          </cell>
          <cell r="B119" t="str">
            <v>25q710103310</v>
          </cell>
          <cell r="C119" t="str">
            <v>25级电子1班</v>
          </cell>
        </row>
        <row r="120">
          <cell r="A120" t="str">
            <v>杨俊杰</v>
          </cell>
          <cell r="B120" t="str">
            <v>25q710103311</v>
          </cell>
          <cell r="C120" t="str">
            <v>25级电子1班</v>
          </cell>
        </row>
        <row r="121">
          <cell r="A121" t="str">
            <v>熊涵阳</v>
          </cell>
          <cell r="B121" t="str">
            <v>25q710103312</v>
          </cell>
          <cell r="C121" t="str">
            <v>25级电子1班</v>
          </cell>
        </row>
        <row r="122">
          <cell r="A122" t="str">
            <v>黄鑫叙</v>
          </cell>
          <cell r="B122" t="str">
            <v>25q710103313</v>
          </cell>
          <cell r="C122" t="str">
            <v>25级电子1班</v>
          </cell>
        </row>
        <row r="123">
          <cell r="A123" t="str">
            <v>李阳</v>
          </cell>
          <cell r="B123" t="str">
            <v>25q710103314</v>
          </cell>
          <cell r="C123" t="str">
            <v>25级电子1班</v>
          </cell>
        </row>
        <row r="124">
          <cell r="A124" t="str">
            <v>吴李鑫</v>
          </cell>
          <cell r="B124" t="str">
            <v>25q710103315</v>
          </cell>
          <cell r="C124" t="str">
            <v>25级电子1班</v>
          </cell>
        </row>
        <row r="125">
          <cell r="A125" t="str">
            <v>李哲轩</v>
          </cell>
          <cell r="B125" t="str">
            <v>25q710103316</v>
          </cell>
          <cell r="C125" t="str">
            <v>25级电子1班</v>
          </cell>
        </row>
        <row r="126">
          <cell r="A126" t="str">
            <v>汤宇洁</v>
          </cell>
          <cell r="B126" t="str">
            <v>25q710103317</v>
          </cell>
          <cell r="C126" t="str">
            <v>25级电子1班</v>
          </cell>
        </row>
        <row r="127">
          <cell r="A127" t="str">
            <v>刘函林</v>
          </cell>
          <cell r="B127" t="str">
            <v>25q710103318</v>
          </cell>
          <cell r="C127" t="str">
            <v>25级电子1班</v>
          </cell>
        </row>
        <row r="128">
          <cell r="A128" t="str">
            <v>王浩</v>
          </cell>
          <cell r="B128" t="str">
            <v>25q710103319</v>
          </cell>
          <cell r="C128" t="str">
            <v>25级电子1班</v>
          </cell>
        </row>
        <row r="129">
          <cell r="A129" t="str">
            <v>王艺</v>
          </cell>
          <cell r="B129" t="str">
            <v>25q710103320</v>
          </cell>
          <cell r="C129" t="str">
            <v>25级电子1班</v>
          </cell>
        </row>
        <row r="130">
          <cell r="A130" t="str">
            <v>李豪</v>
          </cell>
          <cell r="B130" t="str">
            <v>25q710103321</v>
          </cell>
          <cell r="C130" t="str">
            <v>25级电子1班</v>
          </cell>
        </row>
        <row r="131">
          <cell r="A131" t="str">
            <v>余文涵</v>
          </cell>
          <cell r="B131" t="str">
            <v>25q710103322</v>
          </cell>
          <cell r="C131" t="str">
            <v>25级电子1班</v>
          </cell>
        </row>
        <row r="132">
          <cell r="A132" t="str">
            <v>王语嫣</v>
          </cell>
          <cell r="B132" t="str">
            <v>25q710103323</v>
          </cell>
          <cell r="C132" t="str">
            <v>25级电子1班</v>
          </cell>
        </row>
        <row r="133">
          <cell r="A133" t="str">
            <v>乔杰</v>
          </cell>
          <cell r="B133" t="str">
            <v>25q710103324</v>
          </cell>
          <cell r="C133" t="str">
            <v>25级电子1班</v>
          </cell>
        </row>
        <row r="134">
          <cell r="A134" t="str">
            <v>朱梓烨</v>
          </cell>
          <cell r="B134" t="str">
            <v>25q710103325</v>
          </cell>
          <cell r="C134" t="str">
            <v>25级电子1班</v>
          </cell>
        </row>
        <row r="135">
          <cell r="A135" t="str">
            <v>陈旭焱</v>
          </cell>
          <cell r="B135" t="str">
            <v>25q710103326</v>
          </cell>
          <cell r="C135" t="str">
            <v>25级电子1班</v>
          </cell>
        </row>
        <row r="136">
          <cell r="A136" t="str">
            <v>吴佳豪</v>
          </cell>
          <cell r="B136" t="str">
            <v>25q710103328</v>
          </cell>
          <cell r="C136" t="str">
            <v>25级电子1班</v>
          </cell>
        </row>
        <row r="137">
          <cell r="A137" t="str">
            <v>祝汶琦</v>
          </cell>
          <cell r="B137" t="str">
            <v>25q710103329</v>
          </cell>
          <cell r="C137" t="str">
            <v>25级电子1班</v>
          </cell>
        </row>
        <row r="138">
          <cell r="A138" t="str">
            <v>李宇帆</v>
          </cell>
          <cell r="B138" t="str">
            <v>25q710103330</v>
          </cell>
          <cell r="C138" t="str">
            <v>25级电子1班</v>
          </cell>
        </row>
        <row r="139">
          <cell r="A139" t="str">
            <v>陈君统</v>
          </cell>
          <cell r="B139" t="str">
            <v>25q710103331</v>
          </cell>
          <cell r="C139" t="str">
            <v>25级电子1班</v>
          </cell>
        </row>
        <row r="140">
          <cell r="A140" t="str">
            <v>孙宇豪</v>
          </cell>
          <cell r="B140" t="str">
            <v>25q710103332</v>
          </cell>
          <cell r="C140" t="str">
            <v>25级电子1班</v>
          </cell>
        </row>
        <row r="141">
          <cell r="A141" t="str">
            <v>丁嘉豪</v>
          </cell>
          <cell r="B141" t="str">
            <v>25q710103333</v>
          </cell>
          <cell r="C141" t="str">
            <v>25级电子1班</v>
          </cell>
        </row>
        <row r="142">
          <cell r="A142" t="str">
            <v>黄鸿阳</v>
          </cell>
          <cell r="B142" t="str">
            <v>25q710103334</v>
          </cell>
          <cell r="C142" t="str">
            <v>25级电子1班</v>
          </cell>
        </row>
        <row r="143">
          <cell r="A143" t="str">
            <v>张俊伟</v>
          </cell>
          <cell r="B143" t="str">
            <v>25q710103335</v>
          </cell>
          <cell r="C143" t="str">
            <v>25级电子1班</v>
          </cell>
        </row>
        <row r="144">
          <cell r="A144" t="str">
            <v>罗杨凯</v>
          </cell>
          <cell r="B144" t="str">
            <v>25q710103336</v>
          </cell>
          <cell r="C144" t="str">
            <v>25级电子1班</v>
          </cell>
        </row>
        <row r="145">
          <cell r="A145" t="str">
            <v>赵馨雨</v>
          </cell>
          <cell r="B145" t="str">
            <v>25q710103337</v>
          </cell>
          <cell r="C145" t="str">
            <v>25级电子1班</v>
          </cell>
        </row>
        <row r="146">
          <cell r="A146" t="str">
            <v>黄诗宇</v>
          </cell>
          <cell r="B146" t="str">
            <v>25q710103339</v>
          </cell>
          <cell r="C146" t="str">
            <v>25级电子1班</v>
          </cell>
        </row>
        <row r="147">
          <cell r="A147" t="str">
            <v>白雨佳</v>
          </cell>
          <cell r="B147" t="str">
            <v>25q710103340</v>
          </cell>
          <cell r="C147" t="str">
            <v>25级电子1班</v>
          </cell>
        </row>
        <row r="148">
          <cell r="A148" t="str">
            <v>彭星富</v>
          </cell>
          <cell r="B148" t="str">
            <v>25q710103341</v>
          </cell>
          <cell r="C148" t="str">
            <v>25级电子1班</v>
          </cell>
        </row>
        <row r="149">
          <cell r="A149" t="str">
            <v>王瑞</v>
          </cell>
          <cell r="B149" t="str">
            <v>25q710103342</v>
          </cell>
          <cell r="C149" t="str">
            <v>25级电子1班</v>
          </cell>
        </row>
        <row r="150">
          <cell r="A150" t="str">
            <v>王忠程</v>
          </cell>
          <cell r="B150" t="str">
            <v>25q710103343</v>
          </cell>
          <cell r="C150" t="str">
            <v>25级电子1班</v>
          </cell>
        </row>
        <row r="151">
          <cell r="A151" t="str">
            <v>吴沛珈</v>
          </cell>
          <cell r="B151" t="str">
            <v>25q710103344</v>
          </cell>
          <cell r="C151" t="str">
            <v>25级电子1班</v>
          </cell>
        </row>
        <row r="152">
          <cell r="A152" t="str">
            <v>廖家瑞</v>
          </cell>
          <cell r="B152" t="str">
            <v>25q710103347</v>
          </cell>
          <cell r="C152" t="str">
            <v>25级电子1班</v>
          </cell>
        </row>
        <row r="153">
          <cell r="A153" t="str">
            <v>黄佳豪</v>
          </cell>
          <cell r="B153" t="str">
            <v>25q710103350</v>
          </cell>
          <cell r="C153" t="str">
            <v>25级电子1班</v>
          </cell>
        </row>
        <row r="154">
          <cell r="A154" t="str">
            <v>冯晨</v>
          </cell>
          <cell r="B154" t="str">
            <v>25q710201250</v>
          </cell>
          <cell r="C154" t="str">
            <v>25级电子1班</v>
          </cell>
        </row>
        <row r="155">
          <cell r="A155" t="str">
            <v>李凡志</v>
          </cell>
          <cell r="B155" t="str">
            <v>25q710201563</v>
          </cell>
          <cell r="C155" t="str">
            <v>25级电子1班</v>
          </cell>
        </row>
        <row r="156">
          <cell r="A156" t="str">
            <v>王宇</v>
          </cell>
          <cell r="B156" t="str">
            <v>25q710201564</v>
          </cell>
          <cell r="C156" t="str">
            <v>25级电子1班</v>
          </cell>
        </row>
        <row r="157">
          <cell r="A157" t="str">
            <v>帅远琦</v>
          </cell>
          <cell r="B157" t="str">
            <v>25q710103164</v>
          </cell>
          <cell r="C157" t="str">
            <v>25级电子2班</v>
          </cell>
        </row>
        <row r="158">
          <cell r="A158" t="str">
            <v>余镇洪</v>
          </cell>
          <cell r="B158" t="str">
            <v>25q710103165</v>
          </cell>
          <cell r="C158" t="str">
            <v>25级电子2班</v>
          </cell>
        </row>
        <row r="159">
          <cell r="A159" t="str">
            <v>王钰博</v>
          </cell>
          <cell r="B159" t="str">
            <v>25q710103166</v>
          </cell>
          <cell r="C159" t="str">
            <v>25级电子2班</v>
          </cell>
        </row>
        <row r="160">
          <cell r="A160" t="str">
            <v>王胤丞</v>
          </cell>
          <cell r="B160" t="str">
            <v>25q710103167</v>
          </cell>
          <cell r="C160" t="str">
            <v>25级电子2班</v>
          </cell>
        </row>
        <row r="161">
          <cell r="A161" t="str">
            <v>董济江</v>
          </cell>
          <cell r="B161" t="str">
            <v>25q710103168</v>
          </cell>
          <cell r="C161" t="str">
            <v>25级电子2班</v>
          </cell>
        </row>
        <row r="162">
          <cell r="A162" t="str">
            <v>卢豪强</v>
          </cell>
          <cell r="B162" t="str">
            <v>25q710103169</v>
          </cell>
          <cell r="C162" t="str">
            <v>25级电子2班</v>
          </cell>
        </row>
        <row r="163">
          <cell r="A163" t="str">
            <v>底浩东</v>
          </cell>
          <cell r="B163" t="str">
            <v>25q710103170</v>
          </cell>
          <cell r="C163" t="str">
            <v>25级电子2班</v>
          </cell>
        </row>
        <row r="164">
          <cell r="A164" t="str">
            <v>顾虎青</v>
          </cell>
          <cell r="B164" t="str">
            <v>25q710103171</v>
          </cell>
          <cell r="C164" t="str">
            <v>25级电子2班</v>
          </cell>
        </row>
        <row r="165">
          <cell r="A165" t="str">
            <v>刘骞午</v>
          </cell>
          <cell r="B165" t="str">
            <v>25q710103172</v>
          </cell>
          <cell r="C165" t="str">
            <v>25级电子2班</v>
          </cell>
        </row>
        <row r="166">
          <cell r="A166" t="str">
            <v>李蕊</v>
          </cell>
          <cell r="B166" t="str">
            <v>25q710103173</v>
          </cell>
          <cell r="C166" t="str">
            <v>25级电子2班</v>
          </cell>
        </row>
        <row r="167">
          <cell r="A167" t="str">
            <v>杨宇涵</v>
          </cell>
          <cell r="B167" t="str">
            <v>25q710103174</v>
          </cell>
          <cell r="C167" t="str">
            <v>25级电子2班</v>
          </cell>
        </row>
        <row r="168">
          <cell r="A168" t="str">
            <v>车定远</v>
          </cell>
          <cell r="B168" t="str">
            <v>25q710103175</v>
          </cell>
          <cell r="C168" t="str">
            <v>25级电子2班</v>
          </cell>
        </row>
        <row r="169">
          <cell r="A169" t="str">
            <v>刘嘉懿</v>
          </cell>
          <cell r="B169" t="str">
            <v>25q710103178</v>
          </cell>
          <cell r="C169" t="str">
            <v>25级电子2班</v>
          </cell>
        </row>
        <row r="170">
          <cell r="A170" t="str">
            <v>马梓桐</v>
          </cell>
          <cell r="B170" t="str">
            <v>25q710103179</v>
          </cell>
          <cell r="C170" t="str">
            <v>25级电子2班</v>
          </cell>
        </row>
        <row r="171">
          <cell r="A171" t="str">
            <v>冯俊弛</v>
          </cell>
          <cell r="B171" t="str">
            <v>25q710103180</v>
          </cell>
          <cell r="C171" t="str">
            <v>25级电子2班</v>
          </cell>
        </row>
        <row r="172">
          <cell r="A172" t="str">
            <v>李浩熙</v>
          </cell>
          <cell r="B172" t="str">
            <v>25q710103181</v>
          </cell>
          <cell r="C172" t="str">
            <v>25级电子2班</v>
          </cell>
        </row>
        <row r="173">
          <cell r="A173" t="str">
            <v>文泽宇</v>
          </cell>
          <cell r="B173" t="str">
            <v>25q710103182</v>
          </cell>
          <cell r="C173" t="str">
            <v>25级电子2班</v>
          </cell>
        </row>
        <row r="174">
          <cell r="A174" t="str">
            <v>赵文涛</v>
          </cell>
          <cell r="B174" t="str">
            <v>25q710103184</v>
          </cell>
          <cell r="C174" t="str">
            <v>25级电子2班</v>
          </cell>
        </row>
        <row r="175">
          <cell r="A175" t="str">
            <v>张建豪</v>
          </cell>
          <cell r="B175" t="str">
            <v>25q710103186</v>
          </cell>
          <cell r="C175" t="str">
            <v>25级电子2班</v>
          </cell>
        </row>
        <row r="176">
          <cell r="A176" t="str">
            <v>陈嘉兴</v>
          </cell>
          <cell r="B176" t="str">
            <v>25q710103188</v>
          </cell>
          <cell r="C176" t="str">
            <v>25级电子2班</v>
          </cell>
        </row>
        <row r="177">
          <cell r="A177" t="str">
            <v>陈楚元</v>
          </cell>
          <cell r="B177" t="str">
            <v>25q710103189</v>
          </cell>
          <cell r="C177" t="str">
            <v>25级电子2班</v>
          </cell>
        </row>
        <row r="178">
          <cell r="A178" t="str">
            <v>万浩然</v>
          </cell>
          <cell r="B178" t="str">
            <v>25q710103191</v>
          </cell>
          <cell r="C178" t="str">
            <v>25级电子2班</v>
          </cell>
        </row>
        <row r="179">
          <cell r="A179" t="str">
            <v>罗梓涓</v>
          </cell>
          <cell r="B179" t="str">
            <v>25q710103192</v>
          </cell>
          <cell r="C179" t="str">
            <v>25级电子2班</v>
          </cell>
        </row>
        <row r="180">
          <cell r="A180" t="str">
            <v>王达鑫</v>
          </cell>
          <cell r="B180" t="str">
            <v>25q710103193</v>
          </cell>
          <cell r="C180" t="str">
            <v>25级电子2班</v>
          </cell>
        </row>
        <row r="181">
          <cell r="A181" t="str">
            <v>王天宇</v>
          </cell>
          <cell r="B181" t="str">
            <v>25q710103194</v>
          </cell>
          <cell r="C181" t="str">
            <v>25级电子2班</v>
          </cell>
        </row>
        <row r="182">
          <cell r="A182" t="str">
            <v>徐子轩</v>
          </cell>
          <cell r="B182" t="str">
            <v>25q710103195</v>
          </cell>
          <cell r="C182" t="str">
            <v>25级电子2班</v>
          </cell>
        </row>
        <row r="183">
          <cell r="A183" t="str">
            <v>刘雅美</v>
          </cell>
          <cell r="B183" t="str">
            <v>25q710103196</v>
          </cell>
          <cell r="C183" t="str">
            <v>25级电子2班</v>
          </cell>
        </row>
        <row r="184">
          <cell r="A184" t="str">
            <v>陈思雨</v>
          </cell>
          <cell r="B184" t="str">
            <v>25q710103197</v>
          </cell>
          <cell r="C184" t="str">
            <v>25级电子2班</v>
          </cell>
        </row>
        <row r="185">
          <cell r="A185" t="str">
            <v>徐蝶</v>
          </cell>
          <cell r="B185" t="str">
            <v>25q710103198</v>
          </cell>
          <cell r="C185" t="str">
            <v>25级电子2班</v>
          </cell>
        </row>
        <row r="186">
          <cell r="A186" t="str">
            <v>李瑞</v>
          </cell>
          <cell r="B186" t="str">
            <v>25q710103199</v>
          </cell>
          <cell r="C186" t="str">
            <v>25级电子2班</v>
          </cell>
        </row>
        <row r="187">
          <cell r="A187" t="str">
            <v>刘淞韬</v>
          </cell>
          <cell r="B187" t="str">
            <v>25q710103200</v>
          </cell>
          <cell r="C187" t="str">
            <v>25级电子2班</v>
          </cell>
        </row>
        <row r="188">
          <cell r="A188" t="str">
            <v>朱开洪</v>
          </cell>
          <cell r="B188" t="str">
            <v>25q710103203</v>
          </cell>
          <cell r="C188" t="str">
            <v>25级电子2班</v>
          </cell>
        </row>
        <row r="189">
          <cell r="A189" t="str">
            <v>杨明博</v>
          </cell>
          <cell r="B189" t="str">
            <v>25q710103204</v>
          </cell>
          <cell r="C189" t="str">
            <v>25级电子2班</v>
          </cell>
        </row>
        <row r="190">
          <cell r="A190" t="str">
            <v>彭宇娇</v>
          </cell>
          <cell r="B190" t="str">
            <v>25q710103206</v>
          </cell>
          <cell r="C190" t="str">
            <v>25级电子2班</v>
          </cell>
        </row>
        <row r="191">
          <cell r="A191" t="str">
            <v>李星晨</v>
          </cell>
          <cell r="B191" t="str">
            <v>25q710103207</v>
          </cell>
          <cell r="C191" t="str">
            <v>25级电子2班</v>
          </cell>
        </row>
        <row r="192">
          <cell r="A192" t="str">
            <v>凌圆圆</v>
          </cell>
          <cell r="B192" t="str">
            <v>25q710103208</v>
          </cell>
          <cell r="C192" t="str">
            <v>25级电子2班</v>
          </cell>
        </row>
        <row r="193">
          <cell r="A193" t="str">
            <v>李玉豪</v>
          </cell>
          <cell r="B193" t="str">
            <v>25q710103209</v>
          </cell>
          <cell r="C193" t="str">
            <v>25级电子2班</v>
          </cell>
        </row>
        <row r="194">
          <cell r="A194" t="str">
            <v>丁雨鑫</v>
          </cell>
          <cell r="B194" t="str">
            <v>25q710103211</v>
          </cell>
          <cell r="C194" t="str">
            <v>25级电子2班</v>
          </cell>
        </row>
        <row r="195">
          <cell r="A195" t="str">
            <v>林文博</v>
          </cell>
          <cell r="B195" t="str">
            <v>25q710103212</v>
          </cell>
          <cell r="C195" t="str">
            <v>25级电子2班</v>
          </cell>
        </row>
        <row r="196">
          <cell r="A196" t="str">
            <v>刘沛凝</v>
          </cell>
          <cell r="B196" t="str">
            <v>25q710103214</v>
          </cell>
          <cell r="C196" t="str">
            <v>25级电子2班</v>
          </cell>
        </row>
        <row r="197">
          <cell r="A197" t="str">
            <v>刘宇航</v>
          </cell>
          <cell r="B197" t="str">
            <v>25q710103215</v>
          </cell>
          <cell r="C197" t="str">
            <v>25级电子2班</v>
          </cell>
        </row>
        <row r="198">
          <cell r="A198" t="str">
            <v>罗可若</v>
          </cell>
          <cell r="B198" t="str">
            <v>25q710103216</v>
          </cell>
          <cell r="C198" t="str">
            <v>25级电子2班</v>
          </cell>
        </row>
        <row r="199">
          <cell r="A199" t="str">
            <v>苏飞</v>
          </cell>
          <cell r="B199" t="str">
            <v>25q710103217</v>
          </cell>
          <cell r="C199" t="str">
            <v>25级电子2班</v>
          </cell>
        </row>
        <row r="200">
          <cell r="A200" t="str">
            <v>王聪</v>
          </cell>
          <cell r="B200" t="str">
            <v>25q710103218</v>
          </cell>
          <cell r="C200" t="str">
            <v>25级电子2班</v>
          </cell>
        </row>
        <row r="201">
          <cell r="A201" t="str">
            <v>李玉熙</v>
          </cell>
          <cell r="B201" t="str">
            <v>25q710103221</v>
          </cell>
          <cell r="C201" t="str">
            <v>25级电子2班</v>
          </cell>
        </row>
        <row r="202">
          <cell r="A202" t="str">
            <v>苏瑞</v>
          </cell>
          <cell r="B202" t="str">
            <v>25q710103222</v>
          </cell>
          <cell r="C202" t="str">
            <v>25级电子2班</v>
          </cell>
        </row>
        <row r="203">
          <cell r="A203" t="str">
            <v>吕瑾瑜</v>
          </cell>
          <cell r="B203" t="str">
            <v>25q710103233</v>
          </cell>
          <cell r="C203" t="str">
            <v>25级电子2班</v>
          </cell>
        </row>
        <row r="204">
          <cell r="A204" t="str">
            <v>王熙元</v>
          </cell>
          <cell r="B204" t="str">
            <v>25q710103243</v>
          </cell>
          <cell r="C204" t="str">
            <v>25级电子2班</v>
          </cell>
        </row>
        <row r="205">
          <cell r="A205" t="str">
            <v>喻方虹</v>
          </cell>
          <cell r="B205" t="str">
            <v>25q710103263</v>
          </cell>
          <cell r="C205" t="str">
            <v>25级电子2班</v>
          </cell>
        </row>
        <row r="206">
          <cell r="A206" t="str">
            <v>徐钞</v>
          </cell>
          <cell r="B206" t="str">
            <v>25q710103274</v>
          </cell>
          <cell r="C206" t="str">
            <v>25级电子2班</v>
          </cell>
        </row>
        <row r="207">
          <cell r="A207" t="str">
            <v>程思静</v>
          </cell>
          <cell r="B207" t="str">
            <v>25q710103281</v>
          </cell>
          <cell r="C207" t="str">
            <v>25级电子2班</v>
          </cell>
        </row>
        <row r="208">
          <cell r="A208" t="str">
            <v>陈烨霖</v>
          </cell>
          <cell r="B208" t="str">
            <v>25q710103290</v>
          </cell>
          <cell r="C208" t="str">
            <v>25级电子2班</v>
          </cell>
        </row>
        <row r="209">
          <cell r="A209" t="str">
            <v>文翰</v>
          </cell>
          <cell r="B209" t="str">
            <v>25q710103272</v>
          </cell>
          <cell r="C209" t="str">
            <v>25级电子2班</v>
          </cell>
        </row>
        <row r="210">
          <cell r="A210" t="str">
            <v>章美玲</v>
          </cell>
          <cell r="B210" t="str">
            <v>25q710201157</v>
          </cell>
          <cell r="C210" t="str">
            <v>25级电子2班</v>
          </cell>
        </row>
        <row r="211">
          <cell r="A211" t="str">
            <v>刘冬</v>
          </cell>
          <cell r="B211" t="str">
            <v>25q710201160</v>
          </cell>
          <cell r="C211" t="str">
            <v>25级电子2班</v>
          </cell>
        </row>
        <row r="212">
          <cell r="A212" t="str">
            <v>成俊豪</v>
          </cell>
          <cell r="B212" t="str">
            <v>25q710103185</v>
          </cell>
          <cell r="C212" t="str">
            <v>25级电子2班</v>
          </cell>
        </row>
        <row r="213">
          <cell r="A213" t="str">
            <v>吴昊</v>
          </cell>
          <cell r="B213" t="str">
            <v>25q710103187</v>
          </cell>
          <cell r="C213" t="str">
            <v>25级电子2班</v>
          </cell>
        </row>
        <row r="214">
          <cell r="A214" t="str">
            <v>李治轩</v>
          </cell>
          <cell r="B214" t="str">
            <v>25q710103210</v>
          </cell>
          <cell r="C214" t="str">
            <v>25级电子2班</v>
          </cell>
        </row>
        <row r="215">
          <cell r="A215" t="str">
            <v>朱天祺</v>
          </cell>
          <cell r="B215" t="str">
            <v>25q710103353</v>
          </cell>
          <cell r="C215" t="str">
            <v>25级电子2班</v>
          </cell>
        </row>
        <row r="216">
          <cell r="A216" t="str">
            <v>刘好</v>
          </cell>
          <cell r="B216" t="str">
            <v>25q660103077</v>
          </cell>
          <cell r="C216" t="str">
            <v>25级电子2班</v>
          </cell>
        </row>
        <row r="217">
          <cell r="A217" t="str">
            <v>周士杰</v>
          </cell>
          <cell r="B217" t="str">
            <v>25q660103084</v>
          </cell>
          <cell r="C217" t="str">
            <v>25级电子2班</v>
          </cell>
        </row>
        <row r="218">
          <cell r="A218" t="str">
            <v>徐林梅</v>
          </cell>
          <cell r="B218" t="str">
            <v>25q740101014</v>
          </cell>
          <cell r="C218" t="str">
            <v>25级电子2班</v>
          </cell>
        </row>
        <row r="219">
          <cell r="A219" t="str">
            <v>赵乐帆</v>
          </cell>
          <cell r="B219" t="str">
            <v>25q710103160</v>
          </cell>
          <cell r="C219" t="str">
            <v>25级电子2班</v>
          </cell>
        </row>
        <row r="220">
          <cell r="A220" t="str">
            <v>符号</v>
          </cell>
          <cell r="B220" t="str">
            <v>25q710103356</v>
          </cell>
          <cell r="C220" t="str">
            <v>25级电子2班</v>
          </cell>
        </row>
        <row r="221">
          <cell r="A221" t="str">
            <v>杨梦圆</v>
          </cell>
          <cell r="B221" t="str">
            <v>25q710201251</v>
          </cell>
          <cell r="C221" t="str">
            <v>25级电子2班</v>
          </cell>
        </row>
        <row r="222">
          <cell r="A222" t="str">
            <v>熊宇涵</v>
          </cell>
          <cell r="B222" t="str">
            <v>25q710201253</v>
          </cell>
          <cell r="C222" t="str">
            <v>25级电子2班</v>
          </cell>
        </row>
        <row r="223">
          <cell r="A223" t="str">
            <v>李梓源</v>
          </cell>
          <cell r="B223" t="str">
            <v>25q710103354</v>
          </cell>
          <cell r="C223" t="str">
            <v>25级电子3班</v>
          </cell>
        </row>
        <row r="224">
          <cell r="A224" t="str">
            <v>李添贵</v>
          </cell>
          <cell r="B224" t="str">
            <v>25q710201155</v>
          </cell>
          <cell r="C224" t="str">
            <v>25级电子3班</v>
          </cell>
        </row>
        <row r="225">
          <cell r="A225" t="str">
            <v>周磊</v>
          </cell>
          <cell r="B225" t="str">
            <v>25q710103001</v>
          </cell>
          <cell r="C225" t="str">
            <v>25级电子3班</v>
          </cell>
        </row>
        <row r="226">
          <cell r="A226" t="str">
            <v>王淏林</v>
          </cell>
          <cell r="B226" t="str">
            <v>25q710103002</v>
          </cell>
          <cell r="C226" t="str">
            <v>25级电子3班</v>
          </cell>
        </row>
        <row r="227">
          <cell r="A227" t="str">
            <v>雷胡睿</v>
          </cell>
          <cell r="B227" t="str">
            <v>25q710103003</v>
          </cell>
          <cell r="C227" t="str">
            <v>25级电子3班</v>
          </cell>
        </row>
        <row r="228">
          <cell r="A228" t="str">
            <v>赵鹏</v>
          </cell>
          <cell r="B228" t="str">
            <v>25q710103004</v>
          </cell>
          <cell r="C228" t="str">
            <v>25级电子3班</v>
          </cell>
        </row>
        <row r="229">
          <cell r="A229" t="str">
            <v>李威</v>
          </cell>
          <cell r="B229" t="str">
            <v>25q710103005</v>
          </cell>
          <cell r="C229" t="str">
            <v>25级电子3班</v>
          </cell>
        </row>
        <row r="230">
          <cell r="A230" t="str">
            <v>张涵松</v>
          </cell>
          <cell r="B230" t="str">
            <v>25q710103006</v>
          </cell>
          <cell r="C230" t="str">
            <v>25级电子3班</v>
          </cell>
        </row>
        <row r="231">
          <cell r="A231" t="str">
            <v>罗怀豫</v>
          </cell>
          <cell r="B231" t="str">
            <v>25q710103007</v>
          </cell>
          <cell r="C231" t="str">
            <v>25级电子3班</v>
          </cell>
        </row>
        <row r="232">
          <cell r="A232" t="str">
            <v>杨可涵</v>
          </cell>
          <cell r="B232" t="str">
            <v>25q710103009</v>
          </cell>
          <cell r="C232" t="str">
            <v>25级电子3班</v>
          </cell>
        </row>
        <row r="233">
          <cell r="A233" t="str">
            <v>冯珺菲</v>
          </cell>
          <cell r="B233" t="str">
            <v>25q710103010</v>
          </cell>
          <cell r="C233" t="str">
            <v>25级电子3班</v>
          </cell>
        </row>
        <row r="234">
          <cell r="A234" t="str">
            <v>蔡嘉浩</v>
          </cell>
          <cell r="B234" t="str">
            <v>25q710103011</v>
          </cell>
          <cell r="C234" t="str">
            <v>25级电子3班</v>
          </cell>
        </row>
        <row r="235">
          <cell r="A235" t="str">
            <v>陈禹涵</v>
          </cell>
          <cell r="B235" t="str">
            <v>25q710103012</v>
          </cell>
          <cell r="C235" t="str">
            <v>25级电子3班</v>
          </cell>
        </row>
        <row r="236">
          <cell r="A236" t="str">
            <v>李峻熙</v>
          </cell>
          <cell r="B236" t="str">
            <v>25q710103013</v>
          </cell>
          <cell r="C236" t="str">
            <v>25级电子3班</v>
          </cell>
        </row>
        <row r="237">
          <cell r="A237" t="str">
            <v>毛永顺</v>
          </cell>
          <cell r="B237" t="str">
            <v>25q710103014</v>
          </cell>
          <cell r="C237" t="str">
            <v>25级电子3班</v>
          </cell>
        </row>
        <row r="238">
          <cell r="A238" t="str">
            <v>邱含宇</v>
          </cell>
          <cell r="B238" t="str">
            <v>25q710103015</v>
          </cell>
          <cell r="C238" t="str">
            <v>25级电子3班</v>
          </cell>
        </row>
        <row r="239">
          <cell r="A239" t="str">
            <v>李星宇</v>
          </cell>
          <cell r="B239" t="str">
            <v>25q710103016</v>
          </cell>
          <cell r="C239" t="str">
            <v>25级电子3班</v>
          </cell>
        </row>
        <row r="240">
          <cell r="A240" t="str">
            <v>王家亮</v>
          </cell>
          <cell r="B240" t="str">
            <v>25q710103017</v>
          </cell>
          <cell r="C240" t="str">
            <v>25级电子3班</v>
          </cell>
        </row>
        <row r="241">
          <cell r="A241" t="str">
            <v>费正源</v>
          </cell>
          <cell r="B241" t="str">
            <v>25q710103018</v>
          </cell>
          <cell r="C241" t="str">
            <v>25级电子3班</v>
          </cell>
        </row>
        <row r="242">
          <cell r="A242" t="str">
            <v>刘耀午</v>
          </cell>
          <cell r="B242" t="str">
            <v>25q710103019</v>
          </cell>
          <cell r="C242" t="str">
            <v>25级电子3班</v>
          </cell>
        </row>
        <row r="243">
          <cell r="A243" t="str">
            <v>卢俊林</v>
          </cell>
          <cell r="B243" t="str">
            <v>25q710103020</v>
          </cell>
          <cell r="C243" t="str">
            <v>25级电子3班</v>
          </cell>
        </row>
        <row r="244">
          <cell r="A244" t="str">
            <v>余浩明</v>
          </cell>
          <cell r="B244" t="str">
            <v>25q710103021</v>
          </cell>
          <cell r="C244" t="str">
            <v>25级电子3班</v>
          </cell>
        </row>
        <row r="245">
          <cell r="A245" t="str">
            <v>王璟陶</v>
          </cell>
          <cell r="B245" t="str">
            <v>25q710103022</v>
          </cell>
          <cell r="C245" t="str">
            <v>25级电子3班</v>
          </cell>
        </row>
        <row r="246">
          <cell r="A246" t="str">
            <v>刘永泽</v>
          </cell>
          <cell r="B246" t="str">
            <v>25q710103023</v>
          </cell>
          <cell r="C246" t="str">
            <v>25级电子3班</v>
          </cell>
        </row>
        <row r="247">
          <cell r="A247" t="str">
            <v>曹予涵</v>
          </cell>
          <cell r="B247" t="str">
            <v>25q710103024</v>
          </cell>
          <cell r="C247" t="str">
            <v>25级电子3班</v>
          </cell>
        </row>
        <row r="248">
          <cell r="A248" t="str">
            <v>周宇航</v>
          </cell>
          <cell r="B248" t="str">
            <v>25q710103025</v>
          </cell>
          <cell r="C248" t="str">
            <v>25级电子3班</v>
          </cell>
        </row>
        <row r="249">
          <cell r="A249" t="str">
            <v>任雅坤</v>
          </cell>
          <cell r="B249" t="str">
            <v>25q710103026</v>
          </cell>
          <cell r="C249" t="str">
            <v>25级电子3班</v>
          </cell>
        </row>
        <row r="250">
          <cell r="A250" t="str">
            <v>叶艺润</v>
          </cell>
          <cell r="B250" t="str">
            <v>25q710103027</v>
          </cell>
          <cell r="C250" t="str">
            <v>25级电子3班</v>
          </cell>
        </row>
        <row r="251">
          <cell r="A251" t="str">
            <v>刘洋</v>
          </cell>
          <cell r="B251" t="str">
            <v>25q710103028</v>
          </cell>
          <cell r="C251" t="str">
            <v>25级电子3班</v>
          </cell>
        </row>
        <row r="252">
          <cell r="A252" t="str">
            <v>郑熊波</v>
          </cell>
          <cell r="B252" t="str">
            <v>25q710103029</v>
          </cell>
          <cell r="C252" t="str">
            <v>25级电子3班</v>
          </cell>
        </row>
        <row r="253">
          <cell r="A253" t="str">
            <v>李斌</v>
          </cell>
          <cell r="B253" t="str">
            <v>25q710103030</v>
          </cell>
          <cell r="C253" t="str">
            <v>25级电子3班</v>
          </cell>
        </row>
        <row r="254">
          <cell r="A254" t="str">
            <v>陈玖霖</v>
          </cell>
          <cell r="B254" t="str">
            <v>25q710103031</v>
          </cell>
          <cell r="C254" t="str">
            <v>25级电子3班</v>
          </cell>
        </row>
        <row r="255">
          <cell r="A255" t="str">
            <v>周俊杰</v>
          </cell>
          <cell r="B255" t="str">
            <v>25q710103032</v>
          </cell>
          <cell r="C255" t="str">
            <v>25级电子3班</v>
          </cell>
        </row>
        <row r="256">
          <cell r="A256" t="str">
            <v>杨毅</v>
          </cell>
          <cell r="B256" t="str">
            <v>25q710103033</v>
          </cell>
          <cell r="C256" t="str">
            <v>25级电子3班</v>
          </cell>
        </row>
        <row r="257">
          <cell r="A257" t="str">
            <v>刘崎序</v>
          </cell>
          <cell r="B257" t="str">
            <v>25q710103034</v>
          </cell>
          <cell r="C257" t="str">
            <v>25级电子3班</v>
          </cell>
        </row>
        <row r="258">
          <cell r="A258" t="str">
            <v>何思成</v>
          </cell>
          <cell r="B258" t="str">
            <v>25q710103035</v>
          </cell>
          <cell r="C258" t="str">
            <v>25级电子3班</v>
          </cell>
        </row>
        <row r="259">
          <cell r="A259" t="str">
            <v>李傲</v>
          </cell>
          <cell r="B259" t="str">
            <v>25q710103037</v>
          </cell>
          <cell r="C259" t="str">
            <v>25级电子3班</v>
          </cell>
        </row>
        <row r="260">
          <cell r="A260" t="str">
            <v>胡宇晨</v>
          </cell>
          <cell r="B260" t="str">
            <v>25q710103039</v>
          </cell>
          <cell r="C260" t="str">
            <v>25级电子3班</v>
          </cell>
        </row>
        <row r="261">
          <cell r="A261" t="str">
            <v>丁宇霖</v>
          </cell>
          <cell r="B261" t="str">
            <v>25q710103040</v>
          </cell>
          <cell r="C261" t="str">
            <v>25级电子3班</v>
          </cell>
        </row>
        <row r="262">
          <cell r="A262" t="str">
            <v>杨天玉</v>
          </cell>
          <cell r="B262" t="str">
            <v>25q710103041</v>
          </cell>
          <cell r="C262" t="str">
            <v>25级电子3班</v>
          </cell>
        </row>
        <row r="263">
          <cell r="A263" t="str">
            <v>欧阳</v>
          </cell>
          <cell r="B263" t="str">
            <v>25q710103042</v>
          </cell>
          <cell r="C263" t="str">
            <v>25级电子3班</v>
          </cell>
        </row>
        <row r="264">
          <cell r="A264" t="str">
            <v>毛守毅</v>
          </cell>
          <cell r="B264" t="str">
            <v>25q710103043</v>
          </cell>
          <cell r="C264" t="str">
            <v>25级电子3班</v>
          </cell>
        </row>
        <row r="265">
          <cell r="A265" t="str">
            <v>李成涛</v>
          </cell>
          <cell r="B265" t="str">
            <v>25q710103044</v>
          </cell>
          <cell r="C265" t="str">
            <v>25级电子3班</v>
          </cell>
        </row>
        <row r="266">
          <cell r="A266" t="str">
            <v>曾海涛</v>
          </cell>
          <cell r="B266" t="str">
            <v>25q710103045</v>
          </cell>
          <cell r="C266" t="str">
            <v>25级电子3班</v>
          </cell>
        </row>
        <row r="267">
          <cell r="A267" t="str">
            <v>王浩轩</v>
          </cell>
          <cell r="B267" t="str">
            <v>25q710103046</v>
          </cell>
          <cell r="C267" t="str">
            <v>25级电子3班</v>
          </cell>
        </row>
        <row r="268">
          <cell r="A268" t="str">
            <v>伍泓欣</v>
          </cell>
          <cell r="B268" t="str">
            <v>25q710103047</v>
          </cell>
          <cell r="C268" t="str">
            <v>25级电子3班</v>
          </cell>
        </row>
        <row r="269">
          <cell r="A269" t="str">
            <v>章梦溪</v>
          </cell>
          <cell r="B269" t="str">
            <v>25q710103048</v>
          </cell>
          <cell r="C269" t="str">
            <v>25级电子3班</v>
          </cell>
        </row>
        <row r="270">
          <cell r="A270" t="str">
            <v>王伟霖</v>
          </cell>
          <cell r="B270" t="str">
            <v>25q710103049</v>
          </cell>
          <cell r="C270" t="str">
            <v>25级电子3班</v>
          </cell>
        </row>
        <row r="271">
          <cell r="A271" t="str">
            <v>余前毅</v>
          </cell>
          <cell r="B271" t="str">
            <v>25q710103050</v>
          </cell>
          <cell r="C271" t="str">
            <v>25级电子3班</v>
          </cell>
        </row>
        <row r="272">
          <cell r="A272" t="str">
            <v>黄楚云</v>
          </cell>
          <cell r="B272" t="str">
            <v>25q710103051</v>
          </cell>
          <cell r="C272" t="str">
            <v>25级电子3班</v>
          </cell>
        </row>
        <row r="273">
          <cell r="A273" t="str">
            <v>冯岚</v>
          </cell>
          <cell r="B273" t="str">
            <v>25q710103052</v>
          </cell>
          <cell r="C273" t="str">
            <v>25级电子3班</v>
          </cell>
        </row>
        <row r="274">
          <cell r="A274" t="str">
            <v>何雨萱</v>
          </cell>
          <cell r="B274" t="str">
            <v>25q710103053</v>
          </cell>
          <cell r="C274" t="str">
            <v>25级电子3班</v>
          </cell>
        </row>
        <row r="275">
          <cell r="A275" t="str">
            <v>宋晨希</v>
          </cell>
          <cell r="B275" t="str">
            <v>25q710103054</v>
          </cell>
          <cell r="C275" t="str">
            <v>25级电子3班</v>
          </cell>
        </row>
        <row r="276">
          <cell r="A276" t="str">
            <v>牟燕</v>
          </cell>
          <cell r="B276" t="str">
            <v>25q710103055</v>
          </cell>
          <cell r="C276" t="str">
            <v>25级电子3班</v>
          </cell>
        </row>
        <row r="277">
          <cell r="A277" t="str">
            <v>黄雨婷</v>
          </cell>
          <cell r="B277" t="str">
            <v>25q710103056</v>
          </cell>
          <cell r="C277" t="str">
            <v>25级电子3班</v>
          </cell>
        </row>
        <row r="278">
          <cell r="A278" t="str">
            <v>付雅兴</v>
          </cell>
          <cell r="B278" t="str">
            <v>25q710103057</v>
          </cell>
          <cell r="C278" t="str">
            <v>25级电子3班</v>
          </cell>
        </row>
        <row r="279">
          <cell r="A279" t="str">
            <v>王馨蕊</v>
          </cell>
          <cell r="B279" t="str">
            <v>25q710103058</v>
          </cell>
          <cell r="C279" t="str">
            <v>25级电子3班</v>
          </cell>
        </row>
        <row r="280">
          <cell r="A280" t="str">
            <v>王钰娇</v>
          </cell>
          <cell r="B280" t="str">
            <v>25q710103059</v>
          </cell>
          <cell r="C280" t="str">
            <v>25级电子3班</v>
          </cell>
        </row>
        <row r="281">
          <cell r="A281" t="str">
            <v>郑戴梦</v>
          </cell>
          <cell r="B281" t="str">
            <v>25q710103060</v>
          </cell>
          <cell r="C281" t="str">
            <v>25级电子3班</v>
          </cell>
        </row>
        <row r="282">
          <cell r="A282" t="str">
            <v>汪盼</v>
          </cell>
          <cell r="B282" t="str">
            <v>25q710103061</v>
          </cell>
          <cell r="C282" t="str">
            <v>25级电子3班</v>
          </cell>
        </row>
        <row r="283">
          <cell r="A283" t="str">
            <v>张译心</v>
          </cell>
          <cell r="B283" t="str">
            <v>25q710103062</v>
          </cell>
          <cell r="C283" t="str">
            <v>25级电子3班</v>
          </cell>
        </row>
        <row r="284">
          <cell r="A284" t="str">
            <v>车羽馨</v>
          </cell>
          <cell r="B284" t="str">
            <v>25q710103063</v>
          </cell>
          <cell r="C284" t="str">
            <v>25级电子3班</v>
          </cell>
        </row>
        <row r="285">
          <cell r="A285" t="str">
            <v>干舒雅</v>
          </cell>
          <cell r="B285" t="str">
            <v>25q710103064</v>
          </cell>
          <cell r="C285" t="str">
            <v>25级电子3班</v>
          </cell>
        </row>
        <row r="286">
          <cell r="A286" t="str">
            <v>王浩艺</v>
          </cell>
          <cell r="B286" t="str">
            <v>25q710103065</v>
          </cell>
          <cell r="C286" t="str">
            <v>25级电子3班</v>
          </cell>
        </row>
        <row r="287">
          <cell r="A287" t="str">
            <v>郑雅瑄</v>
          </cell>
          <cell r="B287" t="str">
            <v>25q710103351</v>
          </cell>
          <cell r="C287" t="str">
            <v>25级电子3班</v>
          </cell>
        </row>
        <row r="288">
          <cell r="A288" t="str">
            <v>蒋瑞杰</v>
          </cell>
          <cell r="B288" t="str">
            <v>25q710103352</v>
          </cell>
          <cell r="C288" t="str">
            <v>25级电子3班</v>
          </cell>
        </row>
        <row r="289">
          <cell r="A289" t="str">
            <v>王诗云</v>
          </cell>
          <cell r="B289" t="str">
            <v>25q710103008</v>
          </cell>
          <cell r="C289" t="str">
            <v>25级电子3班</v>
          </cell>
        </row>
        <row r="290">
          <cell r="A290" t="str">
            <v>祁健文</v>
          </cell>
          <cell r="B290" t="str">
            <v>25q710103036</v>
          </cell>
          <cell r="C290" t="str">
            <v>25级电子3班</v>
          </cell>
        </row>
        <row r="291">
          <cell r="A291" t="str">
            <v>侯崇伟</v>
          </cell>
          <cell r="B291" t="str">
            <v>25q710103038</v>
          </cell>
          <cell r="C291" t="str">
            <v>25级电子3班</v>
          </cell>
        </row>
        <row r="292">
          <cell r="A292" t="str">
            <v>叶云箫</v>
          </cell>
          <cell r="B292" t="str">
            <v>25q770101021</v>
          </cell>
          <cell r="C292" t="str">
            <v>25级电子3班</v>
          </cell>
        </row>
        <row r="293">
          <cell r="A293" t="str">
            <v>刘梓岚</v>
          </cell>
          <cell r="B293" t="str">
            <v>25q710103357</v>
          </cell>
          <cell r="C293" t="str">
            <v>25级电子3班</v>
          </cell>
        </row>
        <row r="294">
          <cell r="A294" t="str">
            <v>何文博</v>
          </cell>
          <cell r="B294" t="str">
            <v>20240428</v>
          </cell>
          <cell r="C294" t="str">
            <v>25级电子4班(国防特色)</v>
          </cell>
        </row>
        <row r="295">
          <cell r="A295" t="str">
            <v>张陈浩</v>
          </cell>
          <cell r="B295" t="str">
            <v>25q710103076</v>
          </cell>
          <cell r="C295" t="str">
            <v>25级电子4班(国防特色)</v>
          </cell>
        </row>
        <row r="296">
          <cell r="A296" t="str">
            <v>陈树森</v>
          </cell>
          <cell r="B296" t="str">
            <v>25q710103093</v>
          </cell>
          <cell r="C296" t="str">
            <v>25级电子4班(国防特色)</v>
          </cell>
        </row>
        <row r="297">
          <cell r="A297" t="str">
            <v>张域城</v>
          </cell>
          <cell r="B297" t="str">
            <v>25q710103098</v>
          </cell>
          <cell r="C297" t="str">
            <v>25级电子4班(国防特色)</v>
          </cell>
        </row>
        <row r="298">
          <cell r="A298" t="str">
            <v>严世豪</v>
          </cell>
          <cell r="B298" t="str">
            <v>25q710103114</v>
          </cell>
          <cell r="C298" t="str">
            <v>25级电子4班(国防特色)</v>
          </cell>
        </row>
        <row r="299">
          <cell r="A299" t="str">
            <v>周海龙</v>
          </cell>
          <cell r="B299" t="str">
            <v>25q770303017</v>
          </cell>
          <cell r="C299" t="str">
            <v>25级电子4班(国防特色)</v>
          </cell>
        </row>
        <row r="300">
          <cell r="A300" t="str">
            <v>周志雄</v>
          </cell>
          <cell r="B300" t="str">
            <v>25q710103066</v>
          </cell>
          <cell r="C300" t="str">
            <v>25级电子4班(国防特色)</v>
          </cell>
        </row>
        <row r="301">
          <cell r="A301" t="str">
            <v>文玉祥</v>
          </cell>
          <cell r="B301" t="str">
            <v>25q710103067</v>
          </cell>
          <cell r="C301" t="str">
            <v>25级电子4班(国防特色)</v>
          </cell>
        </row>
        <row r="302">
          <cell r="A302" t="str">
            <v>何东林</v>
          </cell>
          <cell r="B302" t="str">
            <v>25q710103068</v>
          </cell>
          <cell r="C302" t="str">
            <v>25级电子4班(国防特色)</v>
          </cell>
        </row>
        <row r="303">
          <cell r="A303" t="str">
            <v>黄靖</v>
          </cell>
          <cell r="B303" t="str">
            <v>25q710103069</v>
          </cell>
          <cell r="C303" t="str">
            <v>25级电子4班(国防特色)</v>
          </cell>
        </row>
        <row r="304">
          <cell r="A304" t="str">
            <v>李宇轩</v>
          </cell>
          <cell r="B304" t="str">
            <v>25q710103070</v>
          </cell>
          <cell r="C304" t="str">
            <v>25级电子4班(国防特色)</v>
          </cell>
        </row>
        <row r="305">
          <cell r="A305" t="str">
            <v>向鹏程</v>
          </cell>
          <cell r="B305" t="str">
            <v>25q710103071</v>
          </cell>
          <cell r="C305" t="str">
            <v>25级电子4班(国防特色)</v>
          </cell>
        </row>
        <row r="306">
          <cell r="A306" t="str">
            <v>罗伊辰</v>
          </cell>
          <cell r="B306" t="str">
            <v>25q710103072</v>
          </cell>
          <cell r="C306" t="str">
            <v>25级电子4班(国防特色)</v>
          </cell>
        </row>
        <row r="307">
          <cell r="A307" t="str">
            <v>余星皞</v>
          </cell>
          <cell r="B307" t="str">
            <v>25q710103074</v>
          </cell>
          <cell r="C307" t="str">
            <v>25级电子4班(国防特色)</v>
          </cell>
        </row>
        <row r="308">
          <cell r="A308" t="str">
            <v>胡凯荣</v>
          </cell>
          <cell r="B308" t="str">
            <v>25q710103075</v>
          </cell>
          <cell r="C308" t="str">
            <v>25级电子4班(国防特色)</v>
          </cell>
        </row>
        <row r="309">
          <cell r="A309" t="str">
            <v>吴劲豪</v>
          </cell>
          <cell r="B309" t="str">
            <v>25q710103077</v>
          </cell>
          <cell r="C309" t="str">
            <v>25级电子4班(国防特色)</v>
          </cell>
        </row>
        <row r="310">
          <cell r="A310" t="str">
            <v>叶俊杰</v>
          </cell>
          <cell r="B310" t="str">
            <v>25q710103078</v>
          </cell>
          <cell r="C310" t="str">
            <v>25级电子4班(国防特色)</v>
          </cell>
        </row>
        <row r="311">
          <cell r="A311" t="str">
            <v>杨瀚宇</v>
          </cell>
          <cell r="B311" t="str">
            <v>25q710103079</v>
          </cell>
          <cell r="C311" t="str">
            <v>25级电子4班(国防特色)</v>
          </cell>
        </row>
        <row r="312">
          <cell r="A312" t="str">
            <v>龚柯力</v>
          </cell>
          <cell r="B312" t="str">
            <v>25q710103080</v>
          </cell>
          <cell r="C312" t="str">
            <v>25级电子4班(国防特色)</v>
          </cell>
        </row>
        <row r="313">
          <cell r="A313" t="str">
            <v>王建平</v>
          </cell>
          <cell r="B313" t="str">
            <v>25q710103081</v>
          </cell>
          <cell r="C313" t="str">
            <v>25级电子4班(国防特色)</v>
          </cell>
        </row>
        <row r="314">
          <cell r="A314" t="str">
            <v>尹天俣</v>
          </cell>
          <cell r="B314" t="str">
            <v>25q710103082</v>
          </cell>
          <cell r="C314" t="str">
            <v>25级电子4班(国防特色)</v>
          </cell>
        </row>
        <row r="315">
          <cell r="A315" t="str">
            <v>罗皓轩</v>
          </cell>
          <cell r="B315" t="str">
            <v>25q710103083</v>
          </cell>
          <cell r="C315" t="str">
            <v>25级电子4班(国防特色)</v>
          </cell>
        </row>
        <row r="316">
          <cell r="A316" t="str">
            <v>周天喆</v>
          </cell>
          <cell r="B316" t="str">
            <v>25q710103084</v>
          </cell>
          <cell r="C316" t="str">
            <v>25级电子4班(国防特色)</v>
          </cell>
        </row>
        <row r="317">
          <cell r="A317" t="str">
            <v>罗俊杰</v>
          </cell>
          <cell r="B317" t="str">
            <v>25q710103085</v>
          </cell>
          <cell r="C317" t="str">
            <v>25级电子4班(国防特色)</v>
          </cell>
        </row>
        <row r="318">
          <cell r="A318" t="str">
            <v>凌磊</v>
          </cell>
          <cell r="B318" t="str">
            <v>25q710103086</v>
          </cell>
          <cell r="C318" t="str">
            <v>25级电子4班(国防特色)</v>
          </cell>
        </row>
        <row r="319">
          <cell r="A319" t="str">
            <v>邓杨</v>
          </cell>
          <cell r="B319" t="str">
            <v>25q710103087</v>
          </cell>
          <cell r="C319" t="str">
            <v>25级电子4班(国防特色)</v>
          </cell>
        </row>
        <row r="320">
          <cell r="A320" t="str">
            <v>黄舒伟</v>
          </cell>
          <cell r="B320" t="str">
            <v>25q710103088</v>
          </cell>
          <cell r="C320" t="str">
            <v>25级电子4班(国防特色)</v>
          </cell>
        </row>
        <row r="321">
          <cell r="A321" t="str">
            <v>曾展宏</v>
          </cell>
          <cell r="B321" t="str">
            <v>25q710103089</v>
          </cell>
          <cell r="C321" t="str">
            <v>25级电子4班(国防特色)</v>
          </cell>
        </row>
        <row r="322">
          <cell r="A322" t="str">
            <v>霍福杰</v>
          </cell>
          <cell r="B322" t="str">
            <v>25q710103090</v>
          </cell>
          <cell r="C322" t="str">
            <v>25级电子4班(国防特色)</v>
          </cell>
        </row>
        <row r="323">
          <cell r="A323" t="str">
            <v>付俊熙</v>
          </cell>
          <cell r="B323" t="str">
            <v>25q710103091</v>
          </cell>
          <cell r="C323" t="str">
            <v>25级电子4班(国防特色)</v>
          </cell>
        </row>
        <row r="324">
          <cell r="A324" t="str">
            <v>刘志林</v>
          </cell>
          <cell r="B324" t="str">
            <v>25q710103092</v>
          </cell>
          <cell r="C324" t="str">
            <v>25级电子4班(国防特色)</v>
          </cell>
        </row>
        <row r="325">
          <cell r="A325" t="str">
            <v>赵宇森</v>
          </cell>
          <cell r="B325" t="str">
            <v>25q710103094</v>
          </cell>
          <cell r="C325" t="str">
            <v>25级电子4班(国防特色)</v>
          </cell>
        </row>
        <row r="326">
          <cell r="A326" t="str">
            <v>罗皓</v>
          </cell>
          <cell r="B326" t="str">
            <v>25q710103095</v>
          </cell>
          <cell r="C326" t="str">
            <v>25级电子4班(国防特色)</v>
          </cell>
        </row>
        <row r="327">
          <cell r="A327" t="str">
            <v>朱涛</v>
          </cell>
          <cell r="B327" t="str">
            <v>25q710103096</v>
          </cell>
          <cell r="C327" t="str">
            <v>25级电子4班(国防特色)</v>
          </cell>
        </row>
        <row r="328">
          <cell r="A328" t="str">
            <v>王君浩</v>
          </cell>
          <cell r="B328" t="str">
            <v>25q710103097</v>
          </cell>
          <cell r="C328" t="str">
            <v>25级电子4班(国防特色)</v>
          </cell>
        </row>
        <row r="329">
          <cell r="A329" t="str">
            <v>史毅</v>
          </cell>
          <cell r="B329" t="str">
            <v>25q710103099</v>
          </cell>
          <cell r="C329" t="str">
            <v>25级电子4班(国防特色)</v>
          </cell>
        </row>
        <row r="330">
          <cell r="A330" t="str">
            <v>吴至高</v>
          </cell>
          <cell r="B330" t="str">
            <v>25q710103100</v>
          </cell>
          <cell r="C330" t="str">
            <v>25级电子4班(国防特色)</v>
          </cell>
        </row>
        <row r="331">
          <cell r="A331" t="str">
            <v>彭家豪</v>
          </cell>
          <cell r="B331" t="str">
            <v>25q710103101</v>
          </cell>
          <cell r="C331" t="str">
            <v>25级电子4班(国防特色)</v>
          </cell>
        </row>
        <row r="332">
          <cell r="A332" t="str">
            <v>刘俊宇</v>
          </cell>
          <cell r="B332" t="str">
            <v>25q710103102</v>
          </cell>
          <cell r="C332" t="str">
            <v>25级电子4班(国防特色)</v>
          </cell>
        </row>
        <row r="333">
          <cell r="A333" t="str">
            <v>赵俊</v>
          </cell>
          <cell r="B333" t="str">
            <v>25q710103103</v>
          </cell>
          <cell r="C333" t="str">
            <v>25级电子4班(国防特色)</v>
          </cell>
        </row>
        <row r="334">
          <cell r="A334" t="str">
            <v>周锦森</v>
          </cell>
          <cell r="B334" t="str">
            <v>25q710103104</v>
          </cell>
          <cell r="C334" t="str">
            <v>25级电子4班(国防特色)</v>
          </cell>
        </row>
        <row r="335">
          <cell r="A335" t="str">
            <v>唐鑫懿</v>
          </cell>
          <cell r="B335" t="str">
            <v>25q710103105</v>
          </cell>
          <cell r="C335" t="str">
            <v>25级电子4班(国防特色)</v>
          </cell>
        </row>
        <row r="336">
          <cell r="A336" t="str">
            <v>李梦龙</v>
          </cell>
          <cell r="B336" t="str">
            <v>25q710103106</v>
          </cell>
          <cell r="C336" t="str">
            <v>25级电子4班(国防特色)</v>
          </cell>
        </row>
        <row r="337">
          <cell r="A337" t="str">
            <v>刘熙宇</v>
          </cell>
          <cell r="B337" t="str">
            <v>25q710103107</v>
          </cell>
          <cell r="C337" t="str">
            <v>25级电子4班(国防特色)</v>
          </cell>
        </row>
        <row r="338">
          <cell r="A338" t="str">
            <v>何家棋</v>
          </cell>
          <cell r="B338" t="str">
            <v>25q710103108</v>
          </cell>
          <cell r="C338" t="str">
            <v>25级电子4班(国防特色)</v>
          </cell>
        </row>
        <row r="339">
          <cell r="A339" t="str">
            <v>俄底爸清</v>
          </cell>
          <cell r="B339" t="str">
            <v>25q710103109</v>
          </cell>
          <cell r="C339" t="str">
            <v>25级电子4班(国防特色)</v>
          </cell>
        </row>
        <row r="340">
          <cell r="A340" t="str">
            <v>黄炳富</v>
          </cell>
          <cell r="B340" t="str">
            <v>25q710103110</v>
          </cell>
          <cell r="C340" t="str">
            <v>25级电子4班(国防特色)</v>
          </cell>
        </row>
        <row r="341">
          <cell r="A341" t="str">
            <v>白宇城</v>
          </cell>
          <cell r="B341" t="str">
            <v>25q710103111</v>
          </cell>
          <cell r="C341" t="str">
            <v>25级电子4班(国防特色)</v>
          </cell>
        </row>
        <row r="342">
          <cell r="A342" t="str">
            <v>李金艺</v>
          </cell>
          <cell r="B342" t="str">
            <v>25q710103112</v>
          </cell>
          <cell r="C342" t="str">
            <v>25级电子4班(国防特色)</v>
          </cell>
        </row>
        <row r="343">
          <cell r="A343" t="str">
            <v>李永</v>
          </cell>
          <cell r="B343" t="str">
            <v>25q710103113</v>
          </cell>
          <cell r="C343" t="str">
            <v>25级电子4班(国防特色)</v>
          </cell>
        </row>
        <row r="344">
          <cell r="A344" t="str">
            <v>胡喻耀</v>
          </cell>
          <cell r="B344" t="str">
            <v>25q710103115</v>
          </cell>
          <cell r="C344" t="str">
            <v>25级电子4班(国防特色)</v>
          </cell>
        </row>
        <row r="345">
          <cell r="A345" t="str">
            <v>苏金宝</v>
          </cell>
          <cell r="B345" t="str">
            <v>25q710103116</v>
          </cell>
          <cell r="C345" t="str">
            <v>25级电子4班(国防特色)</v>
          </cell>
        </row>
        <row r="346">
          <cell r="A346" t="str">
            <v>朱思达</v>
          </cell>
          <cell r="B346" t="str">
            <v>25q710103117</v>
          </cell>
          <cell r="C346" t="str">
            <v>25级电子4班(国防特色)</v>
          </cell>
        </row>
        <row r="347">
          <cell r="A347" t="str">
            <v>高晗</v>
          </cell>
          <cell r="B347" t="str">
            <v>25q740101051</v>
          </cell>
          <cell r="C347" t="str">
            <v>25级电子4班(国防特色)</v>
          </cell>
        </row>
        <row r="348">
          <cell r="A348" t="str">
            <v>郭松涛</v>
          </cell>
          <cell r="B348" t="str">
            <v>25q710103358</v>
          </cell>
          <cell r="C348" t="str">
            <v>25级电子4班(国防特色)</v>
          </cell>
        </row>
        <row r="349">
          <cell r="A349" t="str">
            <v>徐若萱</v>
          </cell>
          <cell r="B349" t="str">
            <v>24q710103315</v>
          </cell>
          <cell r="C349" t="str">
            <v>25级电子5班(本方)</v>
          </cell>
        </row>
        <row r="350">
          <cell r="A350" t="str">
            <v>张维家</v>
          </cell>
          <cell r="B350" t="str">
            <v>20250719</v>
          </cell>
          <cell r="C350" t="str">
            <v>25级电子5班(本方)</v>
          </cell>
        </row>
        <row r="351">
          <cell r="A351" t="str">
            <v>王子文</v>
          </cell>
          <cell r="B351" t="str">
            <v>25q710103223</v>
          </cell>
          <cell r="C351" t="str">
            <v>25级电子5班(本方)</v>
          </cell>
        </row>
        <row r="352">
          <cell r="A352" t="str">
            <v>陈思雨</v>
          </cell>
          <cell r="B352" t="str">
            <v>25q710103224</v>
          </cell>
          <cell r="C352" t="str">
            <v>25级电子5班(本方)</v>
          </cell>
        </row>
        <row r="353">
          <cell r="A353" t="str">
            <v>黄岩彬</v>
          </cell>
          <cell r="B353" t="str">
            <v>25q710103225</v>
          </cell>
          <cell r="C353" t="str">
            <v>25级电子5班(本方)</v>
          </cell>
        </row>
        <row r="354">
          <cell r="A354" t="str">
            <v>张玉霖</v>
          </cell>
          <cell r="B354" t="str">
            <v>25q710103226</v>
          </cell>
          <cell r="C354" t="str">
            <v>25级电子5班(本方)</v>
          </cell>
        </row>
        <row r="355">
          <cell r="A355" t="str">
            <v>彭成好</v>
          </cell>
          <cell r="B355" t="str">
            <v>25q710103227</v>
          </cell>
          <cell r="C355" t="str">
            <v>25级电子5班(本方)</v>
          </cell>
        </row>
        <row r="356">
          <cell r="A356" t="str">
            <v>郑洋</v>
          </cell>
          <cell r="B356" t="str">
            <v>25q710103229</v>
          </cell>
          <cell r="C356" t="str">
            <v>25级电子5班(本方)</v>
          </cell>
        </row>
        <row r="357">
          <cell r="A357" t="str">
            <v>张梦辉</v>
          </cell>
          <cell r="B357" t="str">
            <v>25q710103230</v>
          </cell>
          <cell r="C357" t="str">
            <v>25级电子5班(本方)</v>
          </cell>
        </row>
        <row r="358">
          <cell r="A358" t="str">
            <v>彭莘豪</v>
          </cell>
          <cell r="B358" t="str">
            <v>25q710103231</v>
          </cell>
          <cell r="C358" t="str">
            <v>25级电子5班(本方)</v>
          </cell>
        </row>
        <row r="359">
          <cell r="A359" t="str">
            <v>李茂熙</v>
          </cell>
          <cell r="B359" t="str">
            <v>25q710103232</v>
          </cell>
          <cell r="C359" t="str">
            <v>25级电子5班(本方)</v>
          </cell>
        </row>
        <row r="360">
          <cell r="A360" t="str">
            <v>陈祉函</v>
          </cell>
          <cell r="B360" t="str">
            <v>25q710103234</v>
          </cell>
          <cell r="C360" t="str">
            <v>25级电子5班(本方)</v>
          </cell>
        </row>
        <row r="361">
          <cell r="A361" t="str">
            <v>罗凤英</v>
          </cell>
          <cell r="B361" t="str">
            <v>25q710103235</v>
          </cell>
          <cell r="C361" t="str">
            <v>25级电子5班(本方)</v>
          </cell>
        </row>
        <row r="362">
          <cell r="A362" t="str">
            <v>付婷钰</v>
          </cell>
          <cell r="B362" t="str">
            <v>25q710103236</v>
          </cell>
          <cell r="C362" t="str">
            <v>25级电子5班(本方)</v>
          </cell>
        </row>
        <row r="363">
          <cell r="A363" t="str">
            <v>曹思婷</v>
          </cell>
          <cell r="B363" t="str">
            <v>25q710103237</v>
          </cell>
          <cell r="C363" t="str">
            <v>25级电子5班(本方)</v>
          </cell>
        </row>
        <row r="364">
          <cell r="A364" t="str">
            <v>凌海情</v>
          </cell>
          <cell r="B364" t="str">
            <v>25q710103238</v>
          </cell>
          <cell r="C364" t="str">
            <v>25级电子5班(本方)</v>
          </cell>
        </row>
        <row r="365">
          <cell r="A365" t="str">
            <v>罗虎</v>
          </cell>
          <cell r="B365" t="str">
            <v>25q710103239</v>
          </cell>
          <cell r="C365" t="str">
            <v>25级电子5班(本方)</v>
          </cell>
        </row>
        <row r="366">
          <cell r="A366" t="str">
            <v>冯俊棚</v>
          </cell>
          <cell r="B366" t="str">
            <v>25q710103240</v>
          </cell>
          <cell r="C366" t="str">
            <v>25级电子5班(本方)</v>
          </cell>
        </row>
        <row r="367">
          <cell r="A367" t="str">
            <v>刘露珠</v>
          </cell>
          <cell r="B367" t="str">
            <v>25q710103241</v>
          </cell>
          <cell r="C367" t="str">
            <v>25级电子5班(本方)</v>
          </cell>
        </row>
        <row r="368">
          <cell r="A368" t="str">
            <v>孙琳</v>
          </cell>
          <cell r="B368" t="str">
            <v>25q710103244</v>
          </cell>
          <cell r="C368" t="str">
            <v>25级电子5班(本方)</v>
          </cell>
        </row>
        <row r="369">
          <cell r="A369" t="str">
            <v>谢旭荛</v>
          </cell>
          <cell r="B369" t="str">
            <v>25q710103245</v>
          </cell>
          <cell r="C369" t="str">
            <v>25级电子5班(本方)</v>
          </cell>
        </row>
        <row r="370">
          <cell r="A370" t="str">
            <v>冯裕翔</v>
          </cell>
          <cell r="B370" t="str">
            <v>25q710103246</v>
          </cell>
          <cell r="C370" t="str">
            <v>25级电子5班(本方)</v>
          </cell>
        </row>
        <row r="371">
          <cell r="A371" t="str">
            <v>王永庆</v>
          </cell>
          <cell r="B371" t="str">
            <v>25q710103248</v>
          </cell>
          <cell r="C371" t="str">
            <v>25级电子5班(本方)</v>
          </cell>
        </row>
        <row r="372">
          <cell r="A372" t="str">
            <v>马瑞</v>
          </cell>
          <cell r="B372" t="str">
            <v>25q710103249</v>
          </cell>
          <cell r="C372" t="str">
            <v>25级电子5班(本方)</v>
          </cell>
        </row>
        <row r="373">
          <cell r="A373" t="str">
            <v>李慧</v>
          </cell>
          <cell r="B373" t="str">
            <v>25q710103250</v>
          </cell>
          <cell r="C373" t="str">
            <v>25级电子5班(本方)</v>
          </cell>
        </row>
        <row r="374">
          <cell r="A374" t="str">
            <v>吴春池</v>
          </cell>
          <cell r="B374" t="str">
            <v>25q710103251</v>
          </cell>
          <cell r="C374" t="str">
            <v>25级电子5班(本方)</v>
          </cell>
        </row>
        <row r="375">
          <cell r="A375" t="str">
            <v>周思呈</v>
          </cell>
          <cell r="B375" t="str">
            <v>25q710103252</v>
          </cell>
          <cell r="C375" t="str">
            <v>25级电子5班(本方)</v>
          </cell>
        </row>
        <row r="376">
          <cell r="A376" t="str">
            <v>张莉</v>
          </cell>
          <cell r="B376" t="str">
            <v>25q710103253</v>
          </cell>
          <cell r="C376" t="str">
            <v>25级电子5班(本方)</v>
          </cell>
        </row>
        <row r="377">
          <cell r="A377" t="str">
            <v>白懿轩</v>
          </cell>
          <cell r="B377" t="str">
            <v>25q710103254</v>
          </cell>
          <cell r="C377" t="str">
            <v>25级电子5班(本方)</v>
          </cell>
        </row>
        <row r="378">
          <cell r="A378" t="str">
            <v>姜宇晨</v>
          </cell>
          <cell r="B378" t="str">
            <v>25q710103255</v>
          </cell>
          <cell r="C378" t="str">
            <v>25级电子5班(本方)</v>
          </cell>
        </row>
        <row r="379">
          <cell r="A379" t="str">
            <v>樊宇杰</v>
          </cell>
          <cell r="B379" t="str">
            <v>25q710103256</v>
          </cell>
          <cell r="C379" t="str">
            <v>25级电子5班(本方)</v>
          </cell>
        </row>
        <row r="380">
          <cell r="A380" t="str">
            <v>李紫仪</v>
          </cell>
          <cell r="B380" t="str">
            <v>25q710103258</v>
          </cell>
          <cell r="C380" t="str">
            <v>25级电子5班(本方)</v>
          </cell>
        </row>
        <row r="381">
          <cell r="A381" t="str">
            <v>黄琪胜</v>
          </cell>
          <cell r="B381" t="str">
            <v>25q710103260</v>
          </cell>
          <cell r="C381" t="str">
            <v>25级电子5班(本方)</v>
          </cell>
        </row>
        <row r="382">
          <cell r="A382" t="str">
            <v>文天宇</v>
          </cell>
          <cell r="B382" t="str">
            <v>25q710103261</v>
          </cell>
          <cell r="C382" t="str">
            <v>25级电子5班(本方)</v>
          </cell>
        </row>
        <row r="383">
          <cell r="A383" t="str">
            <v>曹清华</v>
          </cell>
          <cell r="B383" t="str">
            <v>25q710103264</v>
          </cell>
          <cell r="C383" t="str">
            <v>25级电子5班(本方)</v>
          </cell>
        </row>
        <row r="384">
          <cell r="A384" t="str">
            <v>邓宋宏</v>
          </cell>
          <cell r="B384" t="str">
            <v>25q710103265</v>
          </cell>
          <cell r="C384" t="str">
            <v>25级电子5班(本方)</v>
          </cell>
        </row>
        <row r="385">
          <cell r="A385" t="str">
            <v>胡宇婕</v>
          </cell>
          <cell r="B385" t="str">
            <v>25q710103268</v>
          </cell>
          <cell r="C385" t="str">
            <v>25级电子5班(本方)</v>
          </cell>
        </row>
        <row r="386">
          <cell r="A386" t="str">
            <v>罗诗梦</v>
          </cell>
          <cell r="B386" t="str">
            <v>25q710103270</v>
          </cell>
          <cell r="C386" t="str">
            <v>25级电子5班(本方)</v>
          </cell>
        </row>
        <row r="387">
          <cell r="A387" t="str">
            <v>吴松霖</v>
          </cell>
          <cell r="B387" t="str">
            <v>25q710103273</v>
          </cell>
          <cell r="C387" t="str">
            <v>25级电子5班(本方)</v>
          </cell>
        </row>
        <row r="388">
          <cell r="A388" t="str">
            <v>赵诗雅</v>
          </cell>
          <cell r="B388" t="str">
            <v>25q710103278</v>
          </cell>
          <cell r="C388" t="str">
            <v>25级电子5班(本方)</v>
          </cell>
        </row>
        <row r="389">
          <cell r="A389" t="str">
            <v>徐梓瑜</v>
          </cell>
          <cell r="B389" t="str">
            <v>25q710103279</v>
          </cell>
          <cell r="C389" t="str">
            <v>25级电子5班(本方)</v>
          </cell>
        </row>
        <row r="390">
          <cell r="A390" t="str">
            <v>甘依玲</v>
          </cell>
          <cell r="B390" t="str">
            <v>25q710103284</v>
          </cell>
          <cell r="C390" t="str">
            <v>25级电子5班(本方)</v>
          </cell>
        </row>
        <row r="391">
          <cell r="A391" t="str">
            <v>刘一凡</v>
          </cell>
          <cell r="B391" t="str">
            <v>25q710103285</v>
          </cell>
          <cell r="C391" t="str">
            <v>25级电子5班(本方)</v>
          </cell>
        </row>
        <row r="392">
          <cell r="A392" t="str">
            <v>曾宇森</v>
          </cell>
          <cell r="B392" t="str">
            <v>25q710103286</v>
          </cell>
          <cell r="C392" t="str">
            <v>25级电子5班(本方)</v>
          </cell>
        </row>
        <row r="393">
          <cell r="A393" t="str">
            <v>张饶意</v>
          </cell>
          <cell r="B393" t="str">
            <v>25q710103289</v>
          </cell>
          <cell r="C393" t="str">
            <v>25级电子5班(本方)</v>
          </cell>
        </row>
        <row r="394">
          <cell r="A394" t="str">
            <v>张梓林</v>
          </cell>
          <cell r="B394" t="str">
            <v>25q710103292</v>
          </cell>
          <cell r="C394" t="str">
            <v>25级电子5班(本方)</v>
          </cell>
        </row>
        <row r="395">
          <cell r="A395" t="str">
            <v>罗楚涵</v>
          </cell>
          <cell r="B395" t="str">
            <v>25q710103293</v>
          </cell>
          <cell r="C395" t="str">
            <v>25级电子5班(本方)</v>
          </cell>
        </row>
        <row r="396">
          <cell r="A396" t="str">
            <v>黄钰锴</v>
          </cell>
          <cell r="B396" t="str">
            <v>25q710103143</v>
          </cell>
          <cell r="C396" t="str">
            <v>25级电子5班(本方)</v>
          </cell>
        </row>
        <row r="397">
          <cell r="A397" t="str">
            <v>卢彦希</v>
          </cell>
          <cell r="B397" t="str">
            <v>25q710103157</v>
          </cell>
          <cell r="C397" t="str">
            <v>25级电子5班(本方)</v>
          </cell>
        </row>
        <row r="398">
          <cell r="A398" t="str">
            <v>李思鸿</v>
          </cell>
          <cell r="B398" t="str">
            <v>25q710103247</v>
          </cell>
          <cell r="C398" t="str">
            <v>25级电子5班(本方)</v>
          </cell>
        </row>
        <row r="399">
          <cell r="A399" t="str">
            <v>兰天宇</v>
          </cell>
          <cell r="B399" t="str">
            <v>25q710103259</v>
          </cell>
          <cell r="C399" t="str">
            <v>25级电子5班(本方)</v>
          </cell>
        </row>
        <row r="400">
          <cell r="A400" t="str">
            <v>董洁</v>
          </cell>
          <cell r="B400" t="str">
            <v>25q710103266</v>
          </cell>
          <cell r="C400" t="str">
            <v>25级电子5班(本方)</v>
          </cell>
        </row>
        <row r="401">
          <cell r="A401" t="str">
            <v>谭邦宏</v>
          </cell>
          <cell r="B401" t="str">
            <v>25q710103304</v>
          </cell>
          <cell r="C401" t="str">
            <v>25级电子5班(本方)</v>
          </cell>
        </row>
        <row r="402">
          <cell r="A402" t="str">
            <v>黄鑫宇</v>
          </cell>
          <cell r="B402" t="str">
            <v>25q710201565</v>
          </cell>
          <cell r="C402" t="str">
            <v>25级电子5班(本方)</v>
          </cell>
        </row>
        <row r="403">
          <cell r="A403" t="str">
            <v>祝浩城</v>
          </cell>
          <cell r="B403" t="str">
            <v>25q710201568</v>
          </cell>
          <cell r="C403" t="str">
            <v>25级电子5班(本方)</v>
          </cell>
        </row>
        <row r="404">
          <cell r="A404" t="str">
            <v>黄毅</v>
          </cell>
          <cell r="B404" t="str">
            <v>25q710201556</v>
          </cell>
          <cell r="C404" t="str">
            <v>25级电子5班(本方)</v>
          </cell>
        </row>
        <row r="405">
          <cell r="A405" t="str">
            <v>白金</v>
          </cell>
          <cell r="B405" t="str">
            <v>25q710103124</v>
          </cell>
          <cell r="C405" t="str">
            <v>25级电子职普融通班</v>
          </cell>
        </row>
        <row r="406">
          <cell r="A406" t="str">
            <v>张梓彤</v>
          </cell>
          <cell r="B406" t="str">
            <v>25q710103144</v>
          </cell>
          <cell r="C406" t="str">
            <v>25级电子职普融通班</v>
          </cell>
        </row>
        <row r="407">
          <cell r="A407" t="str">
            <v>杨宇星</v>
          </cell>
          <cell r="B407" t="str">
            <v>20250222</v>
          </cell>
          <cell r="C407" t="str">
            <v>25级电子职普融通班</v>
          </cell>
        </row>
        <row r="408">
          <cell r="A408" t="str">
            <v>王柯宇</v>
          </cell>
          <cell r="B408" t="str">
            <v>20250702</v>
          </cell>
          <cell r="C408" t="str">
            <v>25级电子职普融通班</v>
          </cell>
        </row>
        <row r="409">
          <cell r="A409" t="str">
            <v>王子文</v>
          </cell>
          <cell r="B409" t="str">
            <v>25q710103118</v>
          </cell>
          <cell r="C409" t="str">
            <v>25级电子职普融通班</v>
          </cell>
        </row>
        <row r="410">
          <cell r="A410" t="str">
            <v>罗思苒</v>
          </cell>
          <cell r="B410" t="str">
            <v>25q710103119</v>
          </cell>
          <cell r="C410" t="str">
            <v>25级电子职普融通班</v>
          </cell>
        </row>
        <row r="411">
          <cell r="A411" t="str">
            <v>王科淇</v>
          </cell>
          <cell r="B411" t="str">
            <v>25q710103120</v>
          </cell>
          <cell r="C411" t="str">
            <v>25级电子职普融通班</v>
          </cell>
        </row>
        <row r="412">
          <cell r="A412" t="str">
            <v>何博屹</v>
          </cell>
          <cell r="B412" t="str">
            <v>25q710103121</v>
          </cell>
          <cell r="C412" t="str">
            <v>25级电子职普融通班</v>
          </cell>
        </row>
        <row r="413">
          <cell r="A413" t="str">
            <v>黄浩然</v>
          </cell>
          <cell r="B413" t="str">
            <v>25q710103122</v>
          </cell>
          <cell r="C413" t="str">
            <v>25级电子职普融通班</v>
          </cell>
        </row>
        <row r="414">
          <cell r="A414" t="str">
            <v>刘诗雨</v>
          </cell>
          <cell r="B414" t="str">
            <v>25q710103123</v>
          </cell>
          <cell r="C414" t="str">
            <v>25级电子职普融通班</v>
          </cell>
        </row>
        <row r="415">
          <cell r="A415" t="str">
            <v>许林海</v>
          </cell>
          <cell r="B415" t="str">
            <v>25q710103125</v>
          </cell>
          <cell r="C415" t="str">
            <v>25级电子职普融通班</v>
          </cell>
        </row>
        <row r="416">
          <cell r="A416" t="str">
            <v>甘宇涵</v>
          </cell>
          <cell r="B416" t="str">
            <v>25q710103126</v>
          </cell>
          <cell r="C416" t="str">
            <v>25级电子职普融通班</v>
          </cell>
        </row>
        <row r="417">
          <cell r="A417" t="str">
            <v>熊琨</v>
          </cell>
          <cell r="B417" t="str">
            <v>25q710103127</v>
          </cell>
          <cell r="C417" t="str">
            <v>25级电子职普融通班</v>
          </cell>
        </row>
        <row r="418">
          <cell r="A418" t="str">
            <v>谢思成</v>
          </cell>
          <cell r="B418" t="str">
            <v>25q710103128</v>
          </cell>
          <cell r="C418" t="str">
            <v>25级电子职普融通班</v>
          </cell>
        </row>
        <row r="419">
          <cell r="A419" t="str">
            <v>张宇豪</v>
          </cell>
          <cell r="B419" t="str">
            <v>25q710103129</v>
          </cell>
          <cell r="C419" t="str">
            <v>25级电子职普融通班</v>
          </cell>
        </row>
        <row r="420">
          <cell r="A420" t="str">
            <v>姚刘杰</v>
          </cell>
          <cell r="B420" t="str">
            <v>25q710103130</v>
          </cell>
          <cell r="C420" t="str">
            <v>25级电子职普融通班</v>
          </cell>
        </row>
        <row r="421">
          <cell r="A421" t="str">
            <v>李瑞杰</v>
          </cell>
          <cell r="B421" t="str">
            <v>25q710103131</v>
          </cell>
          <cell r="C421" t="str">
            <v>25级电子职普融通班</v>
          </cell>
        </row>
        <row r="422">
          <cell r="A422" t="str">
            <v>黄子轩</v>
          </cell>
          <cell r="B422" t="str">
            <v>25q710103132</v>
          </cell>
          <cell r="C422" t="str">
            <v>25级电子职普融通班</v>
          </cell>
        </row>
        <row r="423">
          <cell r="A423" t="str">
            <v>王若惜</v>
          </cell>
          <cell r="B423" t="str">
            <v>25q710103133</v>
          </cell>
          <cell r="C423" t="str">
            <v>25级电子职普融通班</v>
          </cell>
        </row>
        <row r="424">
          <cell r="A424" t="str">
            <v>杨子一</v>
          </cell>
          <cell r="B424" t="str">
            <v>25q710103134</v>
          </cell>
          <cell r="C424" t="str">
            <v>25级电子职普融通班</v>
          </cell>
        </row>
        <row r="425">
          <cell r="A425" t="str">
            <v>许晨析</v>
          </cell>
          <cell r="B425" t="str">
            <v>25q710103135</v>
          </cell>
          <cell r="C425" t="str">
            <v>25级电子职普融通班</v>
          </cell>
        </row>
        <row r="426">
          <cell r="A426" t="str">
            <v>吕文涛</v>
          </cell>
          <cell r="B426" t="str">
            <v>25q710103136</v>
          </cell>
          <cell r="C426" t="str">
            <v>25级电子职普融通班</v>
          </cell>
        </row>
        <row r="427">
          <cell r="A427" t="str">
            <v>鲜王博熙</v>
          </cell>
          <cell r="B427" t="str">
            <v>25q710103137</v>
          </cell>
          <cell r="C427" t="str">
            <v>25级电子职普融通班</v>
          </cell>
        </row>
        <row r="428">
          <cell r="A428" t="str">
            <v>刘岚</v>
          </cell>
          <cell r="B428" t="str">
            <v>25q710103138</v>
          </cell>
          <cell r="C428" t="str">
            <v>25级电子职普融通班</v>
          </cell>
        </row>
        <row r="429">
          <cell r="A429" t="str">
            <v>王炳菻</v>
          </cell>
          <cell r="B429" t="str">
            <v>25q710103139</v>
          </cell>
          <cell r="C429" t="str">
            <v>25级电子职普融通班</v>
          </cell>
        </row>
        <row r="430">
          <cell r="A430" t="str">
            <v>张宏博</v>
          </cell>
          <cell r="B430" t="str">
            <v>25q710103140</v>
          </cell>
          <cell r="C430" t="str">
            <v>25级电子职普融通班</v>
          </cell>
        </row>
        <row r="431">
          <cell r="A431" t="str">
            <v>鲜羽霖</v>
          </cell>
          <cell r="B431" t="str">
            <v>25q710103141</v>
          </cell>
          <cell r="C431" t="str">
            <v>25级电子职普融通班</v>
          </cell>
        </row>
        <row r="432">
          <cell r="A432" t="str">
            <v>何耀祖</v>
          </cell>
          <cell r="B432" t="str">
            <v>25q710103142</v>
          </cell>
          <cell r="C432" t="str">
            <v>25级电子职普融通班</v>
          </cell>
        </row>
        <row r="433">
          <cell r="A433" t="str">
            <v>王雅馨</v>
          </cell>
          <cell r="B433" t="str">
            <v>25q710103148</v>
          </cell>
          <cell r="C433" t="str">
            <v>25级电子职普融通班</v>
          </cell>
        </row>
        <row r="434">
          <cell r="A434" t="str">
            <v>何语晨</v>
          </cell>
          <cell r="B434" t="str">
            <v>25q710103149</v>
          </cell>
          <cell r="C434" t="str">
            <v>25级电子职普融通班</v>
          </cell>
        </row>
        <row r="435">
          <cell r="A435" t="str">
            <v>鲜思孟</v>
          </cell>
          <cell r="B435" t="str">
            <v>25q710103150</v>
          </cell>
          <cell r="C435" t="str">
            <v>25级电子职普融通班</v>
          </cell>
        </row>
        <row r="436">
          <cell r="A436" t="str">
            <v>吕芷妍</v>
          </cell>
          <cell r="B436" t="str">
            <v>25q710103151</v>
          </cell>
          <cell r="C436" t="str">
            <v>25级电子职普融通班</v>
          </cell>
        </row>
        <row r="437">
          <cell r="A437" t="str">
            <v>冯紫晗</v>
          </cell>
          <cell r="B437" t="str">
            <v>25q710103152</v>
          </cell>
          <cell r="C437" t="str">
            <v>25级电子职普融通班</v>
          </cell>
        </row>
        <row r="438">
          <cell r="A438" t="str">
            <v>龚爱淋</v>
          </cell>
          <cell r="B438" t="str">
            <v>25q710103153</v>
          </cell>
          <cell r="C438" t="str">
            <v>25级电子职普融通班</v>
          </cell>
        </row>
        <row r="439">
          <cell r="A439" t="str">
            <v>丁锐</v>
          </cell>
          <cell r="B439" t="str">
            <v>25q710103154</v>
          </cell>
          <cell r="C439" t="str">
            <v>25级电子职普融通班</v>
          </cell>
        </row>
        <row r="440">
          <cell r="A440" t="str">
            <v>罗茂棋</v>
          </cell>
          <cell r="B440" t="str">
            <v>25q710103155</v>
          </cell>
          <cell r="C440" t="str">
            <v>25级电子职普融通班</v>
          </cell>
        </row>
        <row r="441">
          <cell r="A441" t="str">
            <v>宋唐贤</v>
          </cell>
          <cell r="B441" t="str">
            <v>25q710103156</v>
          </cell>
          <cell r="C441" t="str">
            <v>25级电子职普融通班</v>
          </cell>
        </row>
        <row r="442">
          <cell r="A442" t="str">
            <v>刘龙海</v>
          </cell>
          <cell r="B442" t="str">
            <v>25q710103158</v>
          </cell>
          <cell r="C442" t="str">
            <v>25级电子职普融通班</v>
          </cell>
        </row>
        <row r="443">
          <cell r="A443" t="str">
            <v>李思成</v>
          </cell>
          <cell r="B443" t="str">
            <v>25q710103159</v>
          </cell>
          <cell r="C443" t="str">
            <v>25级电子职普融通班</v>
          </cell>
        </row>
        <row r="444">
          <cell r="A444" t="str">
            <v>黄紫萱</v>
          </cell>
          <cell r="B444" t="str">
            <v>25q710103161</v>
          </cell>
          <cell r="C444" t="str">
            <v>25级电子职普融通班</v>
          </cell>
        </row>
        <row r="445">
          <cell r="A445" t="str">
            <v>杨檬玮</v>
          </cell>
          <cell r="B445" t="str">
            <v>25q710103162</v>
          </cell>
          <cell r="C445" t="str">
            <v>25级电子职普融通班</v>
          </cell>
        </row>
        <row r="446">
          <cell r="A446" t="str">
            <v>王学庆</v>
          </cell>
          <cell r="B446" t="str">
            <v>25q710103163</v>
          </cell>
          <cell r="C446" t="str">
            <v>25级电子职普融通班</v>
          </cell>
        </row>
        <row r="447">
          <cell r="A447" t="str">
            <v>王茂萍</v>
          </cell>
          <cell r="B447" t="str">
            <v>25q710201560</v>
          </cell>
          <cell r="C447" t="str">
            <v>25级电子职普融通班</v>
          </cell>
        </row>
        <row r="448">
          <cell r="A448" t="str">
            <v>陈煜杰</v>
          </cell>
          <cell r="B448" t="str">
            <v>24q710201007</v>
          </cell>
          <cell r="C448" t="str">
            <v>25级计算机1班</v>
          </cell>
        </row>
        <row r="449">
          <cell r="A449" t="str">
            <v>徐骏杰</v>
          </cell>
          <cell r="B449" t="str">
            <v>25q710103219</v>
          </cell>
          <cell r="C449" t="str">
            <v>25级计算机1班</v>
          </cell>
        </row>
        <row r="450">
          <cell r="A450" t="str">
            <v>杨可欣</v>
          </cell>
          <cell r="B450" t="str">
            <v>20250312</v>
          </cell>
          <cell r="C450" t="str">
            <v>25级计算机1班</v>
          </cell>
        </row>
        <row r="451">
          <cell r="A451" t="str">
            <v>杨琬婷</v>
          </cell>
          <cell r="B451" t="str">
            <v>20250713</v>
          </cell>
          <cell r="C451" t="str">
            <v>25级计算机1班</v>
          </cell>
        </row>
        <row r="452">
          <cell r="A452" t="str">
            <v>龚晓菲</v>
          </cell>
          <cell r="B452" t="str">
            <v>25q710201062</v>
          </cell>
          <cell r="C452" t="str">
            <v>25级计算机1班</v>
          </cell>
        </row>
        <row r="453">
          <cell r="A453" t="str">
            <v>何仲龄</v>
          </cell>
          <cell r="B453" t="str">
            <v>25q710201066</v>
          </cell>
          <cell r="C453" t="str">
            <v>25级计算机1班</v>
          </cell>
        </row>
        <row r="454">
          <cell r="A454" t="str">
            <v>黄轲诚</v>
          </cell>
          <cell r="B454" t="str">
            <v>25q710201068</v>
          </cell>
          <cell r="C454" t="str">
            <v>25级计算机1班</v>
          </cell>
        </row>
        <row r="455">
          <cell r="A455" t="str">
            <v>罗云翔</v>
          </cell>
          <cell r="B455" t="str">
            <v>25q710201078</v>
          </cell>
          <cell r="C455" t="str">
            <v>25级计算机1班</v>
          </cell>
        </row>
        <row r="456">
          <cell r="A456" t="str">
            <v>彭成洪</v>
          </cell>
          <cell r="B456" t="str">
            <v>25q710201081</v>
          </cell>
          <cell r="C456" t="str">
            <v>25级计算机1班</v>
          </cell>
        </row>
        <row r="457">
          <cell r="A457" t="str">
            <v>唐倩</v>
          </cell>
          <cell r="B457" t="str">
            <v>25q710201087</v>
          </cell>
          <cell r="C457" t="str">
            <v>25级计算机1班</v>
          </cell>
        </row>
        <row r="458">
          <cell r="A458" t="str">
            <v>田力博</v>
          </cell>
          <cell r="B458" t="str">
            <v>25q710201089</v>
          </cell>
          <cell r="C458" t="str">
            <v>25级计算机1班</v>
          </cell>
        </row>
        <row r="459">
          <cell r="A459" t="str">
            <v>陈艳琳</v>
          </cell>
          <cell r="B459" t="str">
            <v>25q710201179</v>
          </cell>
          <cell r="C459" t="str">
            <v>25级计算机1班</v>
          </cell>
        </row>
        <row r="460">
          <cell r="A460" t="str">
            <v>邹雨彤</v>
          </cell>
          <cell r="B460" t="str">
            <v>25q710201180</v>
          </cell>
          <cell r="C460" t="str">
            <v>25级计算机1班</v>
          </cell>
        </row>
        <row r="461">
          <cell r="A461" t="str">
            <v>底诗琦</v>
          </cell>
          <cell r="B461" t="str">
            <v>25q710201181</v>
          </cell>
          <cell r="C461" t="str">
            <v>25级计算机1班</v>
          </cell>
        </row>
        <row r="462">
          <cell r="A462" t="str">
            <v>王欣莹</v>
          </cell>
          <cell r="B462" t="str">
            <v>25q710201182</v>
          </cell>
          <cell r="C462" t="str">
            <v>25级计算机1班</v>
          </cell>
        </row>
        <row r="463">
          <cell r="A463" t="str">
            <v>李会宁</v>
          </cell>
          <cell r="B463" t="str">
            <v>25q710201183</v>
          </cell>
          <cell r="C463" t="str">
            <v>25级计算机1班</v>
          </cell>
        </row>
        <row r="464">
          <cell r="A464" t="str">
            <v>曾宇琦</v>
          </cell>
          <cell r="B464" t="str">
            <v>25q710201184</v>
          </cell>
          <cell r="C464" t="str">
            <v>25级计算机1班</v>
          </cell>
        </row>
        <row r="465">
          <cell r="A465" t="str">
            <v>龙依晨</v>
          </cell>
          <cell r="B465" t="str">
            <v>25q710201185</v>
          </cell>
          <cell r="C465" t="str">
            <v>25级计算机1班</v>
          </cell>
        </row>
        <row r="466">
          <cell r="A466" t="str">
            <v>李欣蕾</v>
          </cell>
          <cell r="B466" t="str">
            <v>25q710201186</v>
          </cell>
          <cell r="C466" t="str">
            <v>25级计算机1班</v>
          </cell>
        </row>
        <row r="467">
          <cell r="A467" t="str">
            <v>王治英</v>
          </cell>
          <cell r="B467" t="str">
            <v>25q710201187</v>
          </cell>
          <cell r="C467" t="str">
            <v>25级计算机1班</v>
          </cell>
        </row>
        <row r="468">
          <cell r="A468" t="str">
            <v>赵鑫</v>
          </cell>
          <cell r="B468" t="str">
            <v>25q710201188</v>
          </cell>
          <cell r="C468" t="str">
            <v>25级计算机1班</v>
          </cell>
        </row>
        <row r="469">
          <cell r="A469" t="str">
            <v>宋慧慈</v>
          </cell>
          <cell r="B469" t="str">
            <v>25q710201189</v>
          </cell>
          <cell r="C469" t="str">
            <v>25级计算机1班</v>
          </cell>
        </row>
        <row r="470">
          <cell r="A470" t="str">
            <v>何欣瑞</v>
          </cell>
          <cell r="B470" t="str">
            <v>25q710201190</v>
          </cell>
          <cell r="C470" t="str">
            <v>25级计算机1班</v>
          </cell>
        </row>
        <row r="471">
          <cell r="A471" t="str">
            <v>刘俊熙</v>
          </cell>
          <cell r="B471" t="str">
            <v>25q710201191</v>
          </cell>
          <cell r="C471" t="str">
            <v>25级计算机1班</v>
          </cell>
        </row>
        <row r="472">
          <cell r="A472" t="str">
            <v>陈心蝶</v>
          </cell>
          <cell r="B472" t="str">
            <v>25q710201194</v>
          </cell>
          <cell r="C472" t="str">
            <v>25级计算机1班</v>
          </cell>
        </row>
        <row r="473">
          <cell r="A473" t="str">
            <v>罗奇</v>
          </cell>
          <cell r="B473" t="str">
            <v>25q710201196</v>
          </cell>
          <cell r="C473" t="str">
            <v>25级计算机1班</v>
          </cell>
        </row>
        <row r="474">
          <cell r="A474" t="str">
            <v>李晓美</v>
          </cell>
          <cell r="B474" t="str">
            <v>25q710201197</v>
          </cell>
          <cell r="C474" t="str">
            <v>25级计算机1班</v>
          </cell>
        </row>
        <row r="475">
          <cell r="A475" t="str">
            <v>王思语</v>
          </cell>
          <cell r="B475" t="str">
            <v>25q710201198</v>
          </cell>
          <cell r="C475" t="str">
            <v>25级计算机1班</v>
          </cell>
        </row>
        <row r="476">
          <cell r="A476" t="str">
            <v>张群汶</v>
          </cell>
          <cell r="B476" t="str">
            <v>25q710201200</v>
          </cell>
          <cell r="C476" t="str">
            <v>25级计算机1班</v>
          </cell>
        </row>
        <row r="477">
          <cell r="A477" t="str">
            <v>罗思瑞</v>
          </cell>
          <cell r="B477" t="str">
            <v>25q710201201</v>
          </cell>
          <cell r="C477" t="str">
            <v>25级计算机1班</v>
          </cell>
        </row>
        <row r="478">
          <cell r="A478" t="str">
            <v>张玉琴</v>
          </cell>
          <cell r="B478" t="str">
            <v>25q710201202</v>
          </cell>
          <cell r="C478" t="str">
            <v>25级计算机1班</v>
          </cell>
        </row>
        <row r="479">
          <cell r="A479" t="str">
            <v>文琳</v>
          </cell>
          <cell r="B479" t="str">
            <v>25q710201203</v>
          </cell>
          <cell r="C479" t="str">
            <v>25级计算机1班</v>
          </cell>
        </row>
        <row r="480">
          <cell r="A480" t="str">
            <v>何荟兴</v>
          </cell>
          <cell r="B480" t="str">
            <v>25q710201204</v>
          </cell>
          <cell r="C480" t="str">
            <v>25级计算机1班</v>
          </cell>
        </row>
        <row r="481">
          <cell r="A481" t="str">
            <v>陈洪翔</v>
          </cell>
          <cell r="B481" t="str">
            <v>25q710201205</v>
          </cell>
          <cell r="C481" t="str">
            <v>25级计算机1班</v>
          </cell>
        </row>
        <row r="482">
          <cell r="A482" t="str">
            <v>吴文槟</v>
          </cell>
          <cell r="B482" t="str">
            <v>25q710201206</v>
          </cell>
          <cell r="C482" t="str">
            <v>25级计算机1班</v>
          </cell>
        </row>
        <row r="483">
          <cell r="A483" t="str">
            <v>罗嘉欣</v>
          </cell>
          <cell r="B483" t="str">
            <v>25q710201207</v>
          </cell>
          <cell r="C483" t="str">
            <v>25级计算机1班</v>
          </cell>
        </row>
        <row r="484">
          <cell r="A484" t="str">
            <v>徐墁淑</v>
          </cell>
          <cell r="B484" t="str">
            <v>25q710201209</v>
          </cell>
          <cell r="C484" t="str">
            <v>25级计算机1班</v>
          </cell>
        </row>
        <row r="485">
          <cell r="A485" t="str">
            <v>曹语涵</v>
          </cell>
          <cell r="B485" t="str">
            <v>25q710201210</v>
          </cell>
          <cell r="C485" t="str">
            <v>25级计算机1班</v>
          </cell>
        </row>
        <row r="486">
          <cell r="A486" t="str">
            <v>尹勇</v>
          </cell>
          <cell r="B486" t="str">
            <v>25q710201211</v>
          </cell>
          <cell r="C486" t="str">
            <v>25级计算机1班</v>
          </cell>
        </row>
        <row r="487">
          <cell r="A487" t="str">
            <v>张思佳</v>
          </cell>
          <cell r="B487" t="str">
            <v>25q710201212</v>
          </cell>
          <cell r="C487" t="str">
            <v>25级计算机1班</v>
          </cell>
        </row>
        <row r="488">
          <cell r="A488" t="str">
            <v>宋慧敏</v>
          </cell>
          <cell r="B488" t="str">
            <v>25q710201213</v>
          </cell>
          <cell r="C488" t="str">
            <v>25级计算机1班</v>
          </cell>
        </row>
        <row r="489">
          <cell r="A489" t="str">
            <v>周子木</v>
          </cell>
          <cell r="B489" t="str">
            <v>25q710201214</v>
          </cell>
          <cell r="C489" t="str">
            <v>25级计算机1班</v>
          </cell>
        </row>
        <row r="490">
          <cell r="A490" t="str">
            <v>刘峻巧</v>
          </cell>
          <cell r="B490" t="str">
            <v>25q710201215</v>
          </cell>
          <cell r="C490" t="str">
            <v>25级计算机1班</v>
          </cell>
        </row>
        <row r="491">
          <cell r="A491" t="str">
            <v>张梦怡</v>
          </cell>
          <cell r="B491" t="str">
            <v>25q710201216</v>
          </cell>
          <cell r="C491" t="str">
            <v>25级计算机1班</v>
          </cell>
        </row>
        <row r="492">
          <cell r="A492" t="str">
            <v>杨雨萱</v>
          </cell>
          <cell r="B492" t="str">
            <v>25q710201217</v>
          </cell>
          <cell r="C492" t="str">
            <v>25级计算机1班</v>
          </cell>
        </row>
        <row r="493">
          <cell r="A493" t="str">
            <v>杨世琦</v>
          </cell>
          <cell r="B493" t="str">
            <v>25q710201219</v>
          </cell>
          <cell r="C493" t="str">
            <v>25级计算机1班</v>
          </cell>
        </row>
        <row r="494">
          <cell r="A494" t="str">
            <v>黄嘉俊</v>
          </cell>
          <cell r="B494" t="str">
            <v>25q710201220</v>
          </cell>
          <cell r="C494" t="str">
            <v>25级计算机1班</v>
          </cell>
        </row>
        <row r="495">
          <cell r="A495" t="str">
            <v>李宇航</v>
          </cell>
          <cell r="B495" t="str">
            <v>25q710201221</v>
          </cell>
          <cell r="C495" t="str">
            <v>25级计算机1班</v>
          </cell>
        </row>
        <row r="496">
          <cell r="A496" t="str">
            <v>李昊</v>
          </cell>
          <cell r="B496" t="str">
            <v>25q710201222</v>
          </cell>
          <cell r="C496" t="str">
            <v>25级计算机1班</v>
          </cell>
        </row>
        <row r="497">
          <cell r="A497" t="str">
            <v>詹沛霖</v>
          </cell>
          <cell r="B497" t="str">
            <v>25q710201225</v>
          </cell>
          <cell r="C497" t="str">
            <v>25级计算机1班</v>
          </cell>
        </row>
        <row r="498">
          <cell r="A498" t="str">
            <v>冯梦苒</v>
          </cell>
          <cell r="B498" t="str">
            <v>25q710201226</v>
          </cell>
          <cell r="C498" t="str">
            <v>25级计算机1班</v>
          </cell>
        </row>
        <row r="499">
          <cell r="A499" t="str">
            <v>殷紫婷</v>
          </cell>
          <cell r="B499" t="str">
            <v>25q710201227</v>
          </cell>
          <cell r="C499" t="str">
            <v>25级计算机1班</v>
          </cell>
        </row>
        <row r="500">
          <cell r="A500" t="str">
            <v>凌星铖</v>
          </cell>
          <cell r="B500" t="str">
            <v>25q710201228</v>
          </cell>
          <cell r="C500" t="str">
            <v>25级计算机1班</v>
          </cell>
        </row>
        <row r="501">
          <cell r="A501" t="str">
            <v>刘浩</v>
          </cell>
          <cell r="B501" t="str">
            <v>25q710201229</v>
          </cell>
          <cell r="C501" t="str">
            <v>25级计算机1班</v>
          </cell>
        </row>
        <row r="502">
          <cell r="A502" t="str">
            <v>曾艳梅</v>
          </cell>
          <cell r="B502" t="str">
            <v>25q710201230</v>
          </cell>
          <cell r="C502" t="str">
            <v>25级计算机1班</v>
          </cell>
        </row>
        <row r="503">
          <cell r="A503" t="str">
            <v>鲜开熠</v>
          </cell>
          <cell r="B503" t="str">
            <v>25q710201231</v>
          </cell>
          <cell r="C503" t="str">
            <v>25级计算机1班</v>
          </cell>
        </row>
        <row r="504">
          <cell r="A504" t="str">
            <v>穆杨</v>
          </cell>
          <cell r="B504" t="str">
            <v>25q710201235</v>
          </cell>
          <cell r="C504" t="str">
            <v>25级计算机1班</v>
          </cell>
        </row>
        <row r="505">
          <cell r="A505" t="str">
            <v>刘珊</v>
          </cell>
          <cell r="B505" t="str">
            <v>25q710201236</v>
          </cell>
          <cell r="C505" t="str">
            <v>25级计算机1班</v>
          </cell>
        </row>
        <row r="506">
          <cell r="A506" t="str">
            <v>祝林</v>
          </cell>
          <cell r="B506" t="str">
            <v>25q710201238</v>
          </cell>
          <cell r="C506" t="str">
            <v>25级计算机1班</v>
          </cell>
        </row>
        <row r="507">
          <cell r="A507" t="str">
            <v>徐浩乐</v>
          </cell>
          <cell r="B507" t="str">
            <v>25q770303024</v>
          </cell>
          <cell r="C507" t="str">
            <v>25级计算机1班</v>
          </cell>
        </row>
        <row r="508">
          <cell r="A508" t="str">
            <v>赵竣涵</v>
          </cell>
          <cell r="B508" t="str">
            <v>25q770303041</v>
          </cell>
          <cell r="C508" t="str">
            <v>25级计算机1班</v>
          </cell>
        </row>
        <row r="509">
          <cell r="A509" t="str">
            <v>杨昔瑶</v>
          </cell>
          <cell r="B509" t="str">
            <v>25q710201240</v>
          </cell>
          <cell r="C509" t="str">
            <v>25级计算机1班</v>
          </cell>
        </row>
        <row r="510">
          <cell r="A510" t="str">
            <v>曹逸辰</v>
          </cell>
          <cell r="B510" t="str">
            <v>25q710201054</v>
          </cell>
          <cell r="C510" t="str">
            <v>25级计算机1班</v>
          </cell>
        </row>
        <row r="511">
          <cell r="A511" t="str">
            <v>杨玥</v>
          </cell>
          <cell r="B511" t="str">
            <v>25q710201193</v>
          </cell>
          <cell r="C511" t="str">
            <v>25级计算机1班</v>
          </cell>
        </row>
        <row r="512">
          <cell r="A512" t="str">
            <v>陈林涛</v>
          </cell>
          <cell r="B512" t="str">
            <v>25q710201195</v>
          </cell>
          <cell r="C512" t="str">
            <v>25级计算机1班</v>
          </cell>
        </row>
        <row r="513">
          <cell r="A513" t="str">
            <v>谢宇杰</v>
          </cell>
          <cell r="B513" t="str">
            <v>25q710201241</v>
          </cell>
          <cell r="C513" t="str">
            <v>25级计算机1班</v>
          </cell>
        </row>
        <row r="514">
          <cell r="A514" t="str">
            <v>王敏</v>
          </cell>
          <cell r="B514" t="str">
            <v>25q740101019</v>
          </cell>
          <cell r="C514" t="str">
            <v>25级计算机1班</v>
          </cell>
        </row>
        <row r="515">
          <cell r="A515" t="str">
            <v>邹墨轩</v>
          </cell>
          <cell r="B515" t="str">
            <v>25q710201239</v>
          </cell>
          <cell r="C515" t="str">
            <v>25级计算机1班</v>
          </cell>
        </row>
        <row r="516">
          <cell r="A516" t="str">
            <v>黄瑞</v>
          </cell>
          <cell r="B516" t="str">
            <v>25q710201244</v>
          </cell>
          <cell r="C516" t="str">
            <v>25级计算机1班</v>
          </cell>
        </row>
        <row r="517">
          <cell r="A517" t="str">
            <v>罗星浩</v>
          </cell>
          <cell r="B517" t="str">
            <v>25q710201245</v>
          </cell>
          <cell r="C517" t="str">
            <v>25级计算机1班</v>
          </cell>
        </row>
        <row r="518">
          <cell r="A518" t="str">
            <v>陈靖豪</v>
          </cell>
          <cell r="B518" t="str">
            <v>25q710201257</v>
          </cell>
          <cell r="C518" t="str">
            <v>25级计算机1班</v>
          </cell>
        </row>
        <row r="519">
          <cell r="A519" t="str">
            <v>祝国良</v>
          </cell>
          <cell r="B519" t="str">
            <v>25q710201135</v>
          </cell>
          <cell r="C519" t="str">
            <v>25级计算机2班</v>
          </cell>
        </row>
        <row r="520">
          <cell r="A520" t="str">
            <v>余富成</v>
          </cell>
          <cell r="B520" t="str">
            <v>25q710201161</v>
          </cell>
          <cell r="C520" t="str">
            <v>25级计算机2班</v>
          </cell>
        </row>
        <row r="521">
          <cell r="A521" t="str">
            <v>吴韩</v>
          </cell>
          <cell r="B521" t="str">
            <v>25q710201177</v>
          </cell>
          <cell r="C521" t="str">
            <v>25级计算机2班</v>
          </cell>
        </row>
        <row r="522">
          <cell r="A522" t="str">
            <v>陈俊麒</v>
          </cell>
          <cell r="B522" t="str">
            <v>25q710201055</v>
          </cell>
          <cell r="C522" t="str">
            <v>25级计算机2班</v>
          </cell>
        </row>
        <row r="523">
          <cell r="A523" t="str">
            <v>王思晴</v>
          </cell>
          <cell r="B523" t="str">
            <v>25q710201092</v>
          </cell>
          <cell r="C523" t="str">
            <v>25级计算机2班</v>
          </cell>
        </row>
        <row r="524">
          <cell r="A524" t="str">
            <v>吴俣</v>
          </cell>
          <cell r="B524" t="str">
            <v>25q710201094</v>
          </cell>
          <cell r="C524" t="str">
            <v>25级计算机2班</v>
          </cell>
        </row>
        <row r="525">
          <cell r="A525" t="str">
            <v>严懿宸</v>
          </cell>
          <cell r="B525" t="str">
            <v>25q710201099</v>
          </cell>
          <cell r="C525" t="str">
            <v>25级计算机2班</v>
          </cell>
        </row>
        <row r="526">
          <cell r="A526" t="str">
            <v>张猛淋</v>
          </cell>
          <cell r="B526" t="str">
            <v>25q710201107</v>
          </cell>
          <cell r="C526" t="str">
            <v>25级计算机2班</v>
          </cell>
        </row>
        <row r="527">
          <cell r="A527" t="str">
            <v>赵骧羽</v>
          </cell>
          <cell r="B527" t="str">
            <v>25q710201110</v>
          </cell>
          <cell r="C527" t="str">
            <v>25级计算机2班</v>
          </cell>
        </row>
        <row r="528">
          <cell r="A528" t="str">
            <v>朱悦成</v>
          </cell>
          <cell r="B528" t="str">
            <v>25q710201116</v>
          </cell>
          <cell r="C528" t="str">
            <v>25级计算机2班</v>
          </cell>
        </row>
        <row r="529">
          <cell r="A529" t="str">
            <v>彭宇睿</v>
          </cell>
          <cell r="B529" t="str">
            <v>25q710103242</v>
          </cell>
          <cell r="C529" t="str">
            <v>25级计算机2班</v>
          </cell>
        </row>
        <row r="530">
          <cell r="A530" t="str">
            <v>何贵鑫</v>
          </cell>
          <cell r="B530" t="str">
            <v>25q710103267</v>
          </cell>
          <cell r="C530" t="str">
            <v>25级计算机2班</v>
          </cell>
        </row>
        <row r="531">
          <cell r="A531" t="str">
            <v>许恒歌</v>
          </cell>
          <cell r="B531" t="str">
            <v>25q710103275</v>
          </cell>
          <cell r="C531" t="str">
            <v>25级计算机2班</v>
          </cell>
        </row>
        <row r="532">
          <cell r="A532" t="str">
            <v>陈彬炜</v>
          </cell>
          <cell r="B532" t="str">
            <v>25q710103287</v>
          </cell>
          <cell r="C532" t="str">
            <v>25级计算机2班</v>
          </cell>
        </row>
        <row r="533">
          <cell r="A533" t="str">
            <v>简晨曦</v>
          </cell>
          <cell r="B533" t="str">
            <v>25q710103288</v>
          </cell>
          <cell r="C533" t="str">
            <v>25级计算机2班</v>
          </cell>
        </row>
        <row r="534">
          <cell r="A534" t="str">
            <v>王乙霖</v>
          </cell>
          <cell r="B534" t="str">
            <v>25q710103291</v>
          </cell>
          <cell r="C534" t="str">
            <v>25级计算机2班</v>
          </cell>
        </row>
        <row r="535">
          <cell r="A535" t="str">
            <v>符美婷</v>
          </cell>
          <cell r="B535" t="str">
            <v>25q710201119</v>
          </cell>
          <cell r="C535" t="str">
            <v>25级计算机2班</v>
          </cell>
        </row>
        <row r="536">
          <cell r="A536" t="str">
            <v>李想</v>
          </cell>
          <cell r="B536" t="str">
            <v>25q710201120</v>
          </cell>
          <cell r="C536" t="str">
            <v>25级计算机2班</v>
          </cell>
        </row>
        <row r="537">
          <cell r="A537" t="str">
            <v>余承熹</v>
          </cell>
          <cell r="B537" t="str">
            <v>25q710201121</v>
          </cell>
          <cell r="C537" t="str">
            <v>25级计算机2班</v>
          </cell>
        </row>
        <row r="538">
          <cell r="A538" t="str">
            <v>袁宇薇</v>
          </cell>
          <cell r="B538" t="str">
            <v>25q710201122</v>
          </cell>
          <cell r="C538" t="str">
            <v>25级计算机2班</v>
          </cell>
        </row>
        <row r="539">
          <cell r="A539" t="str">
            <v>尹淅瑶</v>
          </cell>
          <cell r="B539" t="str">
            <v>25q710201123</v>
          </cell>
          <cell r="C539" t="str">
            <v>25级计算机2班</v>
          </cell>
        </row>
        <row r="540">
          <cell r="A540" t="str">
            <v>王伟祺</v>
          </cell>
          <cell r="B540" t="str">
            <v>25q710201124</v>
          </cell>
          <cell r="C540" t="str">
            <v>25级计算机2班</v>
          </cell>
        </row>
        <row r="541">
          <cell r="A541" t="str">
            <v>王琪玮</v>
          </cell>
          <cell r="B541" t="str">
            <v>25q710201125</v>
          </cell>
          <cell r="C541" t="str">
            <v>25级计算机2班</v>
          </cell>
        </row>
        <row r="542">
          <cell r="A542" t="str">
            <v>陈翰霖</v>
          </cell>
          <cell r="B542" t="str">
            <v>25q710201126</v>
          </cell>
          <cell r="C542" t="str">
            <v>25级计算机2班</v>
          </cell>
        </row>
        <row r="543">
          <cell r="A543" t="str">
            <v>张贝依</v>
          </cell>
          <cell r="B543" t="str">
            <v>25q710201127</v>
          </cell>
          <cell r="C543" t="str">
            <v>25级计算机2班</v>
          </cell>
        </row>
        <row r="544">
          <cell r="A544" t="str">
            <v>祝元璋</v>
          </cell>
          <cell r="B544" t="str">
            <v>25q710201128</v>
          </cell>
          <cell r="C544" t="str">
            <v>25级计算机2班</v>
          </cell>
        </row>
        <row r="545">
          <cell r="A545" t="str">
            <v>鲁馨怡</v>
          </cell>
          <cell r="B545" t="str">
            <v>25q710201129</v>
          </cell>
          <cell r="C545" t="str">
            <v>25级计算机2班</v>
          </cell>
        </row>
        <row r="546">
          <cell r="A546" t="str">
            <v>李诗杨</v>
          </cell>
          <cell r="B546" t="str">
            <v>25q710201130</v>
          </cell>
          <cell r="C546" t="str">
            <v>25级计算机2班</v>
          </cell>
        </row>
        <row r="547">
          <cell r="A547" t="str">
            <v>黄森磊</v>
          </cell>
          <cell r="B547" t="str">
            <v>25q710201131</v>
          </cell>
          <cell r="C547" t="str">
            <v>25级计算机2班</v>
          </cell>
        </row>
        <row r="548">
          <cell r="A548" t="str">
            <v>赵雨轩</v>
          </cell>
          <cell r="B548" t="str">
            <v>25q710201132</v>
          </cell>
          <cell r="C548" t="str">
            <v>25级计算机2班</v>
          </cell>
        </row>
        <row r="549">
          <cell r="A549" t="str">
            <v>陈炫</v>
          </cell>
          <cell r="B549" t="str">
            <v>25q710201133</v>
          </cell>
          <cell r="C549" t="str">
            <v>25级计算机2班</v>
          </cell>
        </row>
        <row r="550">
          <cell r="A550" t="str">
            <v>李欣然</v>
          </cell>
          <cell r="B550" t="str">
            <v>25q710201134</v>
          </cell>
          <cell r="C550" t="str">
            <v>25级计算机2班</v>
          </cell>
        </row>
        <row r="551">
          <cell r="A551" t="str">
            <v>陈心语</v>
          </cell>
          <cell r="B551" t="str">
            <v>25q710201136</v>
          </cell>
          <cell r="C551" t="str">
            <v>25级计算机2班</v>
          </cell>
        </row>
        <row r="552">
          <cell r="A552" t="str">
            <v>李航宇</v>
          </cell>
          <cell r="B552" t="str">
            <v>25q710201137</v>
          </cell>
          <cell r="C552" t="str">
            <v>25级计算机2班</v>
          </cell>
        </row>
        <row r="553">
          <cell r="A553" t="str">
            <v>樊诗娇</v>
          </cell>
          <cell r="B553" t="str">
            <v>25q710201138</v>
          </cell>
          <cell r="C553" t="str">
            <v>25级计算机2班</v>
          </cell>
        </row>
        <row r="554">
          <cell r="A554" t="str">
            <v>王熙雯</v>
          </cell>
          <cell r="B554" t="str">
            <v>25q710201139</v>
          </cell>
          <cell r="C554" t="str">
            <v>25级计算机2班</v>
          </cell>
        </row>
        <row r="555">
          <cell r="A555" t="str">
            <v>余爱杨</v>
          </cell>
          <cell r="B555" t="str">
            <v>25q710201140</v>
          </cell>
          <cell r="C555" t="str">
            <v>25级计算机2班</v>
          </cell>
        </row>
        <row r="556">
          <cell r="A556" t="str">
            <v>杨宇豪</v>
          </cell>
          <cell r="B556" t="str">
            <v>25q710201141</v>
          </cell>
          <cell r="C556" t="str">
            <v>25级计算机2班</v>
          </cell>
        </row>
        <row r="557">
          <cell r="A557" t="str">
            <v>陈孟瑶</v>
          </cell>
          <cell r="B557" t="str">
            <v>25q710201142</v>
          </cell>
          <cell r="C557" t="str">
            <v>25级计算机2班</v>
          </cell>
        </row>
        <row r="558">
          <cell r="A558" t="str">
            <v>张诗琪</v>
          </cell>
          <cell r="B558" t="str">
            <v>25q710201143</v>
          </cell>
          <cell r="C558" t="str">
            <v>25级计算机2班</v>
          </cell>
        </row>
        <row r="559">
          <cell r="A559" t="str">
            <v>罗紫萱</v>
          </cell>
          <cell r="B559" t="str">
            <v>25q710201144</v>
          </cell>
          <cell r="C559" t="str">
            <v>25级计算机2班</v>
          </cell>
        </row>
        <row r="560">
          <cell r="A560" t="str">
            <v>杨文琴</v>
          </cell>
          <cell r="B560" t="str">
            <v>25q710201145</v>
          </cell>
          <cell r="C560" t="str">
            <v>25级计算机2班</v>
          </cell>
        </row>
        <row r="561">
          <cell r="A561" t="str">
            <v>余静</v>
          </cell>
          <cell r="B561" t="str">
            <v>25q710201146</v>
          </cell>
          <cell r="C561" t="str">
            <v>25级计算机2班</v>
          </cell>
        </row>
        <row r="562">
          <cell r="A562" t="str">
            <v>徐雅红</v>
          </cell>
          <cell r="B562" t="str">
            <v>25q710201147</v>
          </cell>
          <cell r="C562" t="str">
            <v>25级计算机2班</v>
          </cell>
        </row>
        <row r="563">
          <cell r="A563" t="str">
            <v>余东洋</v>
          </cell>
          <cell r="B563" t="str">
            <v>25q710201148</v>
          </cell>
          <cell r="C563" t="str">
            <v>25级计算机2班</v>
          </cell>
        </row>
        <row r="564">
          <cell r="A564" t="str">
            <v>张诗敏</v>
          </cell>
          <cell r="B564" t="str">
            <v>25q710201149</v>
          </cell>
          <cell r="C564" t="str">
            <v>25级计算机2班</v>
          </cell>
        </row>
        <row r="565">
          <cell r="A565" t="str">
            <v>伍柯澳</v>
          </cell>
          <cell r="B565" t="str">
            <v>25q710201150</v>
          </cell>
          <cell r="C565" t="str">
            <v>25级计算机2班</v>
          </cell>
        </row>
        <row r="566">
          <cell r="A566" t="str">
            <v>吴非操</v>
          </cell>
          <cell r="B566" t="str">
            <v>25q710201151</v>
          </cell>
          <cell r="C566" t="str">
            <v>25级计算机2班</v>
          </cell>
        </row>
        <row r="567">
          <cell r="A567" t="str">
            <v>马淋潇</v>
          </cell>
          <cell r="B567" t="str">
            <v>25q710201152</v>
          </cell>
          <cell r="C567" t="str">
            <v>25级计算机2班</v>
          </cell>
        </row>
        <row r="568">
          <cell r="A568" t="str">
            <v>李忆成</v>
          </cell>
          <cell r="B568" t="str">
            <v>25q710201153</v>
          </cell>
          <cell r="C568" t="str">
            <v>25级计算机2班</v>
          </cell>
        </row>
        <row r="569">
          <cell r="A569" t="str">
            <v>杨曦</v>
          </cell>
          <cell r="B569" t="str">
            <v>25q710201154</v>
          </cell>
          <cell r="C569" t="str">
            <v>25级计算机2班</v>
          </cell>
        </row>
        <row r="570">
          <cell r="A570" t="str">
            <v>卢宇杰</v>
          </cell>
          <cell r="B570" t="str">
            <v>25q710201156</v>
          </cell>
          <cell r="C570" t="str">
            <v>25级计算机2班</v>
          </cell>
        </row>
        <row r="571">
          <cell r="A571" t="str">
            <v>何一帆</v>
          </cell>
          <cell r="B571" t="str">
            <v>25q710201158</v>
          </cell>
          <cell r="C571" t="str">
            <v>25级计算机2班</v>
          </cell>
        </row>
        <row r="572">
          <cell r="A572" t="str">
            <v>赵苑</v>
          </cell>
          <cell r="B572" t="str">
            <v>25q710201159</v>
          </cell>
          <cell r="C572" t="str">
            <v>25级计算机2班</v>
          </cell>
        </row>
        <row r="573">
          <cell r="A573" t="str">
            <v>王加乐</v>
          </cell>
          <cell r="B573" t="str">
            <v>25q710201162</v>
          </cell>
          <cell r="C573" t="str">
            <v>25级计算机2班</v>
          </cell>
        </row>
        <row r="574">
          <cell r="A574" t="str">
            <v>徐王涛</v>
          </cell>
          <cell r="B574" t="str">
            <v>25q710201163</v>
          </cell>
          <cell r="C574" t="str">
            <v>25级计算机2班</v>
          </cell>
        </row>
        <row r="575">
          <cell r="A575" t="str">
            <v>侯佳怡</v>
          </cell>
          <cell r="B575" t="str">
            <v>25q710201164</v>
          </cell>
          <cell r="C575" t="str">
            <v>25级计算机2班</v>
          </cell>
        </row>
        <row r="576">
          <cell r="A576" t="str">
            <v>彭雨涵</v>
          </cell>
          <cell r="B576" t="str">
            <v>25q710201165</v>
          </cell>
          <cell r="C576" t="str">
            <v>25级计算机2班</v>
          </cell>
        </row>
        <row r="577">
          <cell r="A577" t="str">
            <v>饶心悦</v>
          </cell>
          <cell r="B577" t="str">
            <v>25q710201166</v>
          </cell>
          <cell r="C577" t="str">
            <v>25级计算机2班</v>
          </cell>
        </row>
        <row r="578">
          <cell r="A578" t="str">
            <v>陈锟</v>
          </cell>
          <cell r="B578" t="str">
            <v>25q710201167</v>
          </cell>
          <cell r="C578" t="str">
            <v>25级计算机2班</v>
          </cell>
        </row>
        <row r="579">
          <cell r="A579" t="str">
            <v>余李茜</v>
          </cell>
          <cell r="B579" t="str">
            <v>25q710201169</v>
          </cell>
          <cell r="C579" t="str">
            <v>25级计算机2班</v>
          </cell>
        </row>
        <row r="580">
          <cell r="A580" t="str">
            <v>丁思雨</v>
          </cell>
          <cell r="B580" t="str">
            <v>25q710201170</v>
          </cell>
          <cell r="C580" t="str">
            <v>25级计算机2班</v>
          </cell>
        </row>
        <row r="581">
          <cell r="A581" t="str">
            <v>金鑫磊</v>
          </cell>
          <cell r="B581" t="str">
            <v>25q710201171</v>
          </cell>
          <cell r="C581" t="str">
            <v>25级计算机2班</v>
          </cell>
        </row>
        <row r="582">
          <cell r="A582" t="str">
            <v>董峻濠</v>
          </cell>
          <cell r="B582" t="str">
            <v>25q710201172</v>
          </cell>
          <cell r="C582" t="str">
            <v>25级计算机2班</v>
          </cell>
        </row>
        <row r="583">
          <cell r="A583" t="str">
            <v>黄宇诗</v>
          </cell>
          <cell r="B583" t="str">
            <v>25q710201173</v>
          </cell>
          <cell r="C583" t="str">
            <v>25级计算机2班</v>
          </cell>
        </row>
        <row r="584">
          <cell r="A584" t="str">
            <v>底涵曦</v>
          </cell>
          <cell r="B584" t="str">
            <v>25q710201174</v>
          </cell>
          <cell r="C584" t="str">
            <v>25级计算机2班</v>
          </cell>
        </row>
        <row r="585">
          <cell r="A585" t="str">
            <v>彭小峰</v>
          </cell>
          <cell r="B585" t="str">
            <v>25q710201175</v>
          </cell>
          <cell r="C585" t="str">
            <v>25级计算机2班</v>
          </cell>
        </row>
        <row r="586">
          <cell r="A586" t="str">
            <v>李施琪</v>
          </cell>
          <cell r="B586" t="str">
            <v>25q710201176</v>
          </cell>
          <cell r="C586" t="str">
            <v>25级计算机2班</v>
          </cell>
        </row>
        <row r="587">
          <cell r="A587" t="str">
            <v>胡贾琦</v>
          </cell>
          <cell r="B587" t="str">
            <v>25q710201178</v>
          </cell>
          <cell r="C587" t="str">
            <v>25级计算机2班</v>
          </cell>
        </row>
        <row r="588">
          <cell r="A588" t="str">
            <v>袁长帅</v>
          </cell>
          <cell r="B588" t="str">
            <v>25q770303007</v>
          </cell>
          <cell r="C588" t="str">
            <v>25级计算机2班</v>
          </cell>
        </row>
        <row r="589">
          <cell r="A589" t="str">
            <v>陈瑞洋</v>
          </cell>
          <cell r="B589" t="str">
            <v>25q770303025</v>
          </cell>
          <cell r="C589" t="str">
            <v>25级计算机2班</v>
          </cell>
        </row>
        <row r="590">
          <cell r="A590" t="str">
            <v>杨曦晨</v>
          </cell>
          <cell r="B590" t="str">
            <v>25q710201256</v>
          </cell>
          <cell r="C590" t="str">
            <v>25级计算机2班</v>
          </cell>
        </row>
        <row r="591">
          <cell r="A591" t="str">
            <v>王贝</v>
          </cell>
          <cell r="B591" t="str">
            <v>25q710201561</v>
          </cell>
          <cell r="C591" t="str">
            <v>25级计算机2班</v>
          </cell>
        </row>
        <row r="592">
          <cell r="A592" t="str">
            <v>郭锦瑶</v>
          </cell>
          <cell r="B592" t="str">
            <v>24q710103189</v>
          </cell>
          <cell r="C592" t="str">
            <v>25级计算机3班(本方)</v>
          </cell>
        </row>
        <row r="593">
          <cell r="A593" t="str">
            <v>伍梓萱</v>
          </cell>
          <cell r="B593" t="str">
            <v>24q710201045</v>
          </cell>
          <cell r="C593" t="str">
            <v>25级计算机3班(本方)</v>
          </cell>
        </row>
        <row r="594">
          <cell r="A594" t="str">
            <v>王智雨</v>
          </cell>
          <cell r="B594" t="str">
            <v>20250813</v>
          </cell>
          <cell r="C594" t="str">
            <v>25级计算机3班(本方)</v>
          </cell>
        </row>
        <row r="595">
          <cell r="A595" t="str">
            <v>陈雅薇</v>
          </cell>
          <cell r="B595" t="str">
            <v>25q710201056</v>
          </cell>
          <cell r="C595" t="str">
            <v>25级计算机3班(本方)</v>
          </cell>
        </row>
        <row r="596">
          <cell r="A596" t="str">
            <v>程澳蕾</v>
          </cell>
          <cell r="B596" t="str">
            <v>25q710201057</v>
          </cell>
          <cell r="C596" t="str">
            <v>25级计算机3班(本方)</v>
          </cell>
        </row>
        <row r="597">
          <cell r="A597" t="str">
            <v>杜萧雅</v>
          </cell>
          <cell r="B597" t="str">
            <v>25q710201058</v>
          </cell>
          <cell r="C597" t="str">
            <v>25级计算机3班(本方)</v>
          </cell>
        </row>
        <row r="598">
          <cell r="A598" t="str">
            <v>冯韵涵</v>
          </cell>
          <cell r="B598" t="str">
            <v>25q710201059</v>
          </cell>
          <cell r="C598" t="str">
            <v>25级计算机3班(本方)</v>
          </cell>
        </row>
        <row r="599">
          <cell r="A599" t="str">
            <v>付海岭</v>
          </cell>
          <cell r="B599" t="str">
            <v>25q710201060</v>
          </cell>
          <cell r="C599" t="str">
            <v>25级计算机3班(本方)</v>
          </cell>
        </row>
        <row r="600">
          <cell r="A600" t="str">
            <v>龚宁</v>
          </cell>
          <cell r="B600" t="str">
            <v>25q710201061</v>
          </cell>
          <cell r="C600" t="str">
            <v>25级计算机3班(本方)</v>
          </cell>
        </row>
        <row r="601">
          <cell r="A601" t="str">
            <v>郭柳盛</v>
          </cell>
          <cell r="B601" t="str">
            <v>25q710201063</v>
          </cell>
          <cell r="C601" t="str">
            <v>25级计算机3班(本方)</v>
          </cell>
        </row>
        <row r="602">
          <cell r="A602" t="str">
            <v>侯雅琴</v>
          </cell>
          <cell r="B602" t="str">
            <v>25q710201067</v>
          </cell>
          <cell r="C602" t="str">
            <v>25级计算机3班(本方)</v>
          </cell>
        </row>
        <row r="603">
          <cell r="A603" t="str">
            <v>黄玉柳</v>
          </cell>
          <cell r="B603" t="str">
            <v>25q710201069</v>
          </cell>
          <cell r="C603" t="str">
            <v>25级计算机3班(本方)</v>
          </cell>
        </row>
        <row r="604">
          <cell r="A604" t="str">
            <v>李璟洋</v>
          </cell>
          <cell r="B604" t="str">
            <v>25q710201070</v>
          </cell>
          <cell r="C604" t="str">
            <v>25级计算机3班(本方)</v>
          </cell>
        </row>
        <row r="605">
          <cell r="A605" t="str">
            <v>李璐邑</v>
          </cell>
          <cell r="B605" t="str">
            <v>25q710201071</v>
          </cell>
          <cell r="C605" t="str">
            <v>25级计算机3班(本方)</v>
          </cell>
        </row>
        <row r="606">
          <cell r="A606" t="str">
            <v>李雨宏</v>
          </cell>
          <cell r="B606" t="str">
            <v>25q710201072</v>
          </cell>
          <cell r="C606" t="str">
            <v>25级计算机3班(本方)</v>
          </cell>
        </row>
        <row r="607">
          <cell r="A607" t="str">
            <v>刘红玫</v>
          </cell>
          <cell r="B607" t="str">
            <v>25q710201073</v>
          </cell>
          <cell r="C607" t="str">
            <v>25级计算机3班(本方)</v>
          </cell>
        </row>
        <row r="608">
          <cell r="A608" t="str">
            <v>刘红艳</v>
          </cell>
          <cell r="B608" t="str">
            <v>25q710201074</v>
          </cell>
          <cell r="C608" t="str">
            <v>25级计算机3班(本方)</v>
          </cell>
        </row>
        <row r="609">
          <cell r="A609" t="str">
            <v>刘晓荟</v>
          </cell>
          <cell r="B609" t="str">
            <v>25q710201075</v>
          </cell>
          <cell r="C609" t="str">
            <v>25级计算机3班(本方)</v>
          </cell>
        </row>
        <row r="610">
          <cell r="A610" t="str">
            <v>罗洪望</v>
          </cell>
          <cell r="B610" t="str">
            <v>25q710201076</v>
          </cell>
          <cell r="C610" t="str">
            <v>25级计算机3班(本方)</v>
          </cell>
        </row>
        <row r="611">
          <cell r="A611" t="str">
            <v>罗晓涵</v>
          </cell>
          <cell r="B611" t="str">
            <v>25q710201077</v>
          </cell>
          <cell r="C611" t="str">
            <v>25级计算机3班(本方)</v>
          </cell>
        </row>
        <row r="612">
          <cell r="A612" t="str">
            <v>吕浩宇</v>
          </cell>
          <cell r="B612" t="str">
            <v>25q710201079</v>
          </cell>
          <cell r="C612" t="str">
            <v>25级计算机3班(本方)</v>
          </cell>
        </row>
        <row r="613">
          <cell r="A613" t="str">
            <v>吕思晴</v>
          </cell>
          <cell r="B613" t="str">
            <v>25q710201080</v>
          </cell>
          <cell r="C613" t="str">
            <v>25级计算机3班(本方)</v>
          </cell>
        </row>
        <row r="614">
          <cell r="A614" t="str">
            <v>彭杰浩</v>
          </cell>
          <cell r="B614" t="str">
            <v>25q710201082</v>
          </cell>
          <cell r="C614" t="str">
            <v>25级计算机3班(本方)</v>
          </cell>
        </row>
        <row r="615">
          <cell r="A615" t="str">
            <v>彭宇桐</v>
          </cell>
          <cell r="B615" t="str">
            <v>25q710201083</v>
          </cell>
          <cell r="C615" t="str">
            <v>25级计算机3班(本方)</v>
          </cell>
        </row>
        <row r="616">
          <cell r="A616" t="str">
            <v>沈琦书</v>
          </cell>
          <cell r="B616" t="str">
            <v>25q710201084</v>
          </cell>
          <cell r="C616" t="str">
            <v>25级计算机3班(本方)</v>
          </cell>
        </row>
        <row r="617">
          <cell r="A617" t="str">
            <v>史峻桦</v>
          </cell>
          <cell r="B617" t="str">
            <v>25q710201085</v>
          </cell>
          <cell r="C617" t="str">
            <v>25级计算机3班(本方)</v>
          </cell>
        </row>
        <row r="618">
          <cell r="A618" t="str">
            <v>宋妍雅</v>
          </cell>
          <cell r="B618" t="str">
            <v>25q710201086</v>
          </cell>
          <cell r="C618" t="str">
            <v>25级计算机3班(本方)</v>
          </cell>
        </row>
        <row r="619">
          <cell r="A619" t="str">
            <v>唐若涵</v>
          </cell>
          <cell r="B619" t="str">
            <v>25q710201088</v>
          </cell>
          <cell r="C619" t="str">
            <v>25级计算机3班(本方)</v>
          </cell>
        </row>
        <row r="620">
          <cell r="A620" t="str">
            <v>王瑞</v>
          </cell>
          <cell r="B620" t="str">
            <v>25q710201090</v>
          </cell>
          <cell r="C620" t="str">
            <v>25级计算机3班(本方)</v>
          </cell>
        </row>
        <row r="621">
          <cell r="A621" t="str">
            <v>王诗涵</v>
          </cell>
          <cell r="B621" t="str">
            <v>25q710201091</v>
          </cell>
          <cell r="C621" t="str">
            <v>25级计算机3班(本方)</v>
          </cell>
        </row>
        <row r="622">
          <cell r="A622" t="str">
            <v>吴雨霏</v>
          </cell>
          <cell r="B622" t="str">
            <v>25q710201093</v>
          </cell>
          <cell r="C622" t="str">
            <v>25级计算机3班(本方)</v>
          </cell>
        </row>
        <row r="623">
          <cell r="A623" t="str">
            <v>伍曼琦</v>
          </cell>
          <cell r="B623" t="str">
            <v>25q710201095</v>
          </cell>
          <cell r="C623" t="str">
            <v>25级计算机3班(本方)</v>
          </cell>
        </row>
        <row r="624">
          <cell r="A624" t="str">
            <v>鲜羽菲</v>
          </cell>
          <cell r="B624" t="str">
            <v>25q710201096</v>
          </cell>
          <cell r="C624" t="str">
            <v>25级计算机3班(本方)</v>
          </cell>
        </row>
        <row r="625">
          <cell r="A625" t="str">
            <v>鲜雨佳</v>
          </cell>
          <cell r="B625" t="str">
            <v>25q710201097</v>
          </cell>
          <cell r="C625" t="str">
            <v>25级计算机3班(本方)</v>
          </cell>
        </row>
        <row r="626">
          <cell r="A626" t="str">
            <v>徐睿彤</v>
          </cell>
          <cell r="B626" t="str">
            <v>25q710201098</v>
          </cell>
          <cell r="C626" t="str">
            <v>25级计算机3班(本方)</v>
          </cell>
        </row>
        <row r="627">
          <cell r="A627" t="str">
            <v>杨鸿玲</v>
          </cell>
          <cell r="B627" t="str">
            <v>25q710201100</v>
          </cell>
          <cell r="C627" t="str">
            <v>25级计算机3班(本方)</v>
          </cell>
        </row>
        <row r="628">
          <cell r="A628" t="str">
            <v>杨雯文</v>
          </cell>
          <cell r="B628" t="str">
            <v>25q710201101</v>
          </cell>
          <cell r="C628" t="str">
            <v>25级计算机3班(本方)</v>
          </cell>
        </row>
        <row r="629">
          <cell r="A629" t="str">
            <v>杨燕茹</v>
          </cell>
          <cell r="B629" t="str">
            <v>25q710201102</v>
          </cell>
          <cell r="C629" t="str">
            <v>25级计算机3班(本方)</v>
          </cell>
        </row>
        <row r="630">
          <cell r="A630" t="str">
            <v>尹林莎</v>
          </cell>
          <cell r="B630" t="str">
            <v>25q710201103</v>
          </cell>
          <cell r="C630" t="str">
            <v>25级计算机3班(本方)</v>
          </cell>
        </row>
        <row r="631">
          <cell r="A631" t="str">
            <v>余沁洨</v>
          </cell>
          <cell r="B631" t="str">
            <v>25q710201104</v>
          </cell>
          <cell r="C631" t="str">
            <v>25级计算机3班(本方)</v>
          </cell>
        </row>
        <row r="632">
          <cell r="A632" t="str">
            <v>余思瑶</v>
          </cell>
          <cell r="B632" t="str">
            <v>25q710201105</v>
          </cell>
          <cell r="C632" t="str">
            <v>25级计算机3班(本方)</v>
          </cell>
        </row>
        <row r="633">
          <cell r="A633" t="str">
            <v>张景文</v>
          </cell>
          <cell r="B633" t="str">
            <v>25q710201106</v>
          </cell>
          <cell r="C633" t="str">
            <v>25级计算机3班(本方)</v>
          </cell>
        </row>
        <row r="634">
          <cell r="A634" t="str">
            <v>张筱芮</v>
          </cell>
          <cell r="B634" t="str">
            <v>25q710201108</v>
          </cell>
          <cell r="C634" t="str">
            <v>25级计算机3班(本方)</v>
          </cell>
        </row>
        <row r="635">
          <cell r="A635" t="str">
            <v>张欣欣</v>
          </cell>
          <cell r="B635" t="str">
            <v>25q710201109</v>
          </cell>
          <cell r="C635" t="str">
            <v>25级计算机3班(本方)</v>
          </cell>
        </row>
        <row r="636">
          <cell r="A636" t="str">
            <v>赵雨馨</v>
          </cell>
          <cell r="B636" t="str">
            <v>25q710201111</v>
          </cell>
          <cell r="C636" t="str">
            <v>25级计算机3班(本方)</v>
          </cell>
        </row>
        <row r="637">
          <cell r="A637" t="str">
            <v>周诗琪</v>
          </cell>
          <cell r="B637" t="str">
            <v>25q710201112</v>
          </cell>
          <cell r="C637" t="str">
            <v>25级计算机3班(本方)</v>
          </cell>
        </row>
        <row r="638">
          <cell r="A638" t="str">
            <v>周希</v>
          </cell>
          <cell r="B638" t="str">
            <v>25q710201113</v>
          </cell>
          <cell r="C638" t="str">
            <v>25级计算机3班(本方)</v>
          </cell>
        </row>
        <row r="639">
          <cell r="A639" t="str">
            <v>周芯茹</v>
          </cell>
          <cell r="B639" t="str">
            <v>25q710201115</v>
          </cell>
          <cell r="C639" t="str">
            <v>25级计算机3班(本方)</v>
          </cell>
        </row>
        <row r="640">
          <cell r="A640" t="str">
            <v>曾家苗</v>
          </cell>
          <cell r="B640" t="str">
            <v>25q710201117</v>
          </cell>
          <cell r="C640" t="str">
            <v>25级计算机3班(本方)</v>
          </cell>
        </row>
        <row r="641">
          <cell r="A641" t="str">
            <v>曾欣雨</v>
          </cell>
          <cell r="B641" t="str">
            <v>25q710201118</v>
          </cell>
          <cell r="C641" t="str">
            <v>25级计算机3班(本方)</v>
          </cell>
        </row>
        <row r="642">
          <cell r="A642" t="str">
            <v>李晨曦</v>
          </cell>
          <cell r="B642" t="str">
            <v>25q710103146</v>
          </cell>
          <cell r="C642" t="str">
            <v>25级计算机3班(本方)</v>
          </cell>
        </row>
        <row r="643">
          <cell r="A643" t="str">
            <v>韩雨娇</v>
          </cell>
          <cell r="B643" t="str">
            <v>25q710201064</v>
          </cell>
          <cell r="C643" t="str">
            <v>25级计算机3班(本方)</v>
          </cell>
        </row>
        <row r="644">
          <cell r="A644" t="str">
            <v>蒋天豪</v>
          </cell>
          <cell r="B644" t="str">
            <v>25q660103097</v>
          </cell>
          <cell r="C644" t="str">
            <v>25级计算机3班(本方)</v>
          </cell>
        </row>
        <row r="645">
          <cell r="A645" t="str">
            <v>何荟颖</v>
          </cell>
          <cell r="B645" t="str">
            <v>25q710201065</v>
          </cell>
          <cell r="C645" t="str">
            <v>25级计算机3班(本方)</v>
          </cell>
        </row>
        <row r="646">
          <cell r="A646" t="str">
            <v>许晨浠</v>
          </cell>
          <cell r="B646" t="str">
            <v>25q710201321</v>
          </cell>
          <cell r="C646" t="str">
            <v>25级计算机3班(本方)</v>
          </cell>
        </row>
        <row r="647">
          <cell r="A647" t="str">
            <v>周榆涵</v>
          </cell>
          <cell r="B647" t="str">
            <v>25q710201557</v>
          </cell>
          <cell r="C647" t="str">
            <v>25级计算机3班(本方)</v>
          </cell>
        </row>
        <row r="648">
          <cell r="A648" t="str">
            <v>李想</v>
          </cell>
          <cell r="B648" t="str">
            <v>25q710201559</v>
          </cell>
          <cell r="C648" t="str">
            <v>25级计算机3班(本方)</v>
          </cell>
        </row>
        <row r="649">
          <cell r="A649" t="str">
            <v>饶毅凯</v>
          </cell>
          <cell r="B649" t="str">
            <v>25q710201001</v>
          </cell>
          <cell r="C649" t="str">
            <v>25级计算机职普融通班</v>
          </cell>
        </row>
        <row r="650">
          <cell r="A650" t="str">
            <v>李家棋</v>
          </cell>
          <cell r="B650" t="str">
            <v>25q710201002</v>
          </cell>
          <cell r="C650" t="str">
            <v>25级计算机职普融通班</v>
          </cell>
        </row>
        <row r="651">
          <cell r="A651" t="str">
            <v>刘金鑫</v>
          </cell>
          <cell r="B651" t="str">
            <v>25q710201003</v>
          </cell>
          <cell r="C651" t="str">
            <v>25级计算机职普融通班</v>
          </cell>
        </row>
        <row r="652">
          <cell r="A652" t="str">
            <v>钟文涛</v>
          </cell>
          <cell r="B652" t="str">
            <v>25q710201004</v>
          </cell>
          <cell r="C652" t="str">
            <v>25级计算机职普融通班</v>
          </cell>
        </row>
        <row r="653">
          <cell r="A653" t="str">
            <v>李诗学</v>
          </cell>
          <cell r="B653" t="str">
            <v>25q710201005</v>
          </cell>
          <cell r="C653" t="str">
            <v>25级计算机职普融通班</v>
          </cell>
        </row>
        <row r="654">
          <cell r="A654" t="str">
            <v>李政毅</v>
          </cell>
          <cell r="B654" t="str">
            <v>25q710201006</v>
          </cell>
          <cell r="C654" t="str">
            <v>25级计算机职普融通班</v>
          </cell>
        </row>
        <row r="655">
          <cell r="A655" t="str">
            <v>祁浩宇</v>
          </cell>
          <cell r="B655" t="str">
            <v>25q710201007</v>
          </cell>
          <cell r="C655" t="str">
            <v>25级计算机职普融通班</v>
          </cell>
        </row>
        <row r="656">
          <cell r="A656" t="str">
            <v>王宇豪</v>
          </cell>
          <cell r="B656" t="str">
            <v>25q710201008</v>
          </cell>
          <cell r="C656" t="str">
            <v>25级计算机职普融通班</v>
          </cell>
        </row>
        <row r="657">
          <cell r="A657" t="str">
            <v>万国云</v>
          </cell>
          <cell r="B657" t="str">
            <v>25q710201009</v>
          </cell>
          <cell r="C657" t="str">
            <v>25级计算机职普融通班</v>
          </cell>
        </row>
        <row r="658">
          <cell r="A658" t="str">
            <v>姜程睿</v>
          </cell>
          <cell r="B658" t="str">
            <v>25q710201010</v>
          </cell>
          <cell r="C658" t="str">
            <v>25级计算机职普融通班</v>
          </cell>
        </row>
        <row r="659">
          <cell r="A659" t="str">
            <v>王佳煊</v>
          </cell>
          <cell r="B659" t="str">
            <v>25q710201011</v>
          </cell>
          <cell r="C659" t="str">
            <v>25级计算机职普融通班</v>
          </cell>
        </row>
        <row r="660">
          <cell r="A660" t="str">
            <v>李旭</v>
          </cell>
          <cell r="B660" t="str">
            <v>25q710201012</v>
          </cell>
          <cell r="C660" t="str">
            <v>25级计算机职普融通班</v>
          </cell>
        </row>
        <row r="661">
          <cell r="A661" t="str">
            <v>杨李志</v>
          </cell>
          <cell r="B661" t="str">
            <v>25q710201013</v>
          </cell>
          <cell r="C661" t="str">
            <v>25级计算机职普融通班</v>
          </cell>
        </row>
        <row r="662">
          <cell r="A662" t="str">
            <v>冯小蔓</v>
          </cell>
          <cell r="B662" t="str">
            <v>25q710201014</v>
          </cell>
          <cell r="C662" t="str">
            <v>25级计算机职普融通班</v>
          </cell>
        </row>
        <row r="663">
          <cell r="A663" t="str">
            <v>李心蕊</v>
          </cell>
          <cell r="B663" t="str">
            <v>25q710201015</v>
          </cell>
          <cell r="C663" t="str">
            <v>25级计算机职普融通班</v>
          </cell>
        </row>
        <row r="664">
          <cell r="A664" t="str">
            <v>金梦瑶</v>
          </cell>
          <cell r="B664" t="str">
            <v>25q710201016</v>
          </cell>
          <cell r="C664" t="str">
            <v>25级计算机职普融通班</v>
          </cell>
        </row>
        <row r="665">
          <cell r="A665" t="str">
            <v>赵佳茹</v>
          </cell>
          <cell r="B665" t="str">
            <v>25q710201017</v>
          </cell>
          <cell r="C665" t="str">
            <v>25级计算机职普融通班</v>
          </cell>
        </row>
        <row r="666">
          <cell r="A666" t="str">
            <v>官思池</v>
          </cell>
          <cell r="B666" t="str">
            <v>25q710201018</v>
          </cell>
          <cell r="C666" t="str">
            <v>25级计算机职普融通班</v>
          </cell>
        </row>
        <row r="667">
          <cell r="A667" t="str">
            <v>王露颖</v>
          </cell>
          <cell r="B667" t="str">
            <v>25q710201019</v>
          </cell>
          <cell r="C667" t="str">
            <v>25级计算机职普融通班</v>
          </cell>
        </row>
        <row r="668">
          <cell r="A668" t="str">
            <v>朱雯慧</v>
          </cell>
          <cell r="B668" t="str">
            <v>25q710201020</v>
          </cell>
          <cell r="C668" t="str">
            <v>25级计算机职普融通班</v>
          </cell>
        </row>
        <row r="669">
          <cell r="A669" t="str">
            <v>刘鑫燕</v>
          </cell>
          <cell r="B669" t="str">
            <v>25q710201021</v>
          </cell>
          <cell r="C669" t="str">
            <v>25级计算机职普融通班</v>
          </cell>
        </row>
        <row r="670">
          <cell r="A670" t="str">
            <v>钟艾伶</v>
          </cell>
          <cell r="B670" t="str">
            <v>25q710201022</v>
          </cell>
          <cell r="C670" t="str">
            <v>25级计算机职普融通班</v>
          </cell>
        </row>
        <row r="671">
          <cell r="A671" t="str">
            <v>何嘉欣</v>
          </cell>
          <cell r="B671" t="str">
            <v>25q710201023</v>
          </cell>
          <cell r="C671" t="str">
            <v>25级计算机职普融通班</v>
          </cell>
        </row>
        <row r="672">
          <cell r="A672" t="str">
            <v>丁雅琪</v>
          </cell>
          <cell r="B672" t="str">
            <v>25q710201024</v>
          </cell>
          <cell r="C672" t="str">
            <v>25级计算机职普融通班</v>
          </cell>
        </row>
        <row r="673">
          <cell r="A673" t="str">
            <v>代彦玲</v>
          </cell>
          <cell r="B673" t="str">
            <v>25q710201025</v>
          </cell>
          <cell r="C673" t="str">
            <v>25级计算机职普融通班</v>
          </cell>
        </row>
        <row r="674">
          <cell r="A674" t="str">
            <v>雷馨玉</v>
          </cell>
          <cell r="B674" t="str">
            <v>25q710201026</v>
          </cell>
          <cell r="C674" t="str">
            <v>25级计算机职普融通班</v>
          </cell>
        </row>
        <row r="675">
          <cell r="A675" t="str">
            <v>李大群</v>
          </cell>
          <cell r="B675" t="str">
            <v>25q710201027</v>
          </cell>
          <cell r="C675" t="str">
            <v>25级计算机职普融通班</v>
          </cell>
        </row>
        <row r="676">
          <cell r="A676" t="str">
            <v>周羽燕</v>
          </cell>
          <cell r="B676" t="str">
            <v>25q710201028</v>
          </cell>
          <cell r="C676" t="str">
            <v>25级计算机职普融通班</v>
          </cell>
        </row>
        <row r="677">
          <cell r="A677" t="str">
            <v>冯恋夕</v>
          </cell>
          <cell r="B677" t="str">
            <v>25q710201029</v>
          </cell>
          <cell r="C677" t="str">
            <v>25级计算机职普融通班</v>
          </cell>
        </row>
        <row r="678">
          <cell r="A678" t="str">
            <v>汪利芳</v>
          </cell>
          <cell r="B678" t="str">
            <v>25q710201030</v>
          </cell>
          <cell r="C678" t="str">
            <v>25级计算机职普融通班</v>
          </cell>
        </row>
        <row r="679">
          <cell r="A679" t="str">
            <v>李芮希</v>
          </cell>
          <cell r="B679" t="str">
            <v>25q710201031</v>
          </cell>
          <cell r="C679" t="str">
            <v>25级计算机职普融通班</v>
          </cell>
        </row>
        <row r="680">
          <cell r="A680" t="str">
            <v>韩晨夕雅</v>
          </cell>
          <cell r="B680" t="str">
            <v>25q710201032</v>
          </cell>
          <cell r="C680" t="str">
            <v>25级计算机职普融通班</v>
          </cell>
        </row>
        <row r="681">
          <cell r="A681" t="str">
            <v>刘佳敏</v>
          </cell>
          <cell r="B681" t="str">
            <v>25q710201033</v>
          </cell>
          <cell r="C681" t="str">
            <v>25级计算机职普融通班</v>
          </cell>
        </row>
        <row r="682">
          <cell r="A682" t="str">
            <v>陈怡茹</v>
          </cell>
          <cell r="B682" t="str">
            <v>25q710201034</v>
          </cell>
          <cell r="C682" t="str">
            <v>25级计算机职普融通班</v>
          </cell>
        </row>
        <row r="683">
          <cell r="A683" t="str">
            <v>王韵焱</v>
          </cell>
          <cell r="B683" t="str">
            <v>25q710201035</v>
          </cell>
          <cell r="C683" t="str">
            <v>25级计算机职普融通班</v>
          </cell>
        </row>
        <row r="684">
          <cell r="A684" t="str">
            <v>袁思露</v>
          </cell>
          <cell r="B684" t="str">
            <v>25q710201036</v>
          </cell>
          <cell r="C684" t="str">
            <v>25级计算机职普融通班</v>
          </cell>
        </row>
        <row r="685">
          <cell r="A685" t="str">
            <v>唐玉茹</v>
          </cell>
          <cell r="B685" t="str">
            <v>25q710201037</v>
          </cell>
          <cell r="C685" t="str">
            <v>25级计算机职普融通班</v>
          </cell>
        </row>
        <row r="686">
          <cell r="A686" t="str">
            <v>姜余涵</v>
          </cell>
          <cell r="B686" t="str">
            <v>25q710201038</v>
          </cell>
          <cell r="C686" t="str">
            <v>25级计算机职普融通班</v>
          </cell>
        </row>
        <row r="687">
          <cell r="A687" t="str">
            <v>李诗彤</v>
          </cell>
          <cell r="B687" t="str">
            <v>25q710201039</v>
          </cell>
          <cell r="C687" t="str">
            <v>25级计算机职普融通班</v>
          </cell>
        </row>
        <row r="688">
          <cell r="A688" t="str">
            <v>赵可昕</v>
          </cell>
          <cell r="B688" t="str">
            <v>25q710201040</v>
          </cell>
          <cell r="C688" t="str">
            <v>25级计算机职普融通班</v>
          </cell>
        </row>
        <row r="689">
          <cell r="A689" t="str">
            <v>陈慕涵</v>
          </cell>
          <cell r="B689" t="str">
            <v>25q710201041</v>
          </cell>
          <cell r="C689" t="str">
            <v>25级计算机职普融通班</v>
          </cell>
        </row>
        <row r="690">
          <cell r="A690" t="str">
            <v>李若优</v>
          </cell>
          <cell r="B690" t="str">
            <v>25q710201043</v>
          </cell>
          <cell r="C690" t="str">
            <v>25级计算机职普融通班</v>
          </cell>
        </row>
        <row r="691">
          <cell r="A691" t="str">
            <v>彭思琪</v>
          </cell>
          <cell r="B691" t="str">
            <v>25q710201044</v>
          </cell>
          <cell r="C691" t="str">
            <v>25级计算机职普融通班</v>
          </cell>
        </row>
        <row r="692">
          <cell r="A692" t="str">
            <v>王梓萱</v>
          </cell>
          <cell r="B692" t="str">
            <v>25q710201045</v>
          </cell>
          <cell r="C692" t="str">
            <v>25级计算机职普融通班</v>
          </cell>
        </row>
        <row r="693">
          <cell r="A693" t="str">
            <v>宋楊</v>
          </cell>
          <cell r="B693" t="str">
            <v>25q710201046</v>
          </cell>
          <cell r="C693" t="str">
            <v>25级计算机职普融通班</v>
          </cell>
        </row>
        <row r="694">
          <cell r="A694" t="str">
            <v>李沁璇</v>
          </cell>
          <cell r="B694" t="str">
            <v>25q710201048</v>
          </cell>
          <cell r="C694" t="str">
            <v>25级计算机职普融通班</v>
          </cell>
        </row>
        <row r="695">
          <cell r="A695" t="str">
            <v>底汶静</v>
          </cell>
          <cell r="B695" t="str">
            <v>25q710201049</v>
          </cell>
          <cell r="C695" t="str">
            <v>25级计算机职普融通班</v>
          </cell>
        </row>
        <row r="696">
          <cell r="A696" t="str">
            <v>孙小雨</v>
          </cell>
          <cell r="B696" t="str">
            <v>25q710201050</v>
          </cell>
          <cell r="C696" t="str">
            <v>25级计算机职普融通班</v>
          </cell>
        </row>
        <row r="697">
          <cell r="A697" t="str">
            <v>周紫伊</v>
          </cell>
          <cell r="B697" t="str">
            <v>25q710201051</v>
          </cell>
          <cell r="C697" t="str">
            <v>25级计算机职普融通班</v>
          </cell>
        </row>
        <row r="698">
          <cell r="A698" t="str">
            <v>张芷萱</v>
          </cell>
          <cell r="B698" t="str">
            <v>25q710201052</v>
          </cell>
          <cell r="C698" t="str">
            <v>25级计算机职普融通班</v>
          </cell>
        </row>
        <row r="699">
          <cell r="A699" t="str">
            <v>陈玉玲</v>
          </cell>
          <cell r="B699" t="str">
            <v>25q710201053</v>
          </cell>
          <cell r="C699" t="str">
            <v>25级计算机职普融通班</v>
          </cell>
        </row>
        <row r="700">
          <cell r="A700" t="str">
            <v>汪家戍</v>
          </cell>
          <cell r="B700" t="str">
            <v>25q710201241</v>
          </cell>
          <cell r="C700" t="str">
            <v>25级计算机职普融通班</v>
          </cell>
        </row>
        <row r="701">
          <cell r="A701" t="str">
            <v>黄长青</v>
          </cell>
          <cell r="B701" t="str">
            <v>24q710103150</v>
          </cell>
          <cell r="C701" t="str">
            <v>25级旅游1班</v>
          </cell>
        </row>
        <row r="702">
          <cell r="A702" t="str">
            <v>刘欣语</v>
          </cell>
          <cell r="B702" t="str">
            <v>24q710103168</v>
          </cell>
          <cell r="C702" t="str">
            <v>25级旅游1班</v>
          </cell>
        </row>
        <row r="703">
          <cell r="A703" t="str">
            <v>严昔艾</v>
          </cell>
          <cell r="B703" t="str">
            <v>25q740101001</v>
          </cell>
          <cell r="C703" t="str">
            <v>25级旅游1班</v>
          </cell>
        </row>
        <row r="704">
          <cell r="A704" t="str">
            <v>祝雨嘉</v>
          </cell>
          <cell r="B704" t="str">
            <v>25q740101006</v>
          </cell>
          <cell r="C704" t="str">
            <v>25级旅游1班</v>
          </cell>
        </row>
        <row r="705">
          <cell r="A705" t="str">
            <v>杨明涛</v>
          </cell>
          <cell r="B705" t="str">
            <v>25q740101012</v>
          </cell>
          <cell r="C705" t="str">
            <v>25级旅游1班</v>
          </cell>
        </row>
        <row r="706">
          <cell r="A706" t="str">
            <v>杨欣媛</v>
          </cell>
          <cell r="B706" t="str">
            <v>25q740101016</v>
          </cell>
          <cell r="C706" t="str">
            <v>25级旅游1班</v>
          </cell>
        </row>
        <row r="707">
          <cell r="A707" t="str">
            <v>龚欣宇</v>
          </cell>
          <cell r="B707" t="str">
            <v>25q740101024</v>
          </cell>
          <cell r="C707" t="str">
            <v>25级旅游1班</v>
          </cell>
        </row>
        <row r="708">
          <cell r="A708" t="str">
            <v>杨欣怡</v>
          </cell>
          <cell r="B708" t="str">
            <v>25q740101048</v>
          </cell>
          <cell r="C708" t="str">
            <v>25级旅游1班</v>
          </cell>
        </row>
        <row r="709">
          <cell r="A709" t="str">
            <v>徐梦玲</v>
          </cell>
          <cell r="B709" t="str">
            <v>202513010130</v>
          </cell>
          <cell r="C709" t="str">
            <v>25级旅游1班</v>
          </cell>
        </row>
        <row r="710">
          <cell r="A710" t="str">
            <v>杨静</v>
          </cell>
          <cell r="B710" t="str">
            <v>25q740101001</v>
          </cell>
          <cell r="C710" t="str">
            <v>25级旅游1班</v>
          </cell>
        </row>
        <row r="711">
          <cell r="A711" t="str">
            <v>李思琦</v>
          </cell>
          <cell r="B711" t="str">
            <v>25q740101003</v>
          </cell>
          <cell r="C711" t="str">
            <v>25级旅游1班</v>
          </cell>
        </row>
        <row r="712">
          <cell r="A712" t="str">
            <v>鲜雨童</v>
          </cell>
          <cell r="B712" t="str">
            <v>25q740101005</v>
          </cell>
          <cell r="C712" t="str">
            <v>25级旅游1班</v>
          </cell>
        </row>
        <row r="713">
          <cell r="A713" t="str">
            <v>王功运</v>
          </cell>
          <cell r="B713" t="str">
            <v>25q740101007</v>
          </cell>
          <cell r="C713" t="str">
            <v>25级旅游1班</v>
          </cell>
        </row>
        <row r="714">
          <cell r="A714" t="str">
            <v>邓丽朱</v>
          </cell>
          <cell r="B714" t="str">
            <v>25q740101008</v>
          </cell>
          <cell r="C714" t="str">
            <v>25级旅游1班</v>
          </cell>
        </row>
        <row r="715">
          <cell r="A715" t="str">
            <v>龚虎威</v>
          </cell>
          <cell r="B715" t="str">
            <v>25q740101009</v>
          </cell>
          <cell r="C715" t="str">
            <v>25级旅游1班</v>
          </cell>
        </row>
        <row r="716">
          <cell r="A716" t="str">
            <v>龚妍心</v>
          </cell>
          <cell r="B716" t="str">
            <v>25q740101010</v>
          </cell>
          <cell r="C716" t="str">
            <v>25级旅游1班</v>
          </cell>
        </row>
        <row r="717">
          <cell r="A717" t="str">
            <v>黄梦佳</v>
          </cell>
          <cell r="B717" t="str">
            <v>25q740101011</v>
          </cell>
          <cell r="C717" t="str">
            <v>25级旅游1班</v>
          </cell>
        </row>
        <row r="718">
          <cell r="A718" t="str">
            <v>吴筱</v>
          </cell>
          <cell r="B718" t="str">
            <v>25q740101012</v>
          </cell>
          <cell r="C718" t="str">
            <v>25级旅游1班</v>
          </cell>
        </row>
        <row r="719">
          <cell r="A719" t="str">
            <v>黄琬</v>
          </cell>
          <cell r="B719" t="str">
            <v>25q740101013</v>
          </cell>
          <cell r="C719" t="str">
            <v>25级旅游1班</v>
          </cell>
        </row>
        <row r="720">
          <cell r="A720" t="str">
            <v>刘思诗</v>
          </cell>
          <cell r="B720" t="str">
            <v>25q740101015</v>
          </cell>
          <cell r="C720" t="str">
            <v>25级旅游1班</v>
          </cell>
        </row>
        <row r="721">
          <cell r="A721" t="str">
            <v>王萌</v>
          </cell>
          <cell r="B721" t="str">
            <v>25q740101016</v>
          </cell>
          <cell r="C721" t="str">
            <v>25级旅游1班</v>
          </cell>
        </row>
        <row r="722">
          <cell r="A722" t="str">
            <v>王常贵</v>
          </cell>
          <cell r="B722" t="str">
            <v>25q740101017</v>
          </cell>
          <cell r="C722" t="str">
            <v>25级旅游1班</v>
          </cell>
        </row>
        <row r="723">
          <cell r="A723" t="str">
            <v>伍军</v>
          </cell>
          <cell r="B723" t="str">
            <v>25q740101018</v>
          </cell>
          <cell r="C723" t="str">
            <v>25级旅游1班</v>
          </cell>
        </row>
        <row r="724">
          <cell r="A724" t="str">
            <v>徐蒙蒙</v>
          </cell>
          <cell r="B724" t="str">
            <v>25q740101020</v>
          </cell>
          <cell r="C724" t="str">
            <v>25级旅游1班</v>
          </cell>
        </row>
        <row r="725">
          <cell r="A725" t="str">
            <v>田佳宏</v>
          </cell>
          <cell r="B725" t="str">
            <v>25q740101021</v>
          </cell>
          <cell r="C725" t="str">
            <v>25级旅游1班</v>
          </cell>
        </row>
        <row r="726">
          <cell r="A726" t="str">
            <v>祝鑫童</v>
          </cell>
          <cell r="B726" t="str">
            <v>25q740101022</v>
          </cell>
          <cell r="C726" t="str">
            <v>25级旅游1班</v>
          </cell>
        </row>
        <row r="727">
          <cell r="A727" t="str">
            <v>张文纹</v>
          </cell>
          <cell r="B727" t="str">
            <v>25q740101025</v>
          </cell>
          <cell r="C727" t="str">
            <v>25级旅游1班</v>
          </cell>
        </row>
        <row r="728">
          <cell r="A728" t="str">
            <v>唐玉美</v>
          </cell>
          <cell r="B728" t="str">
            <v>25q740101026</v>
          </cell>
          <cell r="C728" t="str">
            <v>25级旅游1班</v>
          </cell>
        </row>
        <row r="729">
          <cell r="A729" t="str">
            <v>姚恒</v>
          </cell>
          <cell r="B729" t="str">
            <v>25q740101027</v>
          </cell>
          <cell r="C729" t="str">
            <v>25级旅游1班</v>
          </cell>
        </row>
        <row r="730">
          <cell r="A730" t="str">
            <v>朱云飞</v>
          </cell>
          <cell r="B730" t="str">
            <v>25q740101029</v>
          </cell>
          <cell r="C730" t="str">
            <v>25级旅游1班</v>
          </cell>
        </row>
        <row r="731">
          <cell r="A731" t="str">
            <v>吕朝欣</v>
          </cell>
          <cell r="B731" t="str">
            <v>25q740101030</v>
          </cell>
          <cell r="C731" t="str">
            <v>25级旅游1班</v>
          </cell>
        </row>
        <row r="732">
          <cell r="A732" t="str">
            <v>李宣润</v>
          </cell>
          <cell r="B732" t="str">
            <v>25q740101032</v>
          </cell>
          <cell r="C732" t="str">
            <v>25级旅游1班</v>
          </cell>
        </row>
        <row r="733">
          <cell r="A733" t="str">
            <v>穆号清</v>
          </cell>
          <cell r="B733" t="str">
            <v>25q740101033</v>
          </cell>
          <cell r="C733" t="str">
            <v>25级旅游1班</v>
          </cell>
        </row>
        <row r="734">
          <cell r="A734" t="str">
            <v>邓雨涵</v>
          </cell>
          <cell r="B734" t="str">
            <v>25q740101034</v>
          </cell>
          <cell r="C734" t="str">
            <v>25级旅游1班</v>
          </cell>
        </row>
        <row r="735">
          <cell r="A735" t="str">
            <v>苏逸婷</v>
          </cell>
          <cell r="B735" t="str">
            <v>25q740101035</v>
          </cell>
          <cell r="C735" t="str">
            <v>25级旅游1班</v>
          </cell>
        </row>
        <row r="736">
          <cell r="A736" t="str">
            <v>刘思辰</v>
          </cell>
          <cell r="B736" t="str">
            <v>25q740101036</v>
          </cell>
          <cell r="C736" t="str">
            <v>25级旅游1班</v>
          </cell>
        </row>
        <row r="737">
          <cell r="A737" t="str">
            <v>李雨轩</v>
          </cell>
          <cell r="B737" t="str">
            <v>25q740101037</v>
          </cell>
          <cell r="C737" t="str">
            <v>25级旅游1班</v>
          </cell>
        </row>
        <row r="738">
          <cell r="A738" t="str">
            <v>祁浩冉</v>
          </cell>
          <cell r="B738" t="str">
            <v>25q740101038</v>
          </cell>
          <cell r="C738" t="str">
            <v>25级旅游1班</v>
          </cell>
        </row>
        <row r="739">
          <cell r="A739" t="str">
            <v>周涵</v>
          </cell>
          <cell r="B739" t="str">
            <v>25q740101040</v>
          </cell>
          <cell r="C739" t="str">
            <v>25级旅游1班</v>
          </cell>
        </row>
        <row r="740">
          <cell r="A740" t="str">
            <v>刘唐利</v>
          </cell>
          <cell r="B740" t="str">
            <v>25q740101041</v>
          </cell>
          <cell r="C740" t="str">
            <v>25级旅游1班</v>
          </cell>
        </row>
        <row r="741">
          <cell r="A741" t="str">
            <v>余瑞凯</v>
          </cell>
          <cell r="B741" t="str">
            <v>25q740101042</v>
          </cell>
          <cell r="C741" t="str">
            <v>25级旅游1班</v>
          </cell>
        </row>
        <row r="742">
          <cell r="A742" t="str">
            <v>牟玉琮</v>
          </cell>
          <cell r="B742" t="str">
            <v>25q740101043</v>
          </cell>
          <cell r="C742" t="str">
            <v>25级旅游1班</v>
          </cell>
        </row>
        <row r="743">
          <cell r="A743" t="str">
            <v>黄志红</v>
          </cell>
          <cell r="B743" t="str">
            <v>25q740101044</v>
          </cell>
          <cell r="C743" t="str">
            <v>25级旅游1班</v>
          </cell>
        </row>
        <row r="744">
          <cell r="A744" t="str">
            <v>杨明浩</v>
          </cell>
          <cell r="B744" t="str">
            <v>25q740101045</v>
          </cell>
          <cell r="C744" t="str">
            <v>25级旅游1班</v>
          </cell>
        </row>
        <row r="745">
          <cell r="A745" t="str">
            <v>李阳阳</v>
          </cell>
          <cell r="B745" t="str">
            <v>25q740101046</v>
          </cell>
          <cell r="C745" t="str">
            <v>25级旅游1班</v>
          </cell>
        </row>
        <row r="746">
          <cell r="A746" t="str">
            <v>华璐萱</v>
          </cell>
          <cell r="B746" t="str">
            <v>25q740101047</v>
          </cell>
          <cell r="C746" t="str">
            <v>25级旅游1班</v>
          </cell>
        </row>
        <row r="747">
          <cell r="A747" t="str">
            <v>余佳欣</v>
          </cell>
          <cell r="B747" t="str">
            <v>25q740101052</v>
          </cell>
          <cell r="C747" t="str">
            <v>25级旅游1班</v>
          </cell>
        </row>
        <row r="748">
          <cell r="A748" t="str">
            <v>周俊臣</v>
          </cell>
          <cell r="B748" t="str">
            <v>25q740101054</v>
          </cell>
          <cell r="C748" t="str">
            <v>25级旅游1班</v>
          </cell>
        </row>
        <row r="749">
          <cell r="A749" t="str">
            <v>王竣心</v>
          </cell>
          <cell r="B749" t="str">
            <v>25q740101062</v>
          </cell>
          <cell r="C749" t="str">
            <v>25级旅游1班</v>
          </cell>
        </row>
        <row r="750">
          <cell r="A750" t="str">
            <v>张馨</v>
          </cell>
          <cell r="B750" t="str">
            <v>25q740101069</v>
          </cell>
          <cell r="C750" t="str">
            <v>25级旅游1班</v>
          </cell>
        </row>
        <row r="751">
          <cell r="A751" t="str">
            <v>陈梦琦</v>
          </cell>
          <cell r="B751" t="str">
            <v>25q740101070</v>
          </cell>
          <cell r="C751" t="str">
            <v>25级旅游1班</v>
          </cell>
        </row>
        <row r="752">
          <cell r="A752" t="str">
            <v>刘羽宵</v>
          </cell>
          <cell r="B752" t="str">
            <v>25q710201566</v>
          </cell>
          <cell r="C752" t="str">
            <v>25级旅游1班</v>
          </cell>
        </row>
        <row r="753">
          <cell r="A753" t="str">
            <v>徐敬茹</v>
          </cell>
          <cell r="B753" t="str">
            <v>25q740101002</v>
          </cell>
          <cell r="C753" t="str">
            <v>25级旅游2班(本方)</v>
          </cell>
        </row>
        <row r="754">
          <cell r="A754" t="str">
            <v>郭雨欣</v>
          </cell>
          <cell r="B754" t="str">
            <v>25q740101003</v>
          </cell>
          <cell r="C754" t="str">
            <v>25级旅游2班(本方)</v>
          </cell>
        </row>
        <row r="755">
          <cell r="A755" t="str">
            <v>王雅霖</v>
          </cell>
          <cell r="B755" t="str">
            <v>25q740101004</v>
          </cell>
          <cell r="C755" t="str">
            <v>25级旅游2班(本方)</v>
          </cell>
        </row>
        <row r="756">
          <cell r="A756" t="str">
            <v>周紫萱</v>
          </cell>
          <cell r="B756" t="str">
            <v>25q740101005</v>
          </cell>
          <cell r="C756" t="str">
            <v>25级旅游2班(本方)</v>
          </cell>
        </row>
        <row r="757">
          <cell r="A757" t="str">
            <v>罗馨翊</v>
          </cell>
          <cell r="B757" t="str">
            <v>25q740101007</v>
          </cell>
          <cell r="C757" t="str">
            <v>25级旅游2班(本方)</v>
          </cell>
        </row>
        <row r="758">
          <cell r="A758" t="str">
            <v>汤美玲</v>
          </cell>
          <cell r="B758" t="str">
            <v>25q740101009</v>
          </cell>
          <cell r="C758" t="str">
            <v>25级旅游2班(本方)</v>
          </cell>
        </row>
        <row r="759">
          <cell r="A759" t="str">
            <v>苏鑫航</v>
          </cell>
          <cell r="B759" t="str">
            <v>25q740101010</v>
          </cell>
          <cell r="C759" t="str">
            <v>25级旅游2班(本方)</v>
          </cell>
        </row>
        <row r="760">
          <cell r="A760" t="str">
            <v>王沁玥</v>
          </cell>
          <cell r="B760" t="str">
            <v>25q740101011</v>
          </cell>
          <cell r="C760" t="str">
            <v>25级旅游2班(本方)</v>
          </cell>
        </row>
        <row r="761">
          <cell r="A761" t="str">
            <v>朱熙冉</v>
          </cell>
          <cell r="B761" t="str">
            <v>25q740101013</v>
          </cell>
          <cell r="C761" t="str">
            <v>25级旅游2班(本方)</v>
          </cell>
        </row>
        <row r="762">
          <cell r="A762" t="str">
            <v>陈奕伶</v>
          </cell>
          <cell r="B762" t="str">
            <v>25q740101014</v>
          </cell>
          <cell r="C762" t="str">
            <v>25级旅游2班(本方)</v>
          </cell>
        </row>
        <row r="763">
          <cell r="A763" t="str">
            <v>王苏</v>
          </cell>
          <cell r="B763" t="str">
            <v>25q740101015</v>
          </cell>
          <cell r="C763" t="str">
            <v>25级旅游2班(本方)</v>
          </cell>
        </row>
        <row r="764">
          <cell r="A764" t="str">
            <v>黄诗蕊</v>
          </cell>
          <cell r="B764" t="str">
            <v>25q740101017</v>
          </cell>
          <cell r="C764" t="str">
            <v>25级旅游2班(本方)</v>
          </cell>
        </row>
        <row r="765">
          <cell r="A765" t="str">
            <v>魏语涵</v>
          </cell>
          <cell r="B765" t="str">
            <v>25q740101018</v>
          </cell>
          <cell r="C765" t="str">
            <v>25级旅游2班(本方)</v>
          </cell>
        </row>
        <row r="766">
          <cell r="A766" t="str">
            <v>王思杨</v>
          </cell>
          <cell r="B766" t="str">
            <v>25q740101019</v>
          </cell>
          <cell r="C766" t="str">
            <v>25级旅游2班(本方)</v>
          </cell>
        </row>
        <row r="767">
          <cell r="A767" t="str">
            <v>王卓琳</v>
          </cell>
          <cell r="B767" t="str">
            <v>25q740101021</v>
          </cell>
          <cell r="C767" t="str">
            <v>25级旅游2班(本方)</v>
          </cell>
        </row>
        <row r="768">
          <cell r="A768" t="str">
            <v>李钰婷</v>
          </cell>
          <cell r="B768" t="str">
            <v>25q740101022</v>
          </cell>
          <cell r="C768" t="str">
            <v>25级旅游2班(本方)</v>
          </cell>
        </row>
        <row r="769">
          <cell r="A769" t="str">
            <v>张欣沂</v>
          </cell>
          <cell r="B769" t="str">
            <v>25q740101023</v>
          </cell>
          <cell r="C769" t="str">
            <v>25级旅游2班(本方)</v>
          </cell>
        </row>
        <row r="770">
          <cell r="A770" t="str">
            <v>蒋禄婧</v>
          </cell>
          <cell r="B770" t="str">
            <v>25q740101026</v>
          </cell>
          <cell r="C770" t="str">
            <v>25级旅游2班(本方)</v>
          </cell>
        </row>
        <row r="771">
          <cell r="A771" t="str">
            <v>孙鲜轩</v>
          </cell>
          <cell r="B771" t="str">
            <v>25q740101024</v>
          </cell>
          <cell r="C771" t="str">
            <v>25级旅游2班(本方)</v>
          </cell>
        </row>
        <row r="772">
          <cell r="A772" t="str">
            <v>张怡辰</v>
          </cell>
          <cell r="B772" t="str">
            <v>25q710201562</v>
          </cell>
          <cell r="C772" t="str">
            <v>25级旅游2班(本方)</v>
          </cell>
        </row>
        <row r="773">
          <cell r="A773" t="str">
            <v>杨雅姝</v>
          </cell>
          <cell r="B773" t="str">
            <v>25q710201558</v>
          </cell>
          <cell r="C773" t="str">
            <v>25级旅游2班(本方)</v>
          </cell>
        </row>
        <row r="774">
          <cell r="A774" t="str">
            <v>凌俊杰</v>
          </cell>
          <cell r="B774" t="str">
            <v>25q660701055</v>
          </cell>
          <cell r="C774" t="str">
            <v>25级汽车检测班</v>
          </cell>
        </row>
        <row r="775">
          <cell r="A775" t="str">
            <v>张郴豪</v>
          </cell>
          <cell r="B775" t="str">
            <v>25q660701056</v>
          </cell>
          <cell r="C775" t="str">
            <v>25级汽车检测班</v>
          </cell>
        </row>
        <row r="776">
          <cell r="A776" t="str">
            <v>王诚</v>
          </cell>
          <cell r="B776" t="str">
            <v>25q660701057</v>
          </cell>
          <cell r="C776" t="str">
            <v>25级汽车检测班</v>
          </cell>
        </row>
        <row r="777">
          <cell r="A777" t="str">
            <v>兰新瑞</v>
          </cell>
          <cell r="B777" t="str">
            <v>25q660701058</v>
          </cell>
          <cell r="C777" t="str">
            <v>25级汽车检测班</v>
          </cell>
        </row>
        <row r="778">
          <cell r="A778" t="str">
            <v>陈志豪</v>
          </cell>
          <cell r="B778" t="str">
            <v>25q660701001</v>
          </cell>
          <cell r="C778" t="str">
            <v>25级汽车检测班</v>
          </cell>
        </row>
        <row r="779">
          <cell r="A779" t="str">
            <v>冯长瑞</v>
          </cell>
          <cell r="B779" t="str">
            <v>25q660701002</v>
          </cell>
          <cell r="C779" t="str">
            <v>25级汽车检测班</v>
          </cell>
        </row>
        <row r="780">
          <cell r="A780" t="str">
            <v>曾峻涛</v>
          </cell>
          <cell r="B780" t="str">
            <v>25q660701003</v>
          </cell>
          <cell r="C780" t="str">
            <v>25级汽车检测班</v>
          </cell>
        </row>
        <row r="781">
          <cell r="A781" t="str">
            <v>鲜宗幸</v>
          </cell>
          <cell r="B781" t="str">
            <v>25q660701004</v>
          </cell>
          <cell r="C781" t="str">
            <v>25级汽车检测班</v>
          </cell>
        </row>
        <row r="782">
          <cell r="A782" t="str">
            <v>王棚</v>
          </cell>
          <cell r="B782" t="str">
            <v>25q660701005</v>
          </cell>
          <cell r="C782" t="str">
            <v>25级汽车检测班</v>
          </cell>
        </row>
        <row r="783">
          <cell r="A783" t="str">
            <v>金峻熙</v>
          </cell>
          <cell r="B783" t="str">
            <v>25q660701006</v>
          </cell>
          <cell r="C783" t="str">
            <v>25级汽车检测班</v>
          </cell>
        </row>
        <row r="784">
          <cell r="A784" t="str">
            <v>黄宇欣</v>
          </cell>
          <cell r="B784" t="str">
            <v>25q660701007</v>
          </cell>
          <cell r="C784" t="str">
            <v>25级汽车检测班</v>
          </cell>
        </row>
        <row r="785">
          <cell r="A785" t="str">
            <v>李仁杰</v>
          </cell>
          <cell r="B785" t="str">
            <v>25q660701008</v>
          </cell>
          <cell r="C785" t="str">
            <v>25级汽车检测班</v>
          </cell>
        </row>
        <row r="786">
          <cell r="A786" t="str">
            <v>张颗航</v>
          </cell>
          <cell r="B786" t="str">
            <v>25q660701009</v>
          </cell>
          <cell r="C786" t="str">
            <v>25级汽车检测班</v>
          </cell>
        </row>
        <row r="787">
          <cell r="A787" t="str">
            <v>张振言</v>
          </cell>
          <cell r="B787" t="str">
            <v>25q660701010</v>
          </cell>
          <cell r="C787" t="str">
            <v>25级汽车检测班</v>
          </cell>
        </row>
        <row r="788">
          <cell r="A788" t="str">
            <v>田凯皓</v>
          </cell>
          <cell r="B788" t="str">
            <v>25q660701011</v>
          </cell>
          <cell r="C788" t="str">
            <v>25级汽车检测班</v>
          </cell>
        </row>
        <row r="789">
          <cell r="A789" t="str">
            <v>周俊潇</v>
          </cell>
          <cell r="B789" t="str">
            <v>25q660701012</v>
          </cell>
          <cell r="C789" t="str">
            <v>25级汽车检测班</v>
          </cell>
        </row>
        <row r="790">
          <cell r="A790" t="str">
            <v>吴俊鑫</v>
          </cell>
          <cell r="B790" t="str">
            <v>25q660701013</v>
          </cell>
          <cell r="C790" t="str">
            <v>25级汽车检测班</v>
          </cell>
        </row>
        <row r="791">
          <cell r="A791" t="str">
            <v>尹芋松</v>
          </cell>
          <cell r="B791" t="str">
            <v>25q660701014</v>
          </cell>
          <cell r="C791" t="str">
            <v>25级汽车检测班</v>
          </cell>
        </row>
        <row r="792">
          <cell r="A792" t="str">
            <v>许钰潇</v>
          </cell>
          <cell r="B792" t="str">
            <v>25q660701015</v>
          </cell>
          <cell r="C792" t="str">
            <v>25级汽车检测班</v>
          </cell>
        </row>
        <row r="793">
          <cell r="A793" t="str">
            <v>史竣超</v>
          </cell>
          <cell r="B793" t="str">
            <v>25q660701016</v>
          </cell>
          <cell r="C793" t="str">
            <v>25级汽车检测班</v>
          </cell>
        </row>
        <row r="794">
          <cell r="A794" t="str">
            <v>万国雄</v>
          </cell>
          <cell r="B794" t="str">
            <v>25q660701017</v>
          </cell>
          <cell r="C794" t="str">
            <v>25级汽车检测班</v>
          </cell>
        </row>
        <row r="795">
          <cell r="A795" t="str">
            <v>鲜程程</v>
          </cell>
          <cell r="B795" t="str">
            <v>25q660701018</v>
          </cell>
          <cell r="C795" t="str">
            <v>25级汽车检测班</v>
          </cell>
        </row>
        <row r="796">
          <cell r="A796" t="str">
            <v>钟章浩</v>
          </cell>
          <cell r="B796" t="str">
            <v>25q660701019</v>
          </cell>
          <cell r="C796" t="str">
            <v>25级汽车检测班</v>
          </cell>
        </row>
        <row r="797">
          <cell r="A797" t="str">
            <v>张金节</v>
          </cell>
          <cell r="B797" t="str">
            <v>25q660701020</v>
          </cell>
          <cell r="C797" t="str">
            <v>25级汽车检测班</v>
          </cell>
        </row>
        <row r="798">
          <cell r="A798" t="str">
            <v>刘子豪</v>
          </cell>
          <cell r="B798" t="str">
            <v>25q660701021</v>
          </cell>
          <cell r="C798" t="str">
            <v>25级汽车检测班</v>
          </cell>
        </row>
        <row r="799">
          <cell r="A799" t="str">
            <v>李宝林</v>
          </cell>
          <cell r="B799" t="str">
            <v>25q660701022</v>
          </cell>
          <cell r="C799" t="str">
            <v>25级汽车检测班</v>
          </cell>
        </row>
        <row r="800">
          <cell r="A800" t="str">
            <v>汤于洋</v>
          </cell>
          <cell r="B800" t="str">
            <v>25q660701023</v>
          </cell>
          <cell r="C800" t="str">
            <v>25级汽车检测班</v>
          </cell>
        </row>
        <row r="801">
          <cell r="A801" t="str">
            <v>王小虎</v>
          </cell>
          <cell r="B801" t="str">
            <v>25q660701024</v>
          </cell>
          <cell r="C801" t="str">
            <v>25级汽车检测班</v>
          </cell>
        </row>
        <row r="802">
          <cell r="A802" t="str">
            <v>杨鸿川</v>
          </cell>
          <cell r="B802" t="str">
            <v>25q660701025</v>
          </cell>
          <cell r="C802" t="str">
            <v>25级汽车检测班</v>
          </cell>
        </row>
        <row r="803">
          <cell r="A803" t="str">
            <v>张玉康</v>
          </cell>
          <cell r="B803" t="str">
            <v>25q660701026</v>
          </cell>
          <cell r="C803" t="str">
            <v>25级汽车检测班</v>
          </cell>
        </row>
        <row r="804">
          <cell r="A804" t="str">
            <v>苟凯祥</v>
          </cell>
          <cell r="B804" t="str">
            <v>25q660701027</v>
          </cell>
          <cell r="C804" t="str">
            <v>25级汽车检测班</v>
          </cell>
        </row>
        <row r="805">
          <cell r="A805" t="str">
            <v>顾原源</v>
          </cell>
          <cell r="B805" t="str">
            <v>25q660701028</v>
          </cell>
          <cell r="C805" t="str">
            <v>25级汽车检测班</v>
          </cell>
        </row>
        <row r="806">
          <cell r="A806" t="str">
            <v>蒋华杰</v>
          </cell>
          <cell r="B806" t="str">
            <v>25q660701029</v>
          </cell>
          <cell r="C806" t="str">
            <v>25级汽车检测班</v>
          </cell>
        </row>
        <row r="807">
          <cell r="A807" t="str">
            <v>杜俊鹏</v>
          </cell>
          <cell r="B807" t="str">
            <v>25q660701030</v>
          </cell>
          <cell r="C807" t="str">
            <v>25级汽车检测班</v>
          </cell>
        </row>
        <row r="808">
          <cell r="A808" t="str">
            <v>龚嘉豪</v>
          </cell>
          <cell r="B808" t="str">
            <v>25q660701031</v>
          </cell>
          <cell r="C808" t="str">
            <v>25级汽车检测班</v>
          </cell>
        </row>
        <row r="809">
          <cell r="A809" t="str">
            <v>余开海</v>
          </cell>
          <cell r="B809" t="str">
            <v>25q660701032</v>
          </cell>
          <cell r="C809" t="str">
            <v>25级汽车检测班</v>
          </cell>
        </row>
        <row r="810">
          <cell r="A810" t="str">
            <v>王焓宇</v>
          </cell>
          <cell r="B810" t="str">
            <v>25q660701034</v>
          </cell>
          <cell r="C810" t="str">
            <v>25级汽车检测班</v>
          </cell>
        </row>
        <row r="811">
          <cell r="A811" t="str">
            <v>余开柱</v>
          </cell>
          <cell r="B811" t="str">
            <v>25q660701035</v>
          </cell>
          <cell r="C811" t="str">
            <v>25级汽车检测班</v>
          </cell>
        </row>
        <row r="812">
          <cell r="A812" t="str">
            <v>陈熊</v>
          </cell>
          <cell r="B812" t="str">
            <v>25q660701036</v>
          </cell>
          <cell r="C812" t="str">
            <v>25级汽车检测班</v>
          </cell>
        </row>
        <row r="813">
          <cell r="A813" t="str">
            <v>颜家坪</v>
          </cell>
          <cell r="B813" t="str">
            <v>25q660701037</v>
          </cell>
          <cell r="C813" t="str">
            <v>25级汽车检测班</v>
          </cell>
        </row>
        <row r="814">
          <cell r="A814" t="str">
            <v>尹东旭</v>
          </cell>
          <cell r="B814" t="str">
            <v>25q660701038</v>
          </cell>
          <cell r="C814" t="str">
            <v>25级汽车检测班</v>
          </cell>
        </row>
        <row r="815">
          <cell r="A815" t="str">
            <v>杨靖超</v>
          </cell>
          <cell r="B815" t="str">
            <v>25q660701039</v>
          </cell>
          <cell r="C815" t="str">
            <v>25级汽车检测班</v>
          </cell>
        </row>
        <row r="816">
          <cell r="A816" t="str">
            <v>万生足</v>
          </cell>
          <cell r="B816" t="str">
            <v>25q660701040</v>
          </cell>
          <cell r="C816" t="str">
            <v>25级汽车检测班</v>
          </cell>
        </row>
        <row r="817">
          <cell r="A817" t="str">
            <v>黄琳珂</v>
          </cell>
          <cell r="B817" t="str">
            <v>25q660701041</v>
          </cell>
          <cell r="C817" t="str">
            <v>25级汽车检测班</v>
          </cell>
        </row>
        <row r="818">
          <cell r="A818" t="str">
            <v>杨啸林</v>
          </cell>
          <cell r="B818" t="str">
            <v>25q660701042</v>
          </cell>
          <cell r="C818" t="str">
            <v>25级汽车检测班</v>
          </cell>
        </row>
        <row r="819">
          <cell r="A819" t="str">
            <v>何宇宸</v>
          </cell>
          <cell r="B819" t="str">
            <v>25q660701045</v>
          </cell>
          <cell r="C819" t="str">
            <v>25级汽车检测班</v>
          </cell>
        </row>
        <row r="820">
          <cell r="A820" t="str">
            <v>王雅民</v>
          </cell>
          <cell r="B820" t="str">
            <v>25q660701046</v>
          </cell>
          <cell r="C820" t="str">
            <v>25级汽车检测班</v>
          </cell>
        </row>
        <row r="821">
          <cell r="A821" t="str">
            <v>王鹏</v>
          </cell>
          <cell r="B821" t="str">
            <v>25q660701048</v>
          </cell>
          <cell r="C821" t="str">
            <v>25级汽车检测班</v>
          </cell>
        </row>
        <row r="822">
          <cell r="A822" t="str">
            <v>韩一平</v>
          </cell>
          <cell r="B822" t="str">
            <v>25q660701049</v>
          </cell>
          <cell r="C822" t="str">
            <v>25级汽车检测班</v>
          </cell>
        </row>
        <row r="823">
          <cell r="A823" t="str">
            <v>陈浩林</v>
          </cell>
          <cell r="B823" t="str">
            <v>25q660701050</v>
          </cell>
          <cell r="C823" t="str">
            <v>25级汽车检测班</v>
          </cell>
        </row>
        <row r="824">
          <cell r="A824" t="str">
            <v>侯林讯</v>
          </cell>
          <cell r="B824" t="str">
            <v>25q660701052</v>
          </cell>
          <cell r="C824" t="str">
            <v>25级汽车检测班</v>
          </cell>
        </row>
        <row r="825">
          <cell r="A825" t="str">
            <v>余鑫嵘</v>
          </cell>
          <cell r="B825" t="str">
            <v>25q660701053</v>
          </cell>
          <cell r="C825" t="str">
            <v>25级汽车检测班</v>
          </cell>
        </row>
        <row r="826">
          <cell r="A826" t="str">
            <v>曹宇翔</v>
          </cell>
          <cell r="B826" t="str">
            <v>25q710201224</v>
          </cell>
          <cell r="C826" t="str">
            <v>25级汽车检测班</v>
          </cell>
        </row>
        <row r="827">
          <cell r="A827" t="str">
            <v>丁宇霖</v>
          </cell>
          <cell r="B827" t="str">
            <v>2508023</v>
          </cell>
          <cell r="C827" t="str">
            <v>25级汽车检测班</v>
          </cell>
        </row>
        <row r="828">
          <cell r="A828" t="str">
            <v>林荣闯</v>
          </cell>
          <cell r="B828" t="str">
            <v>25q660701033</v>
          </cell>
          <cell r="C828" t="str">
            <v>25级汽车检测班</v>
          </cell>
        </row>
        <row r="829">
          <cell r="A829" t="str">
            <v>任魏</v>
          </cell>
          <cell r="B829" t="str">
            <v>25q660701043</v>
          </cell>
          <cell r="C829" t="str">
            <v>25级汽车检测班</v>
          </cell>
        </row>
        <row r="830">
          <cell r="A830" t="str">
            <v>杨崇江</v>
          </cell>
          <cell r="B830" t="str">
            <v>25q660701044</v>
          </cell>
          <cell r="C830" t="str">
            <v>25级汽车检测班</v>
          </cell>
        </row>
        <row r="831">
          <cell r="A831" t="str">
            <v>王天赐</v>
          </cell>
          <cell r="B831" t="str">
            <v>25q660701054</v>
          </cell>
          <cell r="C831" t="str">
            <v>25级汽车检测班</v>
          </cell>
        </row>
        <row r="832">
          <cell r="A832" t="str">
            <v>谭棣文</v>
          </cell>
          <cell r="B832" t="str">
            <v>25q660103036</v>
          </cell>
          <cell r="C832" t="str">
            <v>25级汽车检测班</v>
          </cell>
        </row>
        <row r="833">
          <cell r="A833" t="str">
            <v>石宇翔</v>
          </cell>
          <cell r="B833" t="str">
            <v>25q710201246</v>
          </cell>
          <cell r="C833" t="str">
            <v>25级汽车检测班</v>
          </cell>
        </row>
        <row r="834">
          <cell r="A834" t="str">
            <v>刘浩楠</v>
          </cell>
          <cell r="B834" t="str">
            <v>25q710201247</v>
          </cell>
          <cell r="C834" t="str">
            <v>25级汽车检测班</v>
          </cell>
        </row>
        <row r="835">
          <cell r="A835" t="str">
            <v>曾浩冉</v>
          </cell>
          <cell r="B835" t="str">
            <v>25q710201567</v>
          </cell>
          <cell r="C835" t="str">
            <v>25级汽车检测班</v>
          </cell>
        </row>
        <row r="836">
          <cell r="A836" t="str">
            <v>叶思锐</v>
          </cell>
          <cell r="B836" t="str">
            <v>25q710201569</v>
          </cell>
          <cell r="C836" t="str">
            <v>25级汽车检测班</v>
          </cell>
        </row>
        <row r="837">
          <cell r="A837" t="str">
            <v>陈昱林</v>
          </cell>
          <cell r="B837" t="str">
            <v>25q660103007</v>
          </cell>
          <cell r="C837" t="str">
            <v>25级数控1班</v>
          </cell>
        </row>
        <row r="838">
          <cell r="A838" t="str">
            <v>胡治宇</v>
          </cell>
          <cell r="B838" t="str">
            <v>25q660103018</v>
          </cell>
          <cell r="C838" t="str">
            <v>25级数控1班</v>
          </cell>
        </row>
        <row r="839">
          <cell r="A839" t="str">
            <v>鲜雨衡</v>
          </cell>
          <cell r="B839" t="str">
            <v>25q660103102</v>
          </cell>
          <cell r="C839" t="str">
            <v>25级数控1班</v>
          </cell>
        </row>
        <row r="840">
          <cell r="A840" t="str">
            <v>辛帮年</v>
          </cell>
          <cell r="B840" t="str">
            <v>25q660103051</v>
          </cell>
          <cell r="C840" t="str">
            <v>25级数控1班</v>
          </cell>
        </row>
        <row r="841">
          <cell r="A841" t="str">
            <v>王李帅</v>
          </cell>
          <cell r="B841" t="str">
            <v>2507047</v>
          </cell>
          <cell r="C841" t="str">
            <v>25级数控1班</v>
          </cell>
        </row>
        <row r="842">
          <cell r="A842" t="str">
            <v>曹瑞杰</v>
          </cell>
          <cell r="B842" t="str">
            <v>25q660103002</v>
          </cell>
          <cell r="C842" t="str">
            <v>25级数控1班</v>
          </cell>
        </row>
        <row r="843">
          <cell r="A843" t="str">
            <v>曾庆耀</v>
          </cell>
          <cell r="B843" t="str">
            <v>25q660103004</v>
          </cell>
          <cell r="C843" t="str">
            <v>25级数控1班</v>
          </cell>
        </row>
        <row r="844">
          <cell r="A844" t="str">
            <v>陈雅林</v>
          </cell>
          <cell r="B844" t="str">
            <v>25q660103005</v>
          </cell>
          <cell r="C844" t="str">
            <v>25级数控1班</v>
          </cell>
        </row>
        <row r="845">
          <cell r="A845" t="str">
            <v>陈瑜</v>
          </cell>
          <cell r="B845" t="str">
            <v>25q660103006</v>
          </cell>
          <cell r="C845" t="str">
            <v>25级数控1班</v>
          </cell>
        </row>
        <row r="846">
          <cell r="A846" t="str">
            <v>冯裕轩</v>
          </cell>
          <cell r="B846" t="str">
            <v>25q660103009</v>
          </cell>
          <cell r="C846" t="str">
            <v>25级数控1班</v>
          </cell>
        </row>
        <row r="847">
          <cell r="A847" t="str">
            <v>付昊</v>
          </cell>
          <cell r="B847" t="str">
            <v>25q660103010</v>
          </cell>
          <cell r="C847" t="str">
            <v>25级数控1班</v>
          </cell>
        </row>
        <row r="848">
          <cell r="A848" t="str">
            <v>高穆轩</v>
          </cell>
          <cell r="B848" t="str">
            <v>25q660103011</v>
          </cell>
          <cell r="C848" t="str">
            <v>25级数控1班</v>
          </cell>
        </row>
        <row r="849">
          <cell r="A849" t="str">
            <v>高余朋</v>
          </cell>
          <cell r="B849" t="str">
            <v>25q660103012</v>
          </cell>
          <cell r="C849" t="str">
            <v>25级数控1班</v>
          </cell>
        </row>
        <row r="850">
          <cell r="A850" t="str">
            <v>韩万有</v>
          </cell>
          <cell r="B850" t="str">
            <v>25q660103013</v>
          </cell>
          <cell r="C850" t="str">
            <v>25级数控1班</v>
          </cell>
        </row>
        <row r="851">
          <cell r="A851" t="str">
            <v>何铭</v>
          </cell>
          <cell r="B851" t="str">
            <v>25q660103014</v>
          </cell>
          <cell r="C851" t="str">
            <v>25级数控1班</v>
          </cell>
        </row>
        <row r="852">
          <cell r="A852" t="str">
            <v>何瑞恒</v>
          </cell>
          <cell r="B852" t="str">
            <v>25q660103015</v>
          </cell>
          <cell r="C852" t="str">
            <v>25级数控1班</v>
          </cell>
        </row>
        <row r="853">
          <cell r="A853" t="str">
            <v>侯玉凯</v>
          </cell>
          <cell r="B853" t="str">
            <v>25q660103017</v>
          </cell>
          <cell r="C853" t="str">
            <v>25级数控1班</v>
          </cell>
        </row>
        <row r="854">
          <cell r="A854" t="str">
            <v>黄树红</v>
          </cell>
          <cell r="B854" t="str">
            <v>25q660103019</v>
          </cell>
          <cell r="C854" t="str">
            <v>25级数控1班</v>
          </cell>
        </row>
        <row r="855">
          <cell r="A855" t="str">
            <v>李爱钏</v>
          </cell>
          <cell r="B855" t="str">
            <v>25q660103020</v>
          </cell>
          <cell r="C855" t="str">
            <v>25级数控1班</v>
          </cell>
        </row>
        <row r="856">
          <cell r="A856" t="str">
            <v>李辰昊</v>
          </cell>
          <cell r="B856" t="str">
            <v>25q660103021</v>
          </cell>
          <cell r="C856" t="str">
            <v>25级数控1班</v>
          </cell>
        </row>
        <row r="857">
          <cell r="A857" t="str">
            <v>李恩熙</v>
          </cell>
          <cell r="B857" t="str">
            <v>25q660103022</v>
          </cell>
          <cell r="C857" t="str">
            <v>25级数控1班</v>
          </cell>
        </row>
        <row r="858">
          <cell r="A858" t="str">
            <v>李沁霖</v>
          </cell>
          <cell r="B858" t="str">
            <v>25q660103023</v>
          </cell>
          <cell r="C858" t="str">
            <v>25级数控1班</v>
          </cell>
        </row>
        <row r="859">
          <cell r="A859" t="str">
            <v>李鑫</v>
          </cell>
          <cell r="B859" t="str">
            <v>25q660103024</v>
          </cell>
          <cell r="C859" t="str">
            <v>25级数控1班</v>
          </cell>
        </row>
        <row r="860">
          <cell r="A860" t="str">
            <v>李扬</v>
          </cell>
          <cell r="B860" t="str">
            <v>25q660103025</v>
          </cell>
          <cell r="C860" t="str">
            <v>25级数控1班</v>
          </cell>
        </row>
        <row r="861">
          <cell r="A861" t="str">
            <v>李益勋</v>
          </cell>
          <cell r="B861" t="str">
            <v>25q660103026</v>
          </cell>
          <cell r="C861" t="str">
            <v>25级数控1班</v>
          </cell>
        </row>
        <row r="862">
          <cell r="A862" t="str">
            <v>凌皓宇</v>
          </cell>
          <cell r="B862" t="str">
            <v>25q660103027</v>
          </cell>
          <cell r="C862" t="str">
            <v>25级数控1班</v>
          </cell>
        </row>
        <row r="863">
          <cell r="A863" t="str">
            <v>刘栩屹</v>
          </cell>
          <cell r="B863" t="str">
            <v>25q660103028</v>
          </cell>
          <cell r="C863" t="str">
            <v>25级数控1班</v>
          </cell>
        </row>
        <row r="864">
          <cell r="A864" t="str">
            <v>卢舒成</v>
          </cell>
          <cell r="B864" t="str">
            <v>25q660103029</v>
          </cell>
          <cell r="C864" t="str">
            <v>25级数控1班</v>
          </cell>
        </row>
        <row r="865">
          <cell r="A865" t="str">
            <v>卢宇轩</v>
          </cell>
          <cell r="B865" t="str">
            <v>25q660103030</v>
          </cell>
          <cell r="C865" t="str">
            <v>25级数控1班</v>
          </cell>
        </row>
        <row r="866">
          <cell r="A866" t="str">
            <v>邵永浩</v>
          </cell>
          <cell r="B866" t="str">
            <v>25q660103031</v>
          </cell>
          <cell r="C866" t="str">
            <v>25级数控1班</v>
          </cell>
        </row>
        <row r="867">
          <cell r="A867" t="str">
            <v>沈奇林</v>
          </cell>
          <cell r="B867" t="str">
            <v>25q660103032</v>
          </cell>
          <cell r="C867" t="str">
            <v>25级数控1班</v>
          </cell>
        </row>
        <row r="868">
          <cell r="A868" t="str">
            <v>沈子涵</v>
          </cell>
          <cell r="B868" t="str">
            <v>25q660103033</v>
          </cell>
          <cell r="C868" t="str">
            <v>25级数控1班</v>
          </cell>
        </row>
        <row r="869">
          <cell r="A869" t="str">
            <v>宋开豪</v>
          </cell>
          <cell r="B869" t="str">
            <v>25q660103034</v>
          </cell>
          <cell r="C869" t="str">
            <v>25级数控1班</v>
          </cell>
        </row>
        <row r="870">
          <cell r="A870" t="str">
            <v>孙浩晨</v>
          </cell>
          <cell r="B870" t="str">
            <v>25q660103035</v>
          </cell>
          <cell r="C870" t="str">
            <v>25级数控1班</v>
          </cell>
        </row>
        <row r="871">
          <cell r="A871" t="str">
            <v>唐彧麟</v>
          </cell>
          <cell r="B871" t="str">
            <v>25q660103037</v>
          </cell>
          <cell r="C871" t="str">
            <v>25级数控1班</v>
          </cell>
        </row>
        <row r="872">
          <cell r="A872" t="str">
            <v>万宇宸</v>
          </cell>
          <cell r="B872" t="str">
            <v>25q660103038</v>
          </cell>
          <cell r="C872" t="str">
            <v>25级数控1班</v>
          </cell>
        </row>
        <row r="873">
          <cell r="A873" t="str">
            <v>王彬</v>
          </cell>
          <cell r="B873" t="str">
            <v>25q660103039</v>
          </cell>
          <cell r="C873" t="str">
            <v>25级数控1班</v>
          </cell>
        </row>
        <row r="874">
          <cell r="A874" t="str">
            <v>王鹏</v>
          </cell>
          <cell r="B874" t="str">
            <v>25q660103042</v>
          </cell>
          <cell r="C874" t="str">
            <v>25级数控1班</v>
          </cell>
        </row>
        <row r="875">
          <cell r="A875" t="str">
            <v>王艺鑫</v>
          </cell>
          <cell r="B875" t="str">
            <v>25q660103044</v>
          </cell>
          <cell r="C875" t="str">
            <v>25级数控1班</v>
          </cell>
        </row>
        <row r="876">
          <cell r="A876" t="str">
            <v>王永林</v>
          </cell>
          <cell r="B876" t="str">
            <v>25q660103045</v>
          </cell>
          <cell r="C876" t="str">
            <v>25级数控1班</v>
          </cell>
        </row>
        <row r="877">
          <cell r="A877" t="str">
            <v>王宇豪</v>
          </cell>
          <cell r="B877" t="str">
            <v>25q660103046</v>
          </cell>
          <cell r="C877" t="str">
            <v>25级数控1班</v>
          </cell>
        </row>
        <row r="878">
          <cell r="A878" t="str">
            <v>王宇欢</v>
          </cell>
          <cell r="B878" t="str">
            <v>25q660103047</v>
          </cell>
          <cell r="C878" t="str">
            <v>25级数控1班</v>
          </cell>
        </row>
        <row r="879">
          <cell r="A879" t="str">
            <v>吴鲁者</v>
          </cell>
          <cell r="B879" t="str">
            <v>25q660103048</v>
          </cell>
          <cell r="C879" t="str">
            <v>25级数控1班</v>
          </cell>
        </row>
        <row r="880">
          <cell r="A880" t="str">
            <v>伍浩宇</v>
          </cell>
          <cell r="B880" t="str">
            <v>25q660103049</v>
          </cell>
          <cell r="C880" t="str">
            <v>25级数控1班</v>
          </cell>
        </row>
        <row r="881">
          <cell r="A881" t="str">
            <v>徐帅</v>
          </cell>
          <cell r="B881" t="str">
            <v>25q660103052</v>
          </cell>
          <cell r="C881" t="str">
            <v>25级数控1班</v>
          </cell>
        </row>
        <row r="882">
          <cell r="A882" t="str">
            <v>徐涛</v>
          </cell>
          <cell r="B882" t="str">
            <v>25q660103053</v>
          </cell>
          <cell r="C882" t="str">
            <v>25级数控1班</v>
          </cell>
        </row>
        <row r="883">
          <cell r="A883" t="str">
            <v>严文艺</v>
          </cell>
          <cell r="B883" t="str">
            <v>25q660103054</v>
          </cell>
          <cell r="C883" t="str">
            <v>25级数控1班</v>
          </cell>
        </row>
        <row r="884">
          <cell r="A884" t="str">
            <v>杨炳</v>
          </cell>
          <cell r="B884" t="str">
            <v>25q660103055</v>
          </cell>
          <cell r="C884" t="str">
            <v>25级数控1班</v>
          </cell>
        </row>
        <row r="885">
          <cell r="A885" t="str">
            <v>杨玉涵</v>
          </cell>
          <cell r="B885" t="str">
            <v>25q660103056</v>
          </cell>
          <cell r="C885" t="str">
            <v>25级数控1班</v>
          </cell>
        </row>
        <row r="886">
          <cell r="A886" t="str">
            <v>杨子健</v>
          </cell>
          <cell r="B886" t="str">
            <v>25q660103057</v>
          </cell>
          <cell r="C886" t="str">
            <v>25级数控1班</v>
          </cell>
        </row>
        <row r="887">
          <cell r="A887" t="str">
            <v>余瑞杰</v>
          </cell>
          <cell r="B887" t="str">
            <v>25q660103058</v>
          </cell>
          <cell r="C887" t="str">
            <v>25级数控1班</v>
          </cell>
        </row>
        <row r="888">
          <cell r="A888" t="str">
            <v>詹阳</v>
          </cell>
          <cell r="B888" t="str">
            <v>25q660103059</v>
          </cell>
          <cell r="C888" t="str">
            <v>25级数控1班</v>
          </cell>
        </row>
        <row r="889">
          <cell r="A889" t="str">
            <v>张成毅</v>
          </cell>
          <cell r="B889" t="str">
            <v>25q660103060</v>
          </cell>
          <cell r="C889" t="str">
            <v>25级数控1班</v>
          </cell>
        </row>
        <row r="890">
          <cell r="A890" t="str">
            <v>张俊博</v>
          </cell>
          <cell r="B890" t="str">
            <v>25q660103061</v>
          </cell>
          <cell r="C890" t="str">
            <v>25级数控1班</v>
          </cell>
        </row>
        <row r="891">
          <cell r="A891" t="str">
            <v>张雨杰</v>
          </cell>
          <cell r="B891" t="str">
            <v>25q660103063</v>
          </cell>
          <cell r="C891" t="str">
            <v>25级数控1班</v>
          </cell>
        </row>
        <row r="892">
          <cell r="A892" t="str">
            <v>张御翔</v>
          </cell>
          <cell r="B892" t="str">
            <v>25q660103064</v>
          </cell>
          <cell r="C892" t="str">
            <v>25级数控1班</v>
          </cell>
        </row>
        <row r="893">
          <cell r="A893" t="str">
            <v>张源</v>
          </cell>
          <cell r="B893" t="str">
            <v>25q660103065</v>
          </cell>
          <cell r="C893" t="str">
            <v>25级数控1班</v>
          </cell>
        </row>
        <row r="894">
          <cell r="A894" t="str">
            <v>张子扬</v>
          </cell>
          <cell r="B894" t="str">
            <v>25q660103066</v>
          </cell>
          <cell r="C894" t="str">
            <v>25级数控1班</v>
          </cell>
        </row>
        <row r="895">
          <cell r="A895" t="str">
            <v>郑熙源</v>
          </cell>
          <cell r="B895" t="str">
            <v>25q660103068</v>
          </cell>
          <cell r="C895" t="str">
            <v>25级数控1班</v>
          </cell>
        </row>
        <row r="896">
          <cell r="A896" t="str">
            <v>郑银杰</v>
          </cell>
          <cell r="B896" t="str">
            <v>25q660103069</v>
          </cell>
          <cell r="C896" t="str">
            <v>25级数控1班</v>
          </cell>
        </row>
        <row r="897">
          <cell r="A897" t="str">
            <v>钟玉霖</v>
          </cell>
          <cell r="B897" t="str">
            <v>25q660103070</v>
          </cell>
          <cell r="C897" t="str">
            <v>25级数控1班</v>
          </cell>
        </row>
        <row r="898">
          <cell r="A898" t="str">
            <v>刘艺豪</v>
          </cell>
          <cell r="B898" t="str">
            <v>25q660103123</v>
          </cell>
          <cell r="C898" t="str">
            <v>25级数控1班</v>
          </cell>
        </row>
        <row r="899">
          <cell r="A899" t="str">
            <v>李鸿涛</v>
          </cell>
          <cell r="B899" t="str">
            <v>25q660103124</v>
          </cell>
          <cell r="C899" t="str">
            <v>25级数控1班</v>
          </cell>
        </row>
        <row r="900">
          <cell r="A900" t="str">
            <v>张浩然</v>
          </cell>
          <cell r="B900" t="str">
            <v>25q710201248</v>
          </cell>
          <cell r="C900" t="str">
            <v>25级数控1班</v>
          </cell>
        </row>
        <row r="901">
          <cell r="A901" t="str">
            <v>吴晨阳</v>
          </cell>
          <cell r="B901" t="str">
            <v>2520686</v>
          </cell>
          <cell r="C901" t="str">
            <v>25级数控2班(本方)</v>
          </cell>
        </row>
        <row r="902">
          <cell r="A902" t="str">
            <v>徐瑞池</v>
          </cell>
          <cell r="B902" t="str">
            <v>25q660103073</v>
          </cell>
          <cell r="C902" t="str">
            <v>25级数控2班(本方)</v>
          </cell>
        </row>
        <row r="903">
          <cell r="A903" t="str">
            <v>袁尚杰</v>
          </cell>
          <cell r="B903" t="str">
            <v>25q660103074</v>
          </cell>
          <cell r="C903" t="str">
            <v>25级数控2班(本方)</v>
          </cell>
        </row>
        <row r="904">
          <cell r="A904" t="str">
            <v>付俊伟</v>
          </cell>
          <cell r="B904" t="str">
            <v>25q660103075</v>
          </cell>
          <cell r="C904" t="str">
            <v>25级数控2班(本方)</v>
          </cell>
        </row>
        <row r="905">
          <cell r="A905" t="str">
            <v>陈磊</v>
          </cell>
          <cell r="B905" t="str">
            <v>25q660103076</v>
          </cell>
          <cell r="C905" t="str">
            <v>25级数控2班(本方)</v>
          </cell>
        </row>
        <row r="906">
          <cell r="A906" t="str">
            <v>刘宇希</v>
          </cell>
          <cell r="B906" t="str">
            <v>25q660103078</v>
          </cell>
          <cell r="C906" t="str">
            <v>25级数控2班(本方)</v>
          </cell>
        </row>
        <row r="907">
          <cell r="A907" t="str">
            <v>史嘉茗</v>
          </cell>
          <cell r="B907" t="str">
            <v>25q660103079</v>
          </cell>
          <cell r="C907" t="str">
            <v>25级数控2班(本方)</v>
          </cell>
        </row>
        <row r="908">
          <cell r="A908" t="str">
            <v>王俊雅</v>
          </cell>
          <cell r="B908" t="str">
            <v>25q660103080</v>
          </cell>
          <cell r="C908" t="str">
            <v>25级数控2班(本方)</v>
          </cell>
        </row>
        <row r="909">
          <cell r="A909" t="str">
            <v>杨盛</v>
          </cell>
          <cell r="B909" t="str">
            <v>25q660103082</v>
          </cell>
          <cell r="C909" t="str">
            <v>25级数控2班(本方)</v>
          </cell>
        </row>
        <row r="910">
          <cell r="A910" t="str">
            <v>沈博屹</v>
          </cell>
          <cell r="B910" t="str">
            <v>25q660103085</v>
          </cell>
          <cell r="C910" t="str">
            <v>25级数控2班(本方)</v>
          </cell>
        </row>
        <row r="911">
          <cell r="A911" t="str">
            <v>李智研</v>
          </cell>
          <cell r="B911" t="str">
            <v>25q660103086</v>
          </cell>
          <cell r="C911" t="str">
            <v>25级数控2班(本方)</v>
          </cell>
        </row>
        <row r="912">
          <cell r="A912" t="str">
            <v>白凌云</v>
          </cell>
          <cell r="B912" t="str">
            <v>25q660103087</v>
          </cell>
          <cell r="C912" t="str">
            <v>25级数控2班(本方)</v>
          </cell>
        </row>
        <row r="913">
          <cell r="A913" t="str">
            <v>罗宇轩</v>
          </cell>
          <cell r="B913" t="str">
            <v>25q660103088</v>
          </cell>
          <cell r="C913" t="str">
            <v>25级数控2班(本方)</v>
          </cell>
        </row>
        <row r="914">
          <cell r="A914" t="str">
            <v>吴昱霄</v>
          </cell>
          <cell r="B914" t="str">
            <v>25q660103089</v>
          </cell>
          <cell r="C914" t="str">
            <v>25级数控2班(本方)</v>
          </cell>
        </row>
        <row r="915">
          <cell r="A915" t="str">
            <v>刘国禾</v>
          </cell>
          <cell r="B915" t="str">
            <v>25q660103090</v>
          </cell>
          <cell r="C915" t="str">
            <v>25级数控2班(本方)</v>
          </cell>
        </row>
        <row r="916">
          <cell r="A916" t="str">
            <v>刘靖鑫</v>
          </cell>
          <cell r="B916" t="str">
            <v>25q660103091</v>
          </cell>
          <cell r="C916" t="str">
            <v>25级数控2班(本方)</v>
          </cell>
        </row>
        <row r="917">
          <cell r="A917" t="str">
            <v>文杰</v>
          </cell>
          <cell r="B917" t="str">
            <v>25q660103092</v>
          </cell>
          <cell r="C917" t="str">
            <v>25级数控2班(本方)</v>
          </cell>
        </row>
        <row r="918">
          <cell r="A918" t="str">
            <v>彭帆伟</v>
          </cell>
          <cell r="B918" t="str">
            <v>25q660103093</v>
          </cell>
          <cell r="C918" t="str">
            <v>25级数控2班(本方)</v>
          </cell>
        </row>
        <row r="919">
          <cell r="A919" t="str">
            <v>欧乐</v>
          </cell>
          <cell r="B919" t="str">
            <v>25q660103094</v>
          </cell>
          <cell r="C919" t="str">
            <v>25级数控2班(本方)</v>
          </cell>
        </row>
        <row r="920">
          <cell r="A920" t="str">
            <v>何思琦</v>
          </cell>
          <cell r="B920" t="str">
            <v>25q660103095</v>
          </cell>
          <cell r="C920" t="str">
            <v>25级数控2班(本方)</v>
          </cell>
        </row>
        <row r="921">
          <cell r="A921" t="str">
            <v>杜雅蝶</v>
          </cell>
          <cell r="B921" t="str">
            <v>25q660103096</v>
          </cell>
          <cell r="C921" t="str">
            <v>25级数控2班(本方)</v>
          </cell>
        </row>
        <row r="922">
          <cell r="A922" t="str">
            <v>郭睿</v>
          </cell>
          <cell r="B922" t="str">
            <v>25q660103098</v>
          </cell>
          <cell r="C922" t="str">
            <v>25级数控2班(本方)</v>
          </cell>
        </row>
        <row r="923">
          <cell r="A923" t="str">
            <v>李一江</v>
          </cell>
          <cell r="B923" t="str">
            <v>25q660103099</v>
          </cell>
          <cell r="C923" t="str">
            <v>25级数控2班(本方)</v>
          </cell>
        </row>
        <row r="924">
          <cell r="A924" t="str">
            <v>牟宇杰</v>
          </cell>
          <cell r="B924" t="str">
            <v>25q660103100</v>
          </cell>
          <cell r="C924" t="str">
            <v>25级数控2班(本方)</v>
          </cell>
        </row>
        <row r="925">
          <cell r="A925" t="str">
            <v>高开健</v>
          </cell>
          <cell r="B925" t="str">
            <v>25q660103101</v>
          </cell>
          <cell r="C925" t="str">
            <v>25级数控2班(本方)</v>
          </cell>
        </row>
        <row r="926">
          <cell r="A926" t="str">
            <v>王李阳</v>
          </cell>
          <cell r="B926" t="str">
            <v>25q660103103</v>
          </cell>
          <cell r="C926" t="str">
            <v>25级数控2班(本方)</v>
          </cell>
        </row>
        <row r="927">
          <cell r="A927" t="str">
            <v>王理鸣</v>
          </cell>
          <cell r="B927" t="str">
            <v>25q660103104</v>
          </cell>
          <cell r="C927" t="str">
            <v>25级数控2班(本方)</v>
          </cell>
        </row>
        <row r="928">
          <cell r="A928" t="str">
            <v>曾绎铨</v>
          </cell>
          <cell r="B928" t="str">
            <v>25q660103105</v>
          </cell>
          <cell r="C928" t="str">
            <v>25级数控2班(本方)</v>
          </cell>
        </row>
        <row r="929">
          <cell r="A929" t="str">
            <v>罗伟程</v>
          </cell>
          <cell r="B929" t="str">
            <v>25q660103106</v>
          </cell>
          <cell r="C929" t="str">
            <v>25级数控2班(本方)</v>
          </cell>
        </row>
        <row r="930">
          <cell r="A930" t="str">
            <v>江瑞</v>
          </cell>
          <cell r="B930" t="str">
            <v>25q660103107</v>
          </cell>
          <cell r="C930" t="str">
            <v>25级数控2班(本方)</v>
          </cell>
        </row>
        <row r="931">
          <cell r="A931" t="str">
            <v>余世豪</v>
          </cell>
          <cell r="B931" t="str">
            <v>25q660103108</v>
          </cell>
          <cell r="C931" t="str">
            <v>25级数控2班(本方)</v>
          </cell>
        </row>
        <row r="932">
          <cell r="A932" t="str">
            <v>梁逸轩</v>
          </cell>
          <cell r="B932" t="str">
            <v>25q660103110</v>
          </cell>
          <cell r="C932" t="str">
            <v>25级数控2班(本方)</v>
          </cell>
        </row>
        <row r="933">
          <cell r="A933" t="str">
            <v>李嘉溢</v>
          </cell>
          <cell r="B933" t="str">
            <v>25q660103111</v>
          </cell>
          <cell r="C933" t="str">
            <v>25级数控2班(本方)</v>
          </cell>
        </row>
        <row r="934">
          <cell r="A934" t="str">
            <v>杨皓轩</v>
          </cell>
          <cell r="B934" t="str">
            <v>25q660103112</v>
          </cell>
          <cell r="C934" t="str">
            <v>25级数控2班(本方)</v>
          </cell>
        </row>
        <row r="935">
          <cell r="A935" t="str">
            <v>邱星豪</v>
          </cell>
          <cell r="B935" t="str">
            <v>25q660103113</v>
          </cell>
          <cell r="C935" t="str">
            <v>25级数控2班(本方)</v>
          </cell>
        </row>
        <row r="936">
          <cell r="A936" t="str">
            <v>胡凯</v>
          </cell>
          <cell r="B936" t="str">
            <v>25q660103114</v>
          </cell>
          <cell r="C936" t="str">
            <v>25级数控2班(本方)</v>
          </cell>
        </row>
        <row r="937">
          <cell r="A937" t="str">
            <v>何浩民</v>
          </cell>
          <cell r="B937" t="str">
            <v>25q660103115</v>
          </cell>
          <cell r="C937" t="str">
            <v>25级数控2班(本方)</v>
          </cell>
        </row>
        <row r="938">
          <cell r="A938" t="str">
            <v>何意凡</v>
          </cell>
          <cell r="B938" t="str">
            <v>25q660103117</v>
          </cell>
          <cell r="C938" t="str">
            <v>25级数控2班(本方)</v>
          </cell>
        </row>
        <row r="939">
          <cell r="A939" t="str">
            <v>陈俊豪</v>
          </cell>
          <cell r="B939" t="str">
            <v>25q660103119</v>
          </cell>
          <cell r="C939" t="str">
            <v>25级数控2班(本方)</v>
          </cell>
        </row>
        <row r="940">
          <cell r="A940" t="str">
            <v>蒋泳沁</v>
          </cell>
          <cell r="B940" t="str">
            <v>25q660103120</v>
          </cell>
          <cell r="C940" t="str">
            <v>25级数控2班(本方)</v>
          </cell>
        </row>
        <row r="941">
          <cell r="A941" t="str">
            <v>姜浩然</v>
          </cell>
          <cell r="B941" t="str">
            <v>25q660103121</v>
          </cell>
          <cell r="C941" t="str">
            <v>25级数控2班(本方)</v>
          </cell>
        </row>
        <row r="942">
          <cell r="A942" t="str">
            <v>张晨旭</v>
          </cell>
          <cell r="B942" t="str">
            <v>25q660103122</v>
          </cell>
          <cell r="C942" t="str">
            <v>25级数控2班(本方)</v>
          </cell>
        </row>
        <row r="943">
          <cell r="A943" t="str">
            <v>向俊浩</v>
          </cell>
          <cell r="B943" t="str">
            <v>25q660103081</v>
          </cell>
          <cell r="C943" t="str">
            <v>25级数控2班(本方)</v>
          </cell>
        </row>
        <row r="944">
          <cell r="A944" t="str">
            <v>周川</v>
          </cell>
          <cell r="B944" t="str">
            <v>25q660103083</v>
          </cell>
          <cell r="C944" t="str">
            <v>25级数控2班(本方)</v>
          </cell>
        </row>
        <row r="945">
          <cell r="A945" t="str">
            <v>郑涛</v>
          </cell>
          <cell r="B945" t="str">
            <v>25q660103109</v>
          </cell>
          <cell r="C945" t="str">
            <v>25级数控2班(本方)</v>
          </cell>
        </row>
        <row r="946">
          <cell r="A946" t="str">
            <v>王欣珑</v>
          </cell>
          <cell r="B946" t="str">
            <v>25q660103043</v>
          </cell>
          <cell r="C946" t="str">
            <v>25级数控2班(本方)</v>
          </cell>
        </row>
        <row r="947">
          <cell r="A947" t="str">
            <v>伍宇轩</v>
          </cell>
          <cell r="B947" t="str">
            <v>25q660103050</v>
          </cell>
          <cell r="C947" t="str">
            <v>25级数控2班(本方)</v>
          </cell>
        </row>
        <row r="948">
          <cell r="A948" t="str">
            <v>陈俊佐</v>
          </cell>
          <cell r="B948" t="str">
            <v>25q710201555</v>
          </cell>
          <cell r="C948" t="str">
            <v>25级数控2班(本方)</v>
          </cell>
        </row>
        <row r="949">
          <cell r="A949" t="str">
            <v>何宇灿</v>
          </cell>
          <cell r="B949" t="str">
            <v>24q770303009</v>
          </cell>
          <cell r="C949" t="str">
            <v>25级运动训练班</v>
          </cell>
        </row>
        <row r="950">
          <cell r="A950" t="str">
            <v>李晗</v>
          </cell>
          <cell r="B950" t="str">
            <v>24q770303013</v>
          </cell>
          <cell r="C950" t="str">
            <v>25级运动训练班</v>
          </cell>
        </row>
        <row r="951">
          <cell r="A951" t="str">
            <v>何飞楊</v>
          </cell>
          <cell r="B951" t="str">
            <v>25q740101008</v>
          </cell>
          <cell r="C951" t="str">
            <v>25级运动训练班</v>
          </cell>
        </row>
        <row r="952">
          <cell r="A952" t="str">
            <v>黄梦达</v>
          </cell>
          <cell r="B952" t="str">
            <v>25q710103257</v>
          </cell>
          <cell r="C952" t="str">
            <v>25级运动训练班</v>
          </cell>
        </row>
        <row r="953">
          <cell r="A953" t="str">
            <v>邹浩然</v>
          </cell>
          <cell r="B953" t="str">
            <v>XBB2025066</v>
          </cell>
          <cell r="C953" t="str">
            <v>25级运动训练班</v>
          </cell>
        </row>
        <row r="954">
          <cell r="A954" t="str">
            <v>吴玲君</v>
          </cell>
          <cell r="B954" t="str">
            <v>25q770303001</v>
          </cell>
          <cell r="C954" t="str">
            <v>25级运动训练班</v>
          </cell>
        </row>
        <row r="955">
          <cell r="A955" t="str">
            <v>张柯</v>
          </cell>
          <cell r="B955" t="str">
            <v>25q770303003</v>
          </cell>
          <cell r="C955" t="str">
            <v>25级运动训练班</v>
          </cell>
        </row>
        <row r="956">
          <cell r="A956" t="str">
            <v>周柯池</v>
          </cell>
          <cell r="B956" t="str">
            <v>25q770303004</v>
          </cell>
          <cell r="C956" t="str">
            <v>25级运动训练班</v>
          </cell>
        </row>
        <row r="957">
          <cell r="A957" t="str">
            <v>黄冀川</v>
          </cell>
          <cell r="B957" t="str">
            <v>25q770303006</v>
          </cell>
          <cell r="C957" t="str">
            <v>25级运动训练班</v>
          </cell>
        </row>
        <row r="958">
          <cell r="A958" t="str">
            <v>沈晓茹</v>
          </cell>
          <cell r="B958" t="str">
            <v>25q770303009</v>
          </cell>
          <cell r="C958" t="str">
            <v>25级运动训练班</v>
          </cell>
        </row>
        <row r="959">
          <cell r="A959" t="str">
            <v>马巍</v>
          </cell>
          <cell r="B959" t="str">
            <v>25q770303010</v>
          </cell>
          <cell r="C959" t="str">
            <v>25级运动训练班</v>
          </cell>
        </row>
        <row r="960">
          <cell r="A960" t="str">
            <v>车俊熙</v>
          </cell>
          <cell r="B960" t="str">
            <v>25q770303011</v>
          </cell>
          <cell r="C960" t="str">
            <v>25级运动训练班</v>
          </cell>
        </row>
        <row r="961">
          <cell r="A961" t="str">
            <v>杨东川</v>
          </cell>
          <cell r="B961" t="str">
            <v>25q770303013</v>
          </cell>
          <cell r="C961" t="str">
            <v>25级运动训练班</v>
          </cell>
        </row>
        <row r="962">
          <cell r="A962" t="str">
            <v>余圣轩</v>
          </cell>
          <cell r="B962" t="str">
            <v>25q770303014</v>
          </cell>
          <cell r="C962" t="str">
            <v>25级运动训练班</v>
          </cell>
        </row>
        <row r="963">
          <cell r="A963" t="str">
            <v>费嘉齐</v>
          </cell>
          <cell r="B963" t="str">
            <v>25q770303015</v>
          </cell>
          <cell r="C963" t="str">
            <v>25级运动训练班</v>
          </cell>
        </row>
        <row r="964">
          <cell r="A964" t="str">
            <v>朱涛</v>
          </cell>
          <cell r="B964" t="str">
            <v>25q770303016</v>
          </cell>
          <cell r="C964" t="str">
            <v>25级运动训练班</v>
          </cell>
        </row>
        <row r="965">
          <cell r="A965" t="str">
            <v>周航宇</v>
          </cell>
          <cell r="B965" t="str">
            <v>25q770303020</v>
          </cell>
          <cell r="C965" t="str">
            <v>25级运动训练班</v>
          </cell>
        </row>
        <row r="966">
          <cell r="A966" t="str">
            <v>刘佳欣</v>
          </cell>
          <cell r="B966" t="str">
            <v>25q770303023</v>
          </cell>
          <cell r="C966" t="str">
            <v>25级运动训练班</v>
          </cell>
        </row>
        <row r="967">
          <cell r="A967" t="str">
            <v>邓会</v>
          </cell>
          <cell r="B967" t="str">
            <v>25q770303026</v>
          </cell>
          <cell r="C967" t="str">
            <v>25级运动训练班</v>
          </cell>
        </row>
        <row r="968">
          <cell r="A968" t="str">
            <v>骆思彤</v>
          </cell>
          <cell r="B968" t="str">
            <v>25q770303027</v>
          </cell>
          <cell r="C968" t="str">
            <v>25级运动训练班</v>
          </cell>
        </row>
        <row r="969">
          <cell r="A969" t="str">
            <v>黄阳瑞奇</v>
          </cell>
          <cell r="B969" t="str">
            <v>25q770303028</v>
          </cell>
          <cell r="C969" t="str">
            <v>25级运动训练班</v>
          </cell>
        </row>
        <row r="970">
          <cell r="A970" t="str">
            <v>徐嘉祺</v>
          </cell>
          <cell r="B970" t="str">
            <v>25q770303029</v>
          </cell>
          <cell r="C970" t="str">
            <v>25级运动训练班</v>
          </cell>
        </row>
        <row r="971">
          <cell r="A971" t="str">
            <v>张晨嘉</v>
          </cell>
          <cell r="B971" t="str">
            <v>25q770303030</v>
          </cell>
          <cell r="C971" t="str">
            <v>25级运动训练班</v>
          </cell>
        </row>
        <row r="972">
          <cell r="A972" t="str">
            <v>简程康</v>
          </cell>
          <cell r="B972" t="str">
            <v>25q770303031</v>
          </cell>
          <cell r="C972" t="str">
            <v>25级运动训练班</v>
          </cell>
        </row>
        <row r="973">
          <cell r="A973" t="str">
            <v>赵友暄</v>
          </cell>
          <cell r="B973" t="str">
            <v>25q770303032</v>
          </cell>
          <cell r="C973" t="str">
            <v>25级运动训练班</v>
          </cell>
        </row>
        <row r="974">
          <cell r="A974" t="str">
            <v>严曦晟</v>
          </cell>
          <cell r="B974" t="str">
            <v>25q770303033</v>
          </cell>
          <cell r="C974" t="str">
            <v>25级运动训练班</v>
          </cell>
        </row>
        <row r="975">
          <cell r="A975" t="str">
            <v>尹琴</v>
          </cell>
          <cell r="B975" t="str">
            <v>25q770303034</v>
          </cell>
          <cell r="C975" t="str">
            <v>25级运动训练班</v>
          </cell>
        </row>
        <row r="976">
          <cell r="A976" t="str">
            <v>王依然</v>
          </cell>
          <cell r="B976" t="str">
            <v>25q770303035</v>
          </cell>
          <cell r="C976" t="str">
            <v>25级运动训练班</v>
          </cell>
        </row>
        <row r="977">
          <cell r="A977" t="str">
            <v>陈孟依</v>
          </cell>
          <cell r="B977" t="str">
            <v>25q770303036</v>
          </cell>
          <cell r="C977" t="str">
            <v>25级运动训练班</v>
          </cell>
        </row>
        <row r="978">
          <cell r="A978" t="str">
            <v>陈诗杨</v>
          </cell>
          <cell r="B978" t="str">
            <v>25q770303037</v>
          </cell>
          <cell r="C978" t="str">
            <v>25级运动训练班</v>
          </cell>
        </row>
        <row r="979">
          <cell r="A979" t="str">
            <v>冯昕缘</v>
          </cell>
          <cell r="B979" t="str">
            <v>25q770303038</v>
          </cell>
          <cell r="C979" t="str">
            <v>25级运动训练班</v>
          </cell>
        </row>
        <row r="980">
          <cell r="A980" t="str">
            <v>赖骏东</v>
          </cell>
          <cell r="B980" t="str">
            <v>25q770303039</v>
          </cell>
          <cell r="C980" t="str">
            <v>25级运动训练班</v>
          </cell>
        </row>
        <row r="981">
          <cell r="A981" t="str">
            <v>彭楷博</v>
          </cell>
          <cell r="B981" t="str">
            <v>25q770303040</v>
          </cell>
          <cell r="C981" t="str">
            <v>25级运动训练班</v>
          </cell>
        </row>
        <row r="982">
          <cell r="A982" t="str">
            <v>代城语</v>
          </cell>
          <cell r="B982" t="str">
            <v>25q770303043</v>
          </cell>
          <cell r="C982" t="str">
            <v>25级运动训练班</v>
          </cell>
        </row>
        <row r="983">
          <cell r="A983" t="str">
            <v>余姚星</v>
          </cell>
          <cell r="B983" t="str">
            <v>25q770303044</v>
          </cell>
          <cell r="C983" t="str">
            <v>25级运动训练班</v>
          </cell>
        </row>
        <row r="984">
          <cell r="A984" t="str">
            <v>宋一鸣</v>
          </cell>
          <cell r="B984" t="str">
            <v>25q770303045</v>
          </cell>
          <cell r="C984" t="str">
            <v>25级运动训练班</v>
          </cell>
        </row>
        <row r="985">
          <cell r="A985" t="str">
            <v>徐文博</v>
          </cell>
          <cell r="B985" t="str">
            <v>25q770303046</v>
          </cell>
          <cell r="C985" t="str">
            <v>25级运动训练班</v>
          </cell>
        </row>
        <row r="986">
          <cell r="A986" t="str">
            <v>廖周玉</v>
          </cell>
          <cell r="B986" t="str">
            <v>25q770303047</v>
          </cell>
          <cell r="C986" t="str">
            <v>25级运动训练班</v>
          </cell>
        </row>
        <row r="987">
          <cell r="A987" t="str">
            <v>汪号博</v>
          </cell>
          <cell r="B987" t="str">
            <v>25q770303049</v>
          </cell>
          <cell r="C987" t="str">
            <v>25级运动训练班</v>
          </cell>
        </row>
        <row r="988">
          <cell r="A988" t="str">
            <v>童雨欢</v>
          </cell>
          <cell r="B988" t="str">
            <v>25q770303050</v>
          </cell>
          <cell r="C988" t="str">
            <v>25级运动训练班</v>
          </cell>
        </row>
        <row r="989">
          <cell r="A989" t="str">
            <v>郑文华</v>
          </cell>
          <cell r="B989" t="str">
            <v>25q770303051</v>
          </cell>
          <cell r="C989" t="str">
            <v>25级运动训练班</v>
          </cell>
        </row>
        <row r="990">
          <cell r="A990" t="str">
            <v>石宇墨</v>
          </cell>
          <cell r="B990" t="str">
            <v>25q770303052</v>
          </cell>
          <cell r="C990" t="str">
            <v>25级运动训练班</v>
          </cell>
        </row>
        <row r="991">
          <cell r="A991" t="str">
            <v>李枳伶</v>
          </cell>
          <cell r="B991" t="str">
            <v>25q770303053</v>
          </cell>
          <cell r="C991" t="str">
            <v>25级运动训练班</v>
          </cell>
        </row>
        <row r="992">
          <cell r="A992" t="str">
            <v>谢朋闰</v>
          </cell>
          <cell r="B992" t="str">
            <v>25q770303056</v>
          </cell>
          <cell r="C992" t="str">
            <v>25级运动训练班</v>
          </cell>
        </row>
        <row r="993">
          <cell r="A993" t="str">
            <v>刘一杭</v>
          </cell>
          <cell r="B993" t="str">
            <v>25q770303057</v>
          </cell>
          <cell r="C993" t="str">
            <v>25级运动训练班</v>
          </cell>
        </row>
        <row r="994">
          <cell r="A994" t="str">
            <v>江凯文</v>
          </cell>
          <cell r="B994" t="str">
            <v>25q770303059</v>
          </cell>
          <cell r="C994" t="str">
            <v>25级运动训练班</v>
          </cell>
        </row>
        <row r="995">
          <cell r="A995" t="str">
            <v>刘洪鑫</v>
          </cell>
          <cell r="B995" t="str">
            <v>25q770303060</v>
          </cell>
          <cell r="C995" t="str">
            <v>25级运动训练班</v>
          </cell>
        </row>
        <row r="996">
          <cell r="A996" t="str">
            <v>廖超俊</v>
          </cell>
          <cell r="B996" t="str">
            <v>25q770303023</v>
          </cell>
          <cell r="C996" t="str">
            <v>25级运动训练班</v>
          </cell>
        </row>
        <row r="997">
          <cell r="A997" t="str">
            <v>兰芸茜</v>
          </cell>
          <cell r="B997" t="str">
            <v>25q770303024</v>
          </cell>
          <cell r="C997" t="str">
            <v>25级运动训练班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0">
    <sheetNames>
      <sheetName val="在校生综合信息查询"/>
    </sheetNames>
    <sheetDataSet>
      <sheetData sheetId="0">
        <row r="2">
          <cell r="A2" t="str">
            <v>白敏株</v>
          </cell>
          <cell r="B2" t="str">
            <v>24q770101001</v>
          </cell>
        </row>
        <row r="3">
          <cell r="A3" t="str">
            <v>曾艾</v>
          </cell>
          <cell r="B3" t="str">
            <v>24q770101002</v>
          </cell>
        </row>
        <row r="4">
          <cell r="A4" t="str">
            <v>董瑞惜</v>
          </cell>
          <cell r="B4" t="str">
            <v>24q770101005</v>
          </cell>
        </row>
        <row r="5">
          <cell r="A5" t="str">
            <v>郭迎丽</v>
          </cell>
          <cell r="B5" t="str">
            <v>24q770101007</v>
          </cell>
        </row>
        <row r="6">
          <cell r="A6" t="str">
            <v>韩英姿</v>
          </cell>
          <cell r="B6" t="str">
            <v>24q770101008</v>
          </cell>
        </row>
        <row r="7">
          <cell r="A7" t="str">
            <v>何研汐</v>
          </cell>
          <cell r="B7" t="str">
            <v>24q770101009</v>
          </cell>
        </row>
        <row r="8">
          <cell r="A8" t="str">
            <v>胡梦涵</v>
          </cell>
          <cell r="B8" t="str">
            <v>24q770101010</v>
          </cell>
        </row>
        <row r="9">
          <cell r="A9" t="str">
            <v>雷语馨</v>
          </cell>
          <cell r="B9" t="str">
            <v>24q770101013</v>
          </cell>
        </row>
        <row r="10">
          <cell r="A10" t="str">
            <v>李兰</v>
          </cell>
          <cell r="B10" t="str">
            <v>24q770101014</v>
          </cell>
        </row>
        <row r="11">
          <cell r="A11" t="str">
            <v>李诗宇</v>
          </cell>
          <cell r="B11" t="str">
            <v>24q770101015</v>
          </cell>
        </row>
        <row r="12">
          <cell r="A12" t="str">
            <v>李施怡</v>
          </cell>
          <cell r="B12" t="str">
            <v>24q770101016</v>
          </cell>
        </row>
        <row r="13">
          <cell r="A13" t="str">
            <v>李思源</v>
          </cell>
          <cell r="B13" t="str">
            <v>24q770101017</v>
          </cell>
        </row>
        <row r="14">
          <cell r="A14" t="str">
            <v>李小忆</v>
          </cell>
          <cell r="B14" t="str">
            <v>24q770101019</v>
          </cell>
        </row>
        <row r="15">
          <cell r="A15" t="str">
            <v>李欣怡</v>
          </cell>
          <cell r="B15" t="str">
            <v>24q770101020</v>
          </cell>
        </row>
        <row r="16">
          <cell r="A16" t="str">
            <v>刘俟滟</v>
          </cell>
          <cell r="B16" t="str">
            <v>24q770101024</v>
          </cell>
        </row>
        <row r="17">
          <cell r="A17" t="str">
            <v>刘思语</v>
          </cell>
          <cell r="B17" t="str">
            <v>24q770101025</v>
          </cell>
        </row>
        <row r="18">
          <cell r="A18" t="str">
            <v>聂鲜敏</v>
          </cell>
          <cell r="B18" t="str">
            <v>24q770101027</v>
          </cell>
        </row>
        <row r="19">
          <cell r="A19" t="str">
            <v>彭晴雨</v>
          </cell>
          <cell r="B19" t="str">
            <v>24q770101028</v>
          </cell>
        </row>
        <row r="20">
          <cell r="A20" t="str">
            <v>阮亚平</v>
          </cell>
          <cell r="B20" t="str">
            <v>24q770101030</v>
          </cell>
        </row>
        <row r="21">
          <cell r="A21" t="str">
            <v>田雅欣</v>
          </cell>
          <cell r="B21" t="str">
            <v>24q770101032</v>
          </cell>
        </row>
        <row r="22">
          <cell r="A22" t="str">
            <v>万慧欣</v>
          </cell>
          <cell r="B22" t="str">
            <v>24q770101033</v>
          </cell>
        </row>
        <row r="23">
          <cell r="A23" t="str">
            <v>王榕</v>
          </cell>
          <cell r="B23" t="str">
            <v>24q770101034</v>
          </cell>
        </row>
        <row r="24">
          <cell r="A24" t="str">
            <v>王雨蝶</v>
          </cell>
          <cell r="B24" t="str">
            <v>24q770101035</v>
          </cell>
        </row>
        <row r="25">
          <cell r="A25" t="str">
            <v>徐梦婷</v>
          </cell>
          <cell r="B25" t="str">
            <v>24q770101040</v>
          </cell>
        </row>
        <row r="26">
          <cell r="A26" t="str">
            <v>徐文姣</v>
          </cell>
          <cell r="B26" t="str">
            <v>24q770101041</v>
          </cell>
        </row>
        <row r="27">
          <cell r="A27" t="str">
            <v>杨智慧</v>
          </cell>
          <cell r="B27" t="str">
            <v>24q770101045</v>
          </cell>
        </row>
        <row r="28">
          <cell r="A28" t="str">
            <v>姚菲</v>
          </cell>
          <cell r="B28" t="str">
            <v>24q770101046</v>
          </cell>
        </row>
        <row r="29">
          <cell r="A29" t="str">
            <v>尹奥运</v>
          </cell>
          <cell r="B29" t="str">
            <v>24q770101047</v>
          </cell>
        </row>
        <row r="30">
          <cell r="A30" t="str">
            <v>游茗萱</v>
          </cell>
          <cell r="B30" t="str">
            <v>24q770101048</v>
          </cell>
        </row>
        <row r="31">
          <cell r="A31" t="str">
            <v>余涵</v>
          </cell>
          <cell r="B31" t="str">
            <v>24q770101049</v>
          </cell>
        </row>
        <row r="32">
          <cell r="A32" t="str">
            <v>袁若雪</v>
          </cell>
          <cell r="B32" t="str">
            <v>24q770101050</v>
          </cell>
        </row>
        <row r="33">
          <cell r="A33" t="str">
            <v>钟佳欣</v>
          </cell>
          <cell r="B33" t="str">
            <v>24q770101052</v>
          </cell>
        </row>
        <row r="34">
          <cell r="A34" t="str">
            <v>祝洪霞</v>
          </cell>
          <cell r="B34" t="str">
            <v>24q770101053</v>
          </cell>
        </row>
        <row r="35">
          <cell r="A35" t="str">
            <v>李康鑫</v>
          </cell>
          <cell r="B35" t="str">
            <v>24q71010328614</v>
          </cell>
        </row>
        <row r="36">
          <cell r="A36" t="str">
            <v>李晓莉</v>
          </cell>
          <cell r="B36" t="str">
            <v>24q71010328615</v>
          </cell>
        </row>
        <row r="37">
          <cell r="A37" t="str">
            <v>王怡欢</v>
          </cell>
          <cell r="B37" t="str">
            <v>24q770101096</v>
          </cell>
        </row>
        <row r="38">
          <cell r="A38" t="str">
            <v>范依然</v>
          </cell>
          <cell r="B38" t="str">
            <v>24q770303006</v>
          </cell>
        </row>
        <row r="39">
          <cell r="A39" t="str">
            <v>唐紫依</v>
          </cell>
          <cell r="B39" t="str">
            <v>24q71010328617</v>
          </cell>
        </row>
        <row r="40">
          <cell r="A40" t="str">
            <v>何燕芳</v>
          </cell>
          <cell r="B40" t="str">
            <v>5107424270623</v>
          </cell>
        </row>
        <row r="41">
          <cell r="A41" t="str">
            <v>宋诗雨</v>
          </cell>
          <cell r="B41" t="str">
            <v>20240611</v>
          </cell>
        </row>
        <row r="42">
          <cell r="A42" t="str">
            <v>胡艳莉</v>
          </cell>
          <cell r="B42" t="str">
            <v>24q770101079</v>
          </cell>
          <cell r="C42" t="str">
            <v>24级保育2班(本方)</v>
          </cell>
        </row>
        <row r="43">
          <cell r="A43" t="str">
            <v>周梦婷</v>
          </cell>
          <cell r="B43" t="str">
            <v>24q770101107</v>
          </cell>
          <cell r="C43" t="str">
            <v>24级保育2班(本方)</v>
          </cell>
        </row>
        <row r="44">
          <cell r="A44" t="str">
            <v>王诗琪</v>
          </cell>
          <cell r="B44" t="str">
            <v>24q7701010721</v>
          </cell>
          <cell r="C44" t="str">
            <v>24级保育2班(本方)</v>
          </cell>
        </row>
        <row r="45">
          <cell r="A45" t="str">
            <v>陈龚燕</v>
          </cell>
          <cell r="B45" t="str">
            <v>24q770101073</v>
          </cell>
          <cell r="C45" t="str">
            <v>24级保育2班(本方)</v>
          </cell>
        </row>
        <row r="46">
          <cell r="A46" t="str">
            <v>陈梦玲</v>
          </cell>
          <cell r="B46" t="str">
            <v>24q770101074</v>
          </cell>
          <cell r="C46" t="str">
            <v>24级保育2班(本方)</v>
          </cell>
        </row>
        <row r="47">
          <cell r="A47" t="str">
            <v>丁茂梅</v>
          </cell>
          <cell r="B47" t="str">
            <v>24q770101075</v>
          </cell>
          <cell r="C47" t="str">
            <v>24级保育2班(本方)</v>
          </cell>
        </row>
        <row r="48">
          <cell r="A48" t="str">
            <v>龚星榕</v>
          </cell>
          <cell r="B48" t="str">
            <v>24q770101076</v>
          </cell>
          <cell r="C48" t="str">
            <v>24级保育2班(本方)</v>
          </cell>
        </row>
        <row r="49">
          <cell r="A49" t="str">
            <v>黄珂馨</v>
          </cell>
          <cell r="B49" t="str">
            <v>24q770101080</v>
          </cell>
          <cell r="C49" t="str">
            <v>24级保育2班(本方)</v>
          </cell>
        </row>
        <row r="50">
          <cell r="A50" t="str">
            <v>江葛蓉</v>
          </cell>
          <cell r="B50" t="str">
            <v>24q770101081</v>
          </cell>
          <cell r="C50" t="str">
            <v>24级保育2班(本方)</v>
          </cell>
        </row>
        <row r="51">
          <cell r="A51" t="str">
            <v>姜晓薇</v>
          </cell>
          <cell r="B51" t="str">
            <v>24q770101082</v>
          </cell>
          <cell r="C51" t="str">
            <v>24级保育2班(本方)</v>
          </cell>
        </row>
        <row r="52">
          <cell r="A52" t="str">
            <v>金云霞</v>
          </cell>
          <cell r="B52" t="str">
            <v>24q770101083</v>
          </cell>
          <cell r="C52" t="str">
            <v>24级保育2班(本方)</v>
          </cell>
        </row>
        <row r="53">
          <cell r="A53" t="str">
            <v>李娇娇</v>
          </cell>
          <cell r="B53" t="str">
            <v>24q770101084</v>
          </cell>
          <cell r="C53" t="str">
            <v>24级保育2班(本方)</v>
          </cell>
        </row>
        <row r="54">
          <cell r="A54" t="str">
            <v>李美婷</v>
          </cell>
          <cell r="B54" t="str">
            <v>24q770101085</v>
          </cell>
          <cell r="C54" t="str">
            <v>24级保育2班(本方)</v>
          </cell>
        </row>
        <row r="55">
          <cell r="A55" t="str">
            <v>李依萱</v>
          </cell>
          <cell r="B55" t="str">
            <v>24q770101086</v>
          </cell>
          <cell r="C55" t="str">
            <v>24级保育2班(本方)</v>
          </cell>
        </row>
        <row r="56">
          <cell r="A56" t="str">
            <v>李紫菡</v>
          </cell>
          <cell r="B56" t="str">
            <v>24q770101088</v>
          </cell>
          <cell r="C56" t="str">
            <v>24级保育2班(本方)</v>
          </cell>
        </row>
        <row r="57">
          <cell r="A57" t="str">
            <v>刘彩利</v>
          </cell>
          <cell r="B57" t="str">
            <v>24q770101089</v>
          </cell>
          <cell r="C57" t="str">
            <v>24级保育2班(本方)</v>
          </cell>
        </row>
        <row r="58">
          <cell r="A58" t="str">
            <v>罗依频</v>
          </cell>
          <cell r="B58" t="str">
            <v>24q770101090</v>
          </cell>
          <cell r="C58" t="str">
            <v>24级保育2班(本方)</v>
          </cell>
        </row>
        <row r="59">
          <cell r="A59" t="str">
            <v>邱满丽</v>
          </cell>
          <cell r="B59" t="str">
            <v>24q770101091</v>
          </cell>
          <cell r="C59" t="str">
            <v>24级保育2班(本方)</v>
          </cell>
        </row>
        <row r="60">
          <cell r="A60" t="str">
            <v>王思雨</v>
          </cell>
          <cell r="B60" t="str">
            <v>24q770101092</v>
          </cell>
          <cell r="C60" t="str">
            <v>24级保育2班(本方)</v>
          </cell>
        </row>
        <row r="61">
          <cell r="A61" t="str">
            <v>王涛</v>
          </cell>
          <cell r="B61" t="str">
            <v>24q770101093</v>
          </cell>
          <cell r="C61" t="str">
            <v>24级保育2班(本方)</v>
          </cell>
        </row>
        <row r="62">
          <cell r="A62" t="str">
            <v>王忻宜</v>
          </cell>
          <cell r="B62" t="str">
            <v>24q770101094</v>
          </cell>
          <cell r="C62" t="str">
            <v>24级保育2班(本方)</v>
          </cell>
        </row>
        <row r="63">
          <cell r="A63" t="str">
            <v>王欣怡</v>
          </cell>
          <cell r="B63" t="str">
            <v>24q770101095</v>
          </cell>
          <cell r="C63" t="str">
            <v>24级保育2班(本方)</v>
          </cell>
        </row>
        <row r="64">
          <cell r="A64" t="str">
            <v>夏铃舒</v>
          </cell>
          <cell r="B64" t="str">
            <v>24q770101097</v>
          </cell>
          <cell r="C64" t="str">
            <v>24级保育2班(本方)</v>
          </cell>
        </row>
        <row r="65">
          <cell r="A65" t="str">
            <v>徐刘锦</v>
          </cell>
          <cell r="B65" t="str">
            <v>24q770101099</v>
          </cell>
          <cell r="C65" t="str">
            <v>24级保育2班(本方)</v>
          </cell>
        </row>
        <row r="66">
          <cell r="A66" t="str">
            <v>殷媛</v>
          </cell>
          <cell r="B66" t="str">
            <v>24q770101100</v>
          </cell>
          <cell r="C66" t="str">
            <v>24级保育2班(本方)</v>
          </cell>
        </row>
        <row r="67">
          <cell r="A67" t="str">
            <v>余诗琪</v>
          </cell>
          <cell r="B67" t="str">
            <v>24q770101101</v>
          </cell>
          <cell r="C67" t="str">
            <v>24级保育2班(本方)</v>
          </cell>
        </row>
        <row r="68">
          <cell r="A68" t="str">
            <v>袁慈恩</v>
          </cell>
          <cell r="B68" t="str">
            <v>24q770101102</v>
          </cell>
          <cell r="C68" t="str">
            <v>24级保育2班(本方)</v>
          </cell>
        </row>
        <row r="69">
          <cell r="A69" t="str">
            <v>张宁</v>
          </cell>
          <cell r="B69" t="str">
            <v>24q770101103</v>
          </cell>
          <cell r="C69" t="str">
            <v>24级保育2班(本方)</v>
          </cell>
        </row>
        <row r="70">
          <cell r="A70" t="str">
            <v>张欣怡</v>
          </cell>
          <cell r="B70" t="str">
            <v>24q770101104</v>
          </cell>
          <cell r="C70" t="str">
            <v>24级保育2班(本方)</v>
          </cell>
        </row>
        <row r="71">
          <cell r="A71" t="str">
            <v>张雅莉</v>
          </cell>
          <cell r="B71" t="str">
            <v>24q770101105</v>
          </cell>
          <cell r="C71" t="str">
            <v>24级保育2班(本方)</v>
          </cell>
        </row>
        <row r="72">
          <cell r="A72" t="str">
            <v>赵玺媛</v>
          </cell>
          <cell r="B72" t="str">
            <v>24q770101106</v>
          </cell>
          <cell r="C72" t="str">
            <v>24级保育2班(本方)</v>
          </cell>
        </row>
        <row r="73">
          <cell r="A73" t="str">
            <v>宋恩琪</v>
          </cell>
          <cell r="B73" t="str">
            <v>20240808</v>
          </cell>
          <cell r="C73" t="str">
            <v>24级保育2班(本方)</v>
          </cell>
        </row>
        <row r="74">
          <cell r="A74" t="str">
            <v>曾攀文</v>
          </cell>
          <cell r="B74" t="str">
            <v>24q740105001</v>
          </cell>
          <cell r="C74" t="str">
            <v>24级茶艺班</v>
          </cell>
        </row>
        <row r="75">
          <cell r="A75" t="str">
            <v>陈思凌</v>
          </cell>
          <cell r="B75" t="str">
            <v>24q740105002</v>
          </cell>
          <cell r="C75" t="str">
            <v>24级茶艺班</v>
          </cell>
        </row>
        <row r="76">
          <cell r="A76" t="str">
            <v>成思琦</v>
          </cell>
          <cell r="B76" t="str">
            <v>24q740105003</v>
          </cell>
          <cell r="C76" t="str">
            <v>24级茶艺班</v>
          </cell>
        </row>
        <row r="77">
          <cell r="A77" t="str">
            <v>代思语</v>
          </cell>
          <cell r="B77" t="str">
            <v>24q740105004</v>
          </cell>
          <cell r="C77" t="str">
            <v>24级茶艺班</v>
          </cell>
        </row>
        <row r="78">
          <cell r="A78" t="str">
            <v>甘熙雅</v>
          </cell>
          <cell r="B78" t="str">
            <v>24q740105006</v>
          </cell>
          <cell r="C78" t="str">
            <v>24级茶艺班</v>
          </cell>
        </row>
        <row r="79">
          <cell r="A79" t="str">
            <v>雷蕾</v>
          </cell>
          <cell r="B79" t="str">
            <v>24q740105008</v>
          </cell>
          <cell r="C79" t="str">
            <v>24级茶艺班</v>
          </cell>
        </row>
        <row r="80">
          <cell r="A80" t="str">
            <v>李思晨</v>
          </cell>
          <cell r="B80" t="str">
            <v>24q740105010</v>
          </cell>
          <cell r="C80" t="str">
            <v>24级茶艺班</v>
          </cell>
        </row>
        <row r="81">
          <cell r="A81" t="str">
            <v>吕佳芮</v>
          </cell>
          <cell r="B81" t="str">
            <v>24q740105011</v>
          </cell>
          <cell r="C81" t="str">
            <v>24级茶艺班</v>
          </cell>
        </row>
        <row r="82">
          <cell r="A82" t="str">
            <v>徐梦馨</v>
          </cell>
          <cell r="B82" t="str">
            <v>24q740105014</v>
          </cell>
          <cell r="C82" t="str">
            <v>24级茶艺班</v>
          </cell>
        </row>
        <row r="83">
          <cell r="A83" t="str">
            <v>杨婷婷</v>
          </cell>
          <cell r="B83" t="str">
            <v>24q740105015</v>
          </cell>
          <cell r="C83" t="str">
            <v>24级茶艺班</v>
          </cell>
        </row>
        <row r="84">
          <cell r="A84" t="str">
            <v>杨轩颖</v>
          </cell>
          <cell r="B84" t="str">
            <v>24q740105016</v>
          </cell>
          <cell r="C84" t="str">
            <v>24级茶艺班</v>
          </cell>
        </row>
        <row r="85">
          <cell r="A85" t="str">
            <v>袁敏</v>
          </cell>
          <cell r="B85" t="str">
            <v>24q740105017</v>
          </cell>
          <cell r="C85" t="str">
            <v>24级茶艺班</v>
          </cell>
        </row>
        <row r="86">
          <cell r="A86" t="str">
            <v>袁欣</v>
          </cell>
          <cell r="B86" t="str">
            <v>24q740105018</v>
          </cell>
          <cell r="C86" t="str">
            <v>24级茶艺班</v>
          </cell>
        </row>
        <row r="87">
          <cell r="A87" t="str">
            <v>张词</v>
          </cell>
          <cell r="B87" t="str">
            <v>24q740105019</v>
          </cell>
          <cell r="C87" t="str">
            <v>24级茶艺班</v>
          </cell>
        </row>
        <row r="88">
          <cell r="A88" t="str">
            <v>谭歆杭</v>
          </cell>
          <cell r="B88" t="str">
            <v>24q710103297</v>
          </cell>
          <cell r="C88" t="str">
            <v>24级电子(国防特色)班</v>
          </cell>
        </row>
        <row r="89">
          <cell r="A89" t="str">
            <v>杨杰</v>
          </cell>
          <cell r="B89" t="str">
            <v>24q710103318</v>
          </cell>
          <cell r="C89" t="str">
            <v>24级电子(国防特色)班</v>
          </cell>
        </row>
        <row r="90">
          <cell r="A90" t="str">
            <v>彭嘉乐</v>
          </cell>
          <cell r="B90" t="str">
            <v>24q710103366</v>
          </cell>
          <cell r="C90" t="str">
            <v>24级电子(国防特色)班</v>
          </cell>
        </row>
        <row r="91">
          <cell r="A91" t="str">
            <v>吴天宇</v>
          </cell>
          <cell r="B91" t="str">
            <v>24q710103378</v>
          </cell>
          <cell r="C91" t="str">
            <v>24级电子(国防特色)班</v>
          </cell>
        </row>
        <row r="92">
          <cell r="A92" t="str">
            <v>赵家林</v>
          </cell>
          <cell r="B92" t="str">
            <v>24q710103392</v>
          </cell>
          <cell r="C92" t="str">
            <v>24级电子(国防特色)班</v>
          </cell>
        </row>
        <row r="93">
          <cell r="A93" t="str">
            <v>曹正锋</v>
          </cell>
          <cell r="B93" t="str">
            <v>24q710103352</v>
          </cell>
          <cell r="C93" t="str">
            <v>24级电子(国防特色)班</v>
          </cell>
        </row>
        <row r="94">
          <cell r="A94" t="str">
            <v>陈灏龄</v>
          </cell>
          <cell r="B94" t="str">
            <v>24q710103353</v>
          </cell>
          <cell r="C94" t="str">
            <v>24级电子(国防特色)班</v>
          </cell>
        </row>
        <row r="95">
          <cell r="A95" t="str">
            <v>陈天宇</v>
          </cell>
          <cell r="B95" t="str">
            <v>24q710103354</v>
          </cell>
          <cell r="C95" t="str">
            <v>24级电子(国防特色)班</v>
          </cell>
        </row>
        <row r="96">
          <cell r="A96" t="str">
            <v>陈志鸿</v>
          </cell>
          <cell r="B96" t="str">
            <v>24q710103355</v>
          </cell>
          <cell r="C96" t="str">
            <v>24级电子(国防特色)班</v>
          </cell>
        </row>
        <row r="97">
          <cell r="A97" t="str">
            <v>费和森</v>
          </cell>
          <cell r="B97" t="str">
            <v>24q710103356</v>
          </cell>
          <cell r="C97" t="str">
            <v>24级电子(国防特色)班</v>
          </cell>
        </row>
        <row r="98">
          <cell r="A98" t="str">
            <v>胡滔锦</v>
          </cell>
          <cell r="B98" t="str">
            <v>24q710103357</v>
          </cell>
          <cell r="C98" t="str">
            <v>24级电子(国防特色)班</v>
          </cell>
        </row>
        <row r="99">
          <cell r="A99" t="str">
            <v>黄豫坤</v>
          </cell>
          <cell r="B99" t="str">
            <v>24q710103358</v>
          </cell>
          <cell r="C99" t="str">
            <v>24级电子(国防特色)班</v>
          </cell>
        </row>
        <row r="100">
          <cell r="A100" t="str">
            <v>李昕洁</v>
          </cell>
          <cell r="B100" t="str">
            <v>24q710103359</v>
          </cell>
          <cell r="C100" t="str">
            <v>24级电子(国防特色)班</v>
          </cell>
        </row>
        <row r="101">
          <cell r="A101" t="str">
            <v>刘震</v>
          </cell>
          <cell r="B101" t="str">
            <v>24q710103361</v>
          </cell>
          <cell r="C101" t="str">
            <v>24级电子(国防特色)班</v>
          </cell>
        </row>
        <row r="102">
          <cell r="A102" t="str">
            <v>罗红</v>
          </cell>
          <cell r="B102" t="str">
            <v>24q710103362</v>
          </cell>
          <cell r="C102" t="str">
            <v>24级电子(国防特色)班</v>
          </cell>
        </row>
        <row r="103">
          <cell r="A103" t="str">
            <v>罗意</v>
          </cell>
          <cell r="B103" t="str">
            <v>24q710103363</v>
          </cell>
          <cell r="C103" t="str">
            <v>24级电子(国防特色)班</v>
          </cell>
        </row>
        <row r="104">
          <cell r="A104" t="str">
            <v>骆华强</v>
          </cell>
          <cell r="B104" t="str">
            <v>24q710103364</v>
          </cell>
          <cell r="C104" t="str">
            <v>24级电子(国防特色)班</v>
          </cell>
        </row>
        <row r="105">
          <cell r="A105" t="str">
            <v>欧罗靖</v>
          </cell>
          <cell r="B105" t="str">
            <v>24q710103365</v>
          </cell>
          <cell r="C105" t="str">
            <v>24级电子(国防特色)班</v>
          </cell>
        </row>
        <row r="106">
          <cell r="A106" t="str">
            <v>邱韦豪</v>
          </cell>
          <cell r="B106" t="str">
            <v>24q710103367</v>
          </cell>
          <cell r="C106" t="str">
            <v>24级电子(国防特色)班</v>
          </cell>
        </row>
        <row r="107">
          <cell r="A107" t="str">
            <v>沈宇恒</v>
          </cell>
          <cell r="B107" t="str">
            <v>24q710103369</v>
          </cell>
          <cell r="C107" t="str">
            <v>24级电子(国防特色)班</v>
          </cell>
        </row>
        <row r="108">
          <cell r="A108" t="str">
            <v>沈智</v>
          </cell>
          <cell r="B108" t="str">
            <v>24q710103370</v>
          </cell>
          <cell r="C108" t="str">
            <v>24级电子(国防特色)班</v>
          </cell>
        </row>
        <row r="109">
          <cell r="A109" t="str">
            <v>王金鑫</v>
          </cell>
          <cell r="B109" t="str">
            <v>24q710103372</v>
          </cell>
          <cell r="C109" t="str">
            <v>24级电子(国防特色)班</v>
          </cell>
        </row>
        <row r="110">
          <cell r="A110" t="str">
            <v>王午洋</v>
          </cell>
          <cell r="B110" t="str">
            <v>24q710103373</v>
          </cell>
          <cell r="C110" t="str">
            <v>24级电子(国防特色)班</v>
          </cell>
        </row>
        <row r="111">
          <cell r="A111" t="str">
            <v>魏熙恒</v>
          </cell>
          <cell r="B111" t="str">
            <v>24q710103374</v>
          </cell>
          <cell r="C111" t="str">
            <v>24级电子(国防特色)班</v>
          </cell>
        </row>
        <row r="112">
          <cell r="A112" t="str">
            <v>魏鑫</v>
          </cell>
          <cell r="B112" t="str">
            <v>24q710103375</v>
          </cell>
          <cell r="C112" t="str">
            <v>24级电子(国防特色)班</v>
          </cell>
        </row>
        <row r="113">
          <cell r="A113" t="str">
            <v>文陈浩</v>
          </cell>
          <cell r="B113" t="str">
            <v>24q710103376</v>
          </cell>
          <cell r="C113" t="str">
            <v>24级电子(国防特色)班</v>
          </cell>
        </row>
        <row r="114">
          <cell r="A114" t="str">
            <v>吴涛</v>
          </cell>
          <cell r="B114" t="str">
            <v>24q710103377</v>
          </cell>
          <cell r="C114" t="str">
            <v>24级电子(国防特色)班</v>
          </cell>
        </row>
        <row r="115">
          <cell r="A115" t="str">
            <v>伍浩阳</v>
          </cell>
          <cell r="B115" t="str">
            <v>24q710103379</v>
          </cell>
          <cell r="C115" t="str">
            <v>24级电子(国防特色)班</v>
          </cell>
        </row>
        <row r="116">
          <cell r="A116" t="str">
            <v>谢宇航</v>
          </cell>
          <cell r="B116" t="str">
            <v>24q710103380</v>
          </cell>
          <cell r="C116" t="str">
            <v>24级电子(国防特色)班</v>
          </cell>
        </row>
        <row r="117">
          <cell r="A117" t="str">
            <v>熊俊熙</v>
          </cell>
          <cell r="B117" t="str">
            <v>24q710103381</v>
          </cell>
          <cell r="C117" t="str">
            <v>24级电子(国防特色)班</v>
          </cell>
        </row>
        <row r="118">
          <cell r="A118" t="str">
            <v>许四海</v>
          </cell>
          <cell r="B118" t="str">
            <v>24q710103382</v>
          </cell>
          <cell r="C118" t="str">
            <v>24级电子(国防特色)班</v>
          </cell>
        </row>
        <row r="119">
          <cell r="A119" t="str">
            <v>杨家兴</v>
          </cell>
          <cell r="B119" t="str">
            <v>24q710103383</v>
          </cell>
          <cell r="C119" t="str">
            <v>24级电子(国防特色)班</v>
          </cell>
        </row>
        <row r="120">
          <cell r="A120" t="str">
            <v>尤忠林</v>
          </cell>
          <cell r="B120" t="str">
            <v>24q710103384</v>
          </cell>
          <cell r="C120" t="str">
            <v>24级电子(国防特色)班</v>
          </cell>
        </row>
        <row r="121">
          <cell r="A121" t="str">
            <v>余嘉新</v>
          </cell>
          <cell r="B121" t="str">
            <v>24q710103385</v>
          </cell>
          <cell r="C121" t="str">
            <v>24级电子(国防特色)班</v>
          </cell>
        </row>
        <row r="122">
          <cell r="A122" t="str">
            <v>余有林</v>
          </cell>
          <cell r="B122" t="str">
            <v>24q710103386</v>
          </cell>
          <cell r="C122" t="str">
            <v>24级电子(国防特色)班</v>
          </cell>
        </row>
        <row r="123">
          <cell r="A123" t="str">
            <v>袁炜翔</v>
          </cell>
          <cell r="B123" t="str">
            <v>24q710103387</v>
          </cell>
          <cell r="C123" t="str">
            <v>24级电子(国防特色)班</v>
          </cell>
        </row>
        <row r="124">
          <cell r="A124" t="str">
            <v>张陈坤</v>
          </cell>
          <cell r="B124" t="str">
            <v>24q710103388</v>
          </cell>
          <cell r="C124" t="str">
            <v>24级电子(国防特色)班</v>
          </cell>
        </row>
        <row r="125">
          <cell r="A125" t="str">
            <v>张丁</v>
          </cell>
          <cell r="B125" t="str">
            <v>24q710103389</v>
          </cell>
          <cell r="C125" t="str">
            <v>24级电子(国防特色)班</v>
          </cell>
        </row>
        <row r="126">
          <cell r="A126" t="str">
            <v>张奇恒</v>
          </cell>
          <cell r="B126" t="str">
            <v>24q710103390</v>
          </cell>
          <cell r="C126" t="str">
            <v>24级电子(国防特色)班</v>
          </cell>
        </row>
        <row r="127">
          <cell r="A127" t="str">
            <v>章健</v>
          </cell>
          <cell r="B127" t="str">
            <v>24q710103391</v>
          </cell>
          <cell r="C127" t="str">
            <v>24级电子(国防特色)班</v>
          </cell>
        </row>
        <row r="128">
          <cell r="A128" t="str">
            <v>邹可凡</v>
          </cell>
          <cell r="B128" t="str">
            <v>24q710103394</v>
          </cell>
          <cell r="C128" t="str">
            <v>24级电子(国防特色)班</v>
          </cell>
        </row>
        <row r="129">
          <cell r="A129" t="str">
            <v>王博</v>
          </cell>
          <cell r="B129" t="str">
            <v>24q710103228</v>
          </cell>
          <cell r="C129" t="str">
            <v>24级电子(国防特色)班</v>
          </cell>
        </row>
        <row r="130">
          <cell r="A130" t="str">
            <v>伍俊义</v>
          </cell>
          <cell r="B130" t="str">
            <v>5127424270247</v>
          </cell>
          <cell r="C130" t="str">
            <v>24级电子(国防特色)班</v>
          </cell>
        </row>
        <row r="131">
          <cell r="A131" t="str">
            <v>黄木</v>
          </cell>
          <cell r="B131" t="str">
            <v>24q710103844</v>
          </cell>
          <cell r="C131" t="str">
            <v>24级电子(国防特色)班</v>
          </cell>
        </row>
        <row r="132">
          <cell r="A132" t="str">
            <v>申黎轩</v>
          </cell>
          <cell r="B132" t="str">
            <v>24q710103288</v>
          </cell>
          <cell r="C132" t="str">
            <v>24级电子1班</v>
          </cell>
        </row>
        <row r="133">
          <cell r="A133" t="str">
            <v>谢懿</v>
          </cell>
          <cell r="B133" t="str">
            <v>24q710103313</v>
          </cell>
          <cell r="C133" t="str">
            <v>24级电子1班</v>
          </cell>
        </row>
        <row r="134">
          <cell r="A134" t="str">
            <v>白松鹭</v>
          </cell>
          <cell r="B134" t="str">
            <v>24q660103141</v>
          </cell>
          <cell r="C134" t="str">
            <v>24级电子1班</v>
          </cell>
        </row>
        <row r="135">
          <cell r="A135" t="str">
            <v>谭奥宇</v>
          </cell>
          <cell r="B135" t="str">
            <v>24q710103220</v>
          </cell>
          <cell r="C135" t="str">
            <v>24级电子1班</v>
          </cell>
        </row>
        <row r="136">
          <cell r="A136" t="str">
            <v>曹可扬</v>
          </cell>
          <cell r="B136" t="str">
            <v>24q710103121</v>
          </cell>
          <cell r="C136" t="str">
            <v>24级电子1班</v>
          </cell>
        </row>
        <row r="137">
          <cell r="A137" t="str">
            <v>丁锦瑞</v>
          </cell>
          <cell r="B137" t="str">
            <v>24q710103131</v>
          </cell>
          <cell r="C137" t="str">
            <v>24级电子1班</v>
          </cell>
        </row>
        <row r="138">
          <cell r="A138" t="str">
            <v>黄致智</v>
          </cell>
          <cell r="B138" t="str">
            <v>24q710103151</v>
          </cell>
          <cell r="C138" t="str">
            <v>24级电子1班</v>
          </cell>
        </row>
        <row r="139">
          <cell r="A139" t="str">
            <v>张嘉凌</v>
          </cell>
          <cell r="B139" t="str">
            <v>24q7101032890</v>
          </cell>
          <cell r="C139" t="str">
            <v>24级电子1班</v>
          </cell>
        </row>
        <row r="140">
          <cell r="A140" t="str">
            <v>徐金洋</v>
          </cell>
          <cell r="B140" t="str">
            <v>24q7101032107</v>
          </cell>
          <cell r="C140" t="str">
            <v>24级电子1班</v>
          </cell>
        </row>
        <row r="141">
          <cell r="A141" t="str">
            <v>白如鑫</v>
          </cell>
          <cell r="B141" t="str">
            <v>24q710103002</v>
          </cell>
          <cell r="C141" t="str">
            <v>24级电子1班</v>
          </cell>
        </row>
        <row r="142">
          <cell r="A142" t="str">
            <v>白王田</v>
          </cell>
          <cell r="B142" t="str">
            <v>24q710103003</v>
          </cell>
          <cell r="C142" t="str">
            <v>24级电子1班</v>
          </cell>
        </row>
        <row r="143">
          <cell r="A143" t="str">
            <v>白子轩</v>
          </cell>
          <cell r="B143" t="str">
            <v>24q710103004</v>
          </cell>
          <cell r="C143" t="str">
            <v>24级电子1班</v>
          </cell>
        </row>
        <row r="144">
          <cell r="A144" t="str">
            <v>曹淳封</v>
          </cell>
          <cell r="B144" t="str">
            <v>24q710103005</v>
          </cell>
          <cell r="C144" t="str">
            <v>24级电子1班</v>
          </cell>
        </row>
        <row r="145">
          <cell r="A145" t="str">
            <v>曹荣涵</v>
          </cell>
          <cell r="B145" t="str">
            <v>24q710103007</v>
          </cell>
          <cell r="C145" t="str">
            <v>24级电子1班</v>
          </cell>
        </row>
        <row r="146">
          <cell r="A146" t="str">
            <v>曹洋浩</v>
          </cell>
          <cell r="B146" t="str">
            <v>24q710103008</v>
          </cell>
          <cell r="C146" t="str">
            <v>24级电子1班</v>
          </cell>
        </row>
        <row r="147">
          <cell r="A147" t="str">
            <v>曾宇晨</v>
          </cell>
          <cell r="B147" t="str">
            <v>24q710103009</v>
          </cell>
          <cell r="C147" t="str">
            <v>24级电子1班</v>
          </cell>
        </row>
        <row r="148">
          <cell r="A148" t="str">
            <v>陈鹤云</v>
          </cell>
          <cell r="B148" t="str">
            <v>24q710103010</v>
          </cell>
          <cell r="C148" t="str">
            <v>24级电子1班</v>
          </cell>
        </row>
        <row r="149">
          <cell r="A149" t="str">
            <v>陈世文</v>
          </cell>
          <cell r="B149" t="str">
            <v>24q710103011</v>
          </cell>
          <cell r="C149" t="str">
            <v>24级电子1班</v>
          </cell>
        </row>
        <row r="150">
          <cell r="A150" t="str">
            <v>陈雅心</v>
          </cell>
          <cell r="B150" t="str">
            <v>24q710103012</v>
          </cell>
          <cell r="C150" t="str">
            <v>24级电子1班</v>
          </cell>
        </row>
        <row r="151">
          <cell r="A151" t="str">
            <v>陈宇豪</v>
          </cell>
          <cell r="B151" t="str">
            <v>24q710103013</v>
          </cell>
          <cell r="C151" t="str">
            <v>24级电子1班</v>
          </cell>
        </row>
        <row r="152">
          <cell r="A152" t="str">
            <v>陈雨馨</v>
          </cell>
          <cell r="B152" t="str">
            <v>24q710103015</v>
          </cell>
          <cell r="C152" t="str">
            <v>24级电子1班</v>
          </cell>
        </row>
        <row r="153">
          <cell r="A153" t="str">
            <v>董奥源</v>
          </cell>
          <cell r="B153" t="str">
            <v>24q710103018</v>
          </cell>
          <cell r="C153" t="str">
            <v>24级电子1班</v>
          </cell>
        </row>
        <row r="154">
          <cell r="A154" t="str">
            <v>董一飞</v>
          </cell>
          <cell r="B154" t="str">
            <v>24q710103019</v>
          </cell>
          <cell r="C154" t="str">
            <v>24级电子1班</v>
          </cell>
        </row>
        <row r="155">
          <cell r="A155" t="str">
            <v>杜林峰</v>
          </cell>
          <cell r="B155" t="str">
            <v>24q710103020</v>
          </cell>
          <cell r="C155" t="str">
            <v>24级电子1班</v>
          </cell>
        </row>
        <row r="156">
          <cell r="A156" t="str">
            <v>杜文杰</v>
          </cell>
          <cell r="B156" t="str">
            <v>24q710103021</v>
          </cell>
          <cell r="C156" t="str">
            <v>24级电子1班</v>
          </cell>
        </row>
        <row r="157">
          <cell r="A157" t="str">
            <v>何晨晖</v>
          </cell>
          <cell r="B157" t="str">
            <v>24q710103025</v>
          </cell>
          <cell r="C157" t="str">
            <v>24级电子1班</v>
          </cell>
        </row>
        <row r="158">
          <cell r="A158" t="str">
            <v>何昊辕</v>
          </cell>
          <cell r="B158" t="str">
            <v>24q710103026</v>
          </cell>
          <cell r="C158" t="str">
            <v>24级电子1班</v>
          </cell>
        </row>
        <row r="159">
          <cell r="A159" t="str">
            <v>何祁瑞</v>
          </cell>
          <cell r="B159" t="str">
            <v>24q710103029</v>
          </cell>
          <cell r="C159" t="str">
            <v>24级电子1班</v>
          </cell>
        </row>
        <row r="160">
          <cell r="A160" t="str">
            <v>何炎恩</v>
          </cell>
          <cell r="B160" t="str">
            <v>24q710103030</v>
          </cell>
          <cell r="C160" t="str">
            <v>24级电子1班</v>
          </cell>
        </row>
        <row r="161">
          <cell r="A161" t="str">
            <v>黄杜娟</v>
          </cell>
          <cell r="B161" t="str">
            <v>24q710103031</v>
          </cell>
          <cell r="C161" t="str">
            <v>24级电子1班</v>
          </cell>
        </row>
        <row r="162">
          <cell r="A162" t="str">
            <v>李美慧</v>
          </cell>
          <cell r="B162" t="str">
            <v>24q710103035</v>
          </cell>
          <cell r="C162" t="str">
            <v>24级电子1班</v>
          </cell>
        </row>
        <row r="163">
          <cell r="A163" t="str">
            <v>李宛如</v>
          </cell>
          <cell r="B163" t="str">
            <v>24q710103036</v>
          </cell>
          <cell r="C163" t="str">
            <v>24级电子1班</v>
          </cell>
        </row>
        <row r="164">
          <cell r="A164" t="str">
            <v>李雨培</v>
          </cell>
          <cell r="B164" t="str">
            <v>24q710103038</v>
          </cell>
          <cell r="C164" t="str">
            <v>24级电子1班</v>
          </cell>
        </row>
        <row r="165">
          <cell r="A165" t="str">
            <v>李煜烽</v>
          </cell>
          <cell r="B165" t="str">
            <v>24q710103039</v>
          </cell>
          <cell r="C165" t="str">
            <v>24级电子1班</v>
          </cell>
        </row>
        <row r="166">
          <cell r="A166" t="str">
            <v>李媛熙</v>
          </cell>
          <cell r="B166" t="str">
            <v>24q710103040</v>
          </cell>
          <cell r="C166" t="str">
            <v>24级电子1班</v>
          </cell>
        </row>
        <row r="167">
          <cell r="A167" t="str">
            <v>毛允鹭</v>
          </cell>
          <cell r="B167" t="str">
            <v>24q710103042</v>
          </cell>
          <cell r="C167" t="str">
            <v>24级电子1班</v>
          </cell>
        </row>
        <row r="168">
          <cell r="A168" t="str">
            <v>史亚茜</v>
          </cell>
          <cell r="B168" t="str">
            <v>24q710103044</v>
          </cell>
          <cell r="C168" t="str">
            <v>24级电子1班</v>
          </cell>
        </row>
        <row r="169">
          <cell r="A169" t="str">
            <v>田俊宇</v>
          </cell>
          <cell r="B169" t="str">
            <v>24q710103045</v>
          </cell>
          <cell r="C169" t="str">
            <v>24级电子1班</v>
          </cell>
        </row>
        <row r="170">
          <cell r="A170" t="str">
            <v>伍俊峰</v>
          </cell>
          <cell r="B170" t="str">
            <v>24q710103048</v>
          </cell>
          <cell r="C170" t="str">
            <v>24级电子1班</v>
          </cell>
        </row>
        <row r="171">
          <cell r="A171" t="str">
            <v>袁俊杰</v>
          </cell>
          <cell r="B171" t="str">
            <v>24q710103049</v>
          </cell>
          <cell r="C171" t="str">
            <v>24级电子1班</v>
          </cell>
        </row>
        <row r="172">
          <cell r="A172" t="str">
            <v>赵卫科</v>
          </cell>
          <cell r="B172" t="str">
            <v>24q710103051</v>
          </cell>
          <cell r="C172" t="str">
            <v>24级电子1班</v>
          </cell>
        </row>
        <row r="173">
          <cell r="A173" t="str">
            <v>陈原申</v>
          </cell>
          <cell r="B173" t="str">
            <v>24q710103016</v>
          </cell>
          <cell r="C173" t="str">
            <v>24级电子1班</v>
          </cell>
        </row>
        <row r="174">
          <cell r="A174" t="str">
            <v>李兴子</v>
          </cell>
          <cell r="B174" t="str">
            <v>24q710103037</v>
          </cell>
          <cell r="C174" t="str">
            <v>24级电子1班</v>
          </cell>
        </row>
        <row r="175">
          <cell r="A175" t="str">
            <v>刘成晨</v>
          </cell>
          <cell r="B175" t="str">
            <v>24q770303019</v>
          </cell>
          <cell r="C175" t="str">
            <v>24级电子1班</v>
          </cell>
        </row>
        <row r="176">
          <cell r="A176" t="str">
            <v>王宇俊</v>
          </cell>
          <cell r="B176" t="str">
            <v>24q770303036</v>
          </cell>
          <cell r="C176" t="str">
            <v>24级电子1班</v>
          </cell>
        </row>
        <row r="177">
          <cell r="A177" t="str">
            <v>王蕊</v>
          </cell>
          <cell r="B177" t="str">
            <v>24q710103286152</v>
          </cell>
          <cell r="C177" t="str">
            <v>24级电子1班</v>
          </cell>
        </row>
        <row r="178">
          <cell r="A178" t="str">
            <v>姜可</v>
          </cell>
          <cell r="B178" t="str">
            <v>24q710103286154</v>
          </cell>
          <cell r="C178" t="str">
            <v>24级电子1班</v>
          </cell>
        </row>
        <row r="179">
          <cell r="A179" t="str">
            <v>姜舒洋</v>
          </cell>
          <cell r="B179" t="str">
            <v>20240154</v>
          </cell>
          <cell r="C179" t="str">
            <v>24级电子1班</v>
          </cell>
        </row>
        <row r="180">
          <cell r="A180" t="str">
            <v>吴子轩</v>
          </cell>
          <cell r="B180" t="str">
            <v>24q7101032971</v>
          </cell>
          <cell r="C180" t="str">
            <v>24级电子1班</v>
          </cell>
        </row>
        <row r="181">
          <cell r="A181" t="str">
            <v>宋杰</v>
          </cell>
          <cell r="B181" t="str">
            <v>24q710103291</v>
          </cell>
          <cell r="C181" t="str">
            <v>24级电子2班</v>
          </cell>
        </row>
        <row r="182">
          <cell r="A182" t="str">
            <v>宋文杰</v>
          </cell>
          <cell r="B182" t="str">
            <v>24q710103292</v>
          </cell>
          <cell r="C182" t="str">
            <v>24级电子2班</v>
          </cell>
        </row>
        <row r="183">
          <cell r="A183" t="str">
            <v>王涛</v>
          </cell>
          <cell r="B183" t="str">
            <v>24q710103302</v>
          </cell>
          <cell r="C183" t="str">
            <v>24级电子2班</v>
          </cell>
        </row>
        <row r="184">
          <cell r="A184" t="str">
            <v>文晓丽</v>
          </cell>
          <cell r="B184" t="str">
            <v>24q710103307</v>
          </cell>
          <cell r="C184" t="str">
            <v>24级电子2班</v>
          </cell>
        </row>
        <row r="185">
          <cell r="A185" t="str">
            <v>鲜筱磊</v>
          </cell>
          <cell r="B185" t="str">
            <v>24q710103311</v>
          </cell>
          <cell r="C185" t="str">
            <v>24级电子2班</v>
          </cell>
        </row>
        <row r="186">
          <cell r="A186" t="str">
            <v>杨裕婷</v>
          </cell>
          <cell r="B186" t="str">
            <v>24q710103322</v>
          </cell>
          <cell r="C186" t="str">
            <v>24级电子2班</v>
          </cell>
        </row>
        <row r="187">
          <cell r="A187" t="str">
            <v>姚杨</v>
          </cell>
          <cell r="B187" t="str">
            <v>24q710103323</v>
          </cell>
          <cell r="C187" t="str">
            <v>24级电子2班</v>
          </cell>
        </row>
        <row r="188">
          <cell r="A188" t="str">
            <v>詹家豪</v>
          </cell>
          <cell r="B188" t="str">
            <v>24q710103326</v>
          </cell>
          <cell r="C188" t="str">
            <v>24级电子2班</v>
          </cell>
        </row>
        <row r="189">
          <cell r="A189" t="str">
            <v>周荣恒</v>
          </cell>
          <cell r="B189" t="str">
            <v>24q710103338</v>
          </cell>
          <cell r="C189" t="str">
            <v>24级电子2班</v>
          </cell>
        </row>
        <row r="190">
          <cell r="A190" t="str">
            <v>吕浩</v>
          </cell>
          <cell r="B190" t="str">
            <v>24q710201172</v>
          </cell>
          <cell r="C190" t="str">
            <v>24级电子2班</v>
          </cell>
        </row>
        <row r="191">
          <cell r="A191" t="str">
            <v>陈韬文</v>
          </cell>
          <cell r="B191" t="str">
            <v>24q710103193</v>
          </cell>
          <cell r="C191" t="str">
            <v>24级电子2班</v>
          </cell>
        </row>
        <row r="192">
          <cell r="A192" t="str">
            <v>李果</v>
          </cell>
          <cell r="B192" t="str">
            <v>24q710103197</v>
          </cell>
          <cell r="C192" t="str">
            <v>24级电子2班</v>
          </cell>
        </row>
        <row r="193">
          <cell r="A193" t="str">
            <v>李鳍</v>
          </cell>
          <cell r="B193" t="str">
            <v>24q710103198</v>
          </cell>
          <cell r="C193" t="str">
            <v>24级电子2班</v>
          </cell>
        </row>
        <row r="194">
          <cell r="A194" t="str">
            <v>林荣耀</v>
          </cell>
          <cell r="B194" t="str">
            <v>24q710103199</v>
          </cell>
          <cell r="C194" t="str">
            <v>24级电子2班</v>
          </cell>
        </row>
        <row r="195">
          <cell r="A195" t="str">
            <v>刘承松</v>
          </cell>
          <cell r="B195" t="str">
            <v>24q710103200</v>
          </cell>
          <cell r="C195" t="str">
            <v>24级电子2班</v>
          </cell>
        </row>
        <row r="196">
          <cell r="A196" t="str">
            <v>刘佳杭</v>
          </cell>
          <cell r="B196" t="str">
            <v>24q710103201</v>
          </cell>
          <cell r="C196" t="str">
            <v>24级电子2班</v>
          </cell>
        </row>
        <row r="197">
          <cell r="A197" t="str">
            <v>刘涛</v>
          </cell>
          <cell r="B197" t="str">
            <v>24q710103202</v>
          </cell>
          <cell r="C197" t="str">
            <v>24级电子2班</v>
          </cell>
        </row>
        <row r="198">
          <cell r="A198" t="str">
            <v>刘崴粼</v>
          </cell>
          <cell r="B198" t="str">
            <v>24q710103203</v>
          </cell>
          <cell r="C198" t="str">
            <v>24级电子2班</v>
          </cell>
        </row>
        <row r="199">
          <cell r="A199" t="str">
            <v>刘鑫</v>
          </cell>
          <cell r="B199" t="str">
            <v>24q710103204</v>
          </cell>
          <cell r="C199" t="str">
            <v>24级电子2班</v>
          </cell>
        </row>
        <row r="200">
          <cell r="A200" t="str">
            <v>刘星</v>
          </cell>
          <cell r="B200" t="str">
            <v>24q710103205</v>
          </cell>
          <cell r="C200" t="str">
            <v>24级电子2班</v>
          </cell>
        </row>
        <row r="201">
          <cell r="A201" t="str">
            <v>刘赵宇</v>
          </cell>
          <cell r="B201" t="str">
            <v>24q710103206</v>
          </cell>
          <cell r="C201" t="str">
            <v>24级电子2班</v>
          </cell>
        </row>
        <row r="202">
          <cell r="A202" t="str">
            <v>鲁锐翔</v>
          </cell>
          <cell r="B202" t="str">
            <v>24q710103208</v>
          </cell>
          <cell r="C202" t="str">
            <v>24级电子2班</v>
          </cell>
        </row>
        <row r="203">
          <cell r="A203" t="str">
            <v>罗杰</v>
          </cell>
          <cell r="B203" t="str">
            <v>24q710103209</v>
          </cell>
          <cell r="C203" t="str">
            <v>24级电子2班</v>
          </cell>
        </row>
        <row r="204">
          <cell r="A204" t="str">
            <v>罗天蔚</v>
          </cell>
          <cell r="B204" t="str">
            <v>24q710103210</v>
          </cell>
          <cell r="C204" t="str">
            <v>24级电子2班</v>
          </cell>
        </row>
        <row r="205">
          <cell r="A205" t="str">
            <v>洛绒刀登</v>
          </cell>
          <cell r="B205" t="str">
            <v>24q710103211</v>
          </cell>
          <cell r="C205" t="str">
            <v>24级电子2班</v>
          </cell>
        </row>
        <row r="206">
          <cell r="A206" t="str">
            <v>牟恒</v>
          </cell>
          <cell r="B206" t="str">
            <v>24q710103212</v>
          </cell>
          <cell r="C206" t="str">
            <v>24级电子2班</v>
          </cell>
        </row>
        <row r="207">
          <cell r="A207" t="str">
            <v>欧宇霖</v>
          </cell>
          <cell r="B207" t="str">
            <v>24q710103213</v>
          </cell>
          <cell r="C207" t="str">
            <v>24级电子2班</v>
          </cell>
        </row>
        <row r="208">
          <cell r="A208" t="str">
            <v>任敏</v>
          </cell>
          <cell r="B208" t="str">
            <v>24q710103215</v>
          </cell>
          <cell r="C208" t="str">
            <v>24级电子2班</v>
          </cell>
        </row>
        <row r="209">
          <cell r="A209" t="str">
            <v>沈航宇</v>
          </cell>
          <cell r="B209" t="str">
            <v>24q710103217</v>
          </cell>
          <cell r="C209" t="str">
            <v>24级电子2班</v>
          </cell>
        </row>
        <row r="210">
          <cell r="A210" t="str">
            <v>史国新</v>
          </cell>
          <cell r="B210" t="str">
            <v>24q710103218</v>
          </cell>
          <cell r="C210" t="str">
            <v>24级电子2班</v>
          </cell>
        </row>
        <row r="211">
          <cell r="A211" t="str">
            <v>汤睿涵</v>
          </cell>
          <cell r="B211" t="str">
            <v>24q710103221</v>
          </cell>
          <cell r="C211" t="str">
            <v>24级电子2班</v>
          </cell>
        </row>
        <row r="212">
          <cell r="A212" t="str">
            <v>童茂乐</v>
          </cell>
          <cell r="B212" t="str">
            <v>24q710103222</v>
          </cell>
          <cell r="C212" t="str">
            <v>24级电子2班</v>
          </cell>
        </row>
        <row r="213">
          <cell r="A213" t="str">
            <v>宛科成</v>
          </cell>
          <cell r="B213" t="str">
            <v>24q710103223</v>
          </cell>
          <cell r="C213" t="str">
            <v>24级电子2班</v>
          </cell>
        </row>
        <row r="214">
          <cell r="A214" t="str">
            <v>万军艳</v>
          </cell>
          <cell r="B214" t="str">
            <v>24q710103224</v>
          </cell>
          <cell r="C214" t="str">
            <v>24级电子2班</v>
          </cell>
        </row>
        <row r="215">
          <cell r="A215" t="str">
            <v>汪依冉</v>
          </cell>
          <cell r="B215" t="str">
            <v>24q710103226</v>
          </cell>
          <cell r="C215" t="str">
            <v>24级电子2班</v>
          </cell>
        </row>
        <row r="216">
          <cell r="A216" t="str">
            <v>王彬宇</v>
          </cell>
          <cell r="B216" t="str">
            <v>24q710103227</v>
          </cell>
          <cell r="C216" t="str">
            <v>24级电子2班</v>
          </cell>
        </row>
        <row r="217">
          <cell r="A217" t="str">
            <v>王国安</v>
          </cell>
          <cell r="B217" t="str">
            <v>24q710103229</v>
          </cell>
          <cell r="C217" t="str">
            <v>24级电子2班</v>
          </cell>
        </row>
        <row r="218">
          <cell r="A218" t="str">
            <v>王皓阳</v>
          </cell>
          <cell r="B218" t="str">
            <v>24q710103230</v>
          </cell>
          <cell r="C218" t="str">
            <v>24级电子2班</v>
          </cell>
        </row>
        <row r="219">
          <cell r="A219" t="str">
            <v>王佳林</v>
          </cell>
          <cell r="B219" t="str">
            <v>24q710103231</v>
          </cell>
          <cell r="C219" t="str">
            <v>24级电子2班</v>
          </cell>
        </row>
        <row r="220">
          <cell r="A220" t="str">
            <v>王佳星</v>
          </cell>
          <cell r="B220" t="str">
            <v>24q710103232</v>
          </cell>
          <cell r="C220" t="str">
            <v>24级电子2班</v>
          </cell>
        </row>
        <row r="221">
          <cell r="A221" t="str">
            <v>王家乐</v>
          </cell>
          <cell r="B221" t="str">
            <v>24q710103233</v>
          </cell>
          <cell r="C221" t="str">
            <v>24级电子2班</v>
          </cell>
        </row>
        <row r="222">
          <cell r="A222" t="str">
            <v>王利红</v>
          </cell>
          <cell r="B222" t="str">
            <v>24q710103234</v>
          </cell>
          <cell r="C222" t="str">
            <v>24级电子2班</v>
          </cell>
        </row>
        <row r="223">
          <cell r="A223" t="str">
            <v>王梦茜</v>
          </cell>
          <cell r="B223" t="str">
            <v>24q710103235</v>
          </cell>
          <cell r="C223" t="str">
            <v>24级电子2班</v>
          </cell>
        </row>
        <row r="224">
          <cell r="A224" t="str">
            <v>王星杰</v>
          </cell>
          <cell r="B224" t="str">
            <v>24q710103237</v>
          </cell>
          <cell r="C224" t="str">
            <v>24级电子2班</v>
          </cell>
        </row>
        <row r="225">
          <cell r="A225" t="str">
            <v>王艺鑫</v>
          </cell>
          <cell r="B225" t="str">
            <v>24q710103238</v>
          </cell>
          <cell r="C225" t="str">
            <v>24级电子2班</v>
          </cell>
        </row>
        <row r="226">
          <cell r="A226" t="str">
            <v>王宇浩</v>
          </cell>
          <cell r="B226" t="str">
            <v>24q710103239</v>
          </cell>
          <cell r="C226" t="str">
            <v>24级电子2班</v>
          </cell>
        </row>
        <row r="227">
          <cell r="A227" t="str">
            <v>王雨涵</v>
          </cell>
          <cell r="B227" t="str">
            <v>24q710103240</v>
          </cell>
          <cell r="C227" t="str">
            <v>24级电子2班</v>
          </cell>
        </row>
        <row r="228">
          <cell r="A228" t="str">
            <v>文韬</v>
          </cell>
          <cell r="B228" t="str">
            <v>24q710103241</v>
          </cell>
          <cell r="C228" t="str">
            <v>24级电子2班</v>
          </cell>
        </row>
        <row r="229">
          <cell r="A229" t="str">
            <v>吴鹏</v>
          </cell>
          <cell r="B229" t="str">
            <v>24q710103242</v>
          </cell>
          <cell r="C229" t="str">
            <v>24级电子2班</v>
          </cell>
        </row>
        <row r="230">
          <cell r="A230" t="str">
            <v>吴夏熙</v>
          </cell>
          <cell r="B230" t="str">
            <v>24q710103243</v>
          </cell>
          <cell r="C230" t="str">
            <v>24级电子2班</v>
          </cell>
        </row>
        <row r="231">
          <cell r="A231" t="str">
            <v>伍炳坤</v>
          </cell>
          <cell r="B231" t="str">
            <v>24q710103244</v>
          </cell>
          <cell r="C231" t="str">
            <v>24级电子2班</v>
          </cell>
        </row>
        <row r="232">
          <cell r="A232" t="str">
            <v>张光嶶</v>
          </cell>
          <cell r="B232" t="str">
            <v>24q710103245</v>
          </cell>
          <cell r="C232" t="str">
            <v>24级电子2班</v>
          </cell>
        </row>
        <row r="233">
          <cell r="A233" t="str">
            <v>张瑜宸</v>
          </cell>
          <cell r="B233" t="str">
            <v>24q710103246</v>
          </cell>
          <cell r="C233" t="str">
            <v>24级电子2班</v>
          </cell>
        </row>
        <row r="234">
          <cell r="A234" t="str">
            <v>张耘</v>
          </cell>
          <cell r="B234" t="str">
            <v>24q710103247</v>
          </cell>
          <cell r="C234" t="str">
            <v>24级电子2班</v>
          </cell>
        </row>
        <row r="235">
          <cell r="A235" t="str">
            <v>杨若依</v>
          </cell>
          <cell r="B235" t="str">
            <v>24q7101031122</v>
          </cell>
          <cell r="C235" t="str">
            <v>24级电子2班</v>
          </cell>
        </row>
        <row r="236">
          <cell r="A236" t="str">
            <v>宋艾宏</v>
          </cell>
          <cell r="B236" t="str">
            <v>24q7101032861</v>
          </cell>
          <cell r="C236" t="str">
            <v>24级电子2班</v>
          </cell>
        </row>
        <row r="237">
          <cell r="A237" t="str">
            <v>曾重升</v>
          </cell>
          <cell r="B237" t="str">
            <v>24q710103125</v>
          </cell>
          <cell r="C237" t="str">
            <v>24级电子2班</v>
          </cell>
        </row>
        <row r="238">
          <cell r="A238" t="str">
            <v>陈发顺</v>
          </cell>
          <cell r="B238" t="str">
            <v>24q710103127</v>
          </cell>
          <cell r="C238" t="str">
            <v>24级电子2班</v>
          </cell>
        </row>
        <row r="239">
          <cell r="A239" t="str">
            <v>陈利</v>
          </cell>
          <cell r="B239" t="str">
            <v>24q710103130</v>
          </cell>
          <cell r="C239" t="str">
            <v>24级电子2班</v>
          </cell>
        </row>
        <row r="240">
          <cell r="A240" t="str">
            <v>付自豪</v>
          </cell>
          <cell r="B240" t="str">
            <v>24q710103135</v>
          </cell>
          <cell r="C240" t="str">
            <v>24级电子2班</v>
          </cell>
        </row>
        <row r="241">
          <cell r="A241" t="str">
            <v>郭跃华</v>
          </cell>
          <cell r="B241" t="str">
            <v>24q710103141</v>
          </cell>
          <cell r="C241" t="str">
            <v>24级电子2班</v>
          </cell>
        </row>
        <row r="242">
          <cell r="A242" t="str">
            <v>何宇航</v>
          </cell>
          <cell r="B242" t="str">
            <v>24q710103142</v>
          </cell>
          <cell r="C242" t="str">
            <v>24级电子2班</v>
          </cell>
        </row>
        <row r="243">
          <cell r="A243" t="str">
            <v>胡凯峰</v>
          </cell>
          <cell r="B243" t="str">
            <v>24q710103143</v>
          </cell>
          <cell r="C243" t="str">
            <v>24级电子2班</v>
          </cell>
        </row>
        <row r="244">
          <cell r="A244" t="str">
            <v>黄思瑞</v>
          </cell>
          <cell r="B244" t="str">
            <v>24q710103146</v>
          </cell>
          <cell r="C244" t="str">
            <v>24级电子2班</v>
          </cell>
        </row>
        <row r="245">
          <cell r="A245" t="str">
            <v>黄熙耀</v>
          </cell>
          <cell r="B245" t="str">
            <v>24q710103148</v>
          </cell>
          <cell r="C245" t="str">
            <v>24级电子2班</v>
          </cell>
        </row>
        <row r="246">
          <cell r="A246" t="str">
            <v>李昌洪</v>
          </cell>
          <cell r="B246" t="str">
            <v>24q710103154</v>
          </cell>
          <cell r="C246" t="str">
            <v>24级电子2班</v>
          </cell>
        </row>
        <row r="247">
          <cell r="A247" t="str">
            <v>李俊坤</v>
          </cell>
          <cell r="B247" t="str">
            <v>24q710103156</v>
          </cell>
          <cell r="C247" t="str">
            <v>24级电子2班</v>
          </cell>
        </row>
        <row r="248">
          <cell r="A248" t="str">
            <v>李紫杰</v>
          </cell>
          <cell r="B248" t="str">
            <v>24q710103164</v>
          </cell>
          <cell r="C248" t="str">
            <v>24级电子2班</v>
          </cell>
        </row>
        <row r="249">
          <cell r="A249" t="str">
            <v>柳皓</v>
          </cell>
          <cell r="B249" t="str">
            <v>24q710103172</v>
          </cell>
          <cell r="C249" t="str">
            <v>24级电子2班</v>
          </cell>
        </row>
        <row r="250">
          <cell r="A250" t="str">
            <v>杨旭</v>
          </cell>
          <cell r="B250" t="str">
            <v>24q710103184</v>
          </cell>
          <cell r="C250" t="str">
            <v>24级电子2班</v>
          </cell>
        </row>
        <row r="251">
          <cell r="A251" t="str">
            <v>周星昊</v>
          </cell>
          <cell r="B251" t="str">
            <v>24q710103188</v>
          </cell>
          <cell r="C251" t="str">
            <v>24级电子2班</v>
          </cell>
        </row>
        <row r="252">
          <cell r="A252" t="str">
            <v>周梦苏</v>
          </cell>
          <cell r="B252" t="str">
            <v>20240155</v>
          </cell>
          <cell r="C252" t="str">
            <v>24级电子2班</v>
          </cell>
        </row>
        <row r="253">
          <cell r="A253" t="str">
            <v>彭宇杰</v>
          </cell>
          <cell r="B253" t="str">
            <v>24q710103043</v>
          </cell>
          <cell r="C253" t="str">
            <v>24级电子2班</v>
          </cell>
        </row>
        <row r="254">
          <cell r="A254" t="str">
            <v>伍新楷</v>
          </cell>
          <cell r="B254" t="str">
            <v>24q710103081</v>
          </cell>
          <cell r="C254" t="str">
            <v>24级电子2班</v>
          </cell>
        </row>
        <row r="255">
          <cell r="A255" t="str">
            <v>郑鑫川</v>
          </cell>
          <cell r="B255" t="str">
            <v>24q710103111</v>
          </cell>
          <cell r="C255" t="str">
            <v>24级电子2班</v>
          </cell>
        </row>
        <row r="256">
          <cell r="A256" t="str">
            <v>郭涛</v>
          </cell>
          <cell r="B256" t="str">
            <v>24q710103195</v>
          </cell>
          <cell r="C256" t="str">
            <v>24级电子2班</v>
          </cell>
        </row>
        <row r="257">
          <cell r="A257" t="str">
            <v>史继晟</v>
          </cell>
          <cell r="B257" t="str">
            <v>24q7101032106</v>
          </cell>
          <cell r="C257" t="str">
            <v>24级电子2班</v>
          </cell>
        </row>
        <row r="258">
          <cell r="A258" t="str">
            <v>杨思艺</v>
          </cell>
          <cell r="B258" t="str">
            <v>24q7101031271</v>
          </cell>
          <cell r="C258" t="str">
            <v>24级电子2班</v>
          </cell>
        </row>
        <row r="259">
          <cell r="A259" t="str">
            <v>卢亿</v>
          </cell>
          <cell r="B259" t="str">
            <v>5101624270495</v>
          </cell>
          <cell r="C259" t="str">
            <v>24级电子2班</v>
          </cell>
        </row>
        <row r="260">
          <cell r="A260" t="str">
            <v>牟潇伟</v>
          </cell>
          <cell r="B260" t="str">
            <v>24q7101032102</v>
          </cell>
          <cell r="C260" t="str">
            <v>24级电子2班</v>
          </cell>
        </row>
        <row r="261">
          <cell r="A261" t="str">
            <v>刘艺欣</v>
          </cell>
          <cell r="B261" t="str">
            <v>24q7101032103</v>
          </cell>
          <cell r="C261" t="str">
            <v>24级电子2班</v>
          </cell>
        </row>
        <row r="262">
          <cell r="A262" t="str">
            <v>冯万豪</v>
          </cell>
          <cell r="B262" t="str">
            <v>24q710103842</v>
          </cell>
          <cell r="C262" t="str">
            <v>24级电子2班</v>
          </cell>
        </row>
        <row r="263">
          <cell r="A263" t="str">
            <v>周荣瑞</v>
          </cell>
          <cell r="B263" t="str">
            <v>24q710103843</v>
          </cell>
          <cell r="C263" t="str">
            <v>24级电子2班</v>
          </cell>
        </row>
        <row r="264">
          <cell r="A264" t="str">
            <v>王矞轩</v>
          </cell>
          <cell r="B264" t="str">
            <v>24q710103306</v>
          </cell>
          <cell r="C264" t="str">
            <v>24级电子3班</v>
          </cell>
        </row>
        <row r="265">
          <cell r="A265" t="str">
            <v>严子朋</v>
          </cell>
          <cell r="B265" t="str">
            <v>24q710103317</v>
          </cell>
          <cell r="C265" t="str">
            <v>24级电子3班</v>
          </cell>
        </row>
        <row r="266">
          <cell r="A266" t="str">
            <v>张洁</v>
          </cell>
          <cell r="B266" t="str">
            <v>24q710103328</v>
          </cell>
          <cell r="C266" t="str">
            <v>24级电子3班</v>
          </cell>
        </row>
        <row r="267">
          <cell r="A267" t="str">
            <v>赵宇斌</v>
          </cell>
          <cell r="B267" t="str">
            <v>24q710103334</v>
          </cell>
          <cell r="C267" t="str">
            <v>24级电子3班</v>
          </cell>
        </row>
        <row r="268">
          <cell r="A268" t="str">
            <v>黄紫涵</v>
          </cell>
          <cell r="B268" t="str">
            <v>24q770101011</v>
          </cell>
          <cell r="C268" t="str">
            <v>24级电子3班</v>
          </cell>
        </row>
        <row r="269">
          <cell r="A269" t="str">
            <v>凌昊鑫</v>
          </cell>
          <cell r="B269" t="str">
            <v>24q770101023</v>
          </cell>
          <cell r="C269" t="str">
            <v>24级电子3班</v>
          </cell>
        </row>
        <row r="270">
          <cell r="A270" t="str">
            <v>任浩然</v>
          </cell>
          <cell r="B270" t="str">
            <v>24q770101029</v>
          </cell>
          <cell r="C270" t="str">
            <v>24级电子3班</v>
          </cell>
        </row>
        <row r="271">
          <cell r="A271" t="str">
            <v>宋俊凯</v>
          </cell>
          <cell r="B271" t="str">
            <v>24q770101031</v>
          </cell>
          <cell r="C271" t="str">
            <v>24级电子3班</v>
          </cell>
        </row>
        <row r="272">
          <cell r="A272" t="str">
            <v>李骏豪</v>
          </cell>
          <cell r="B272" t="str">
            <v>24q7101031120</v>
          </cell>
          <cell r="C272" t="str">
            <v>24级电子3班</v>
          </cell>
        </row>
        <row r="273">
          <cell r="A273" t="str">
            <v>牟诗晨</v>
          </cell>
          <cell r="B273" t="str">
            <v>24q7101032863</v>
          </cell>
          <cell r="C273" t="str">
            <v>24级电子3班</v>
          </cell>
        </row>
        <row r="274">
          <cell r="A274" t="str">
            <v>杨亚茜</v>
          </cell>
          <cell r="B274" t="str">
            <v>24q7101032865</v>
          </cell>
          <cell r="C274" t="str">
            <v>24级电子3班</v>
          </cell>
        </row>
        <row r="275">
          <cell r="A275" t="str">
            <v>丁娅玲</v>
          </cell>
          <cell r="B275" t="str">
            <v>24q7101033171</v>
          </cell>
          <cell r="C275" t="str">
            <v>24级电子3班</v>
          </cell>
        </row>
        <row r="276">
          <cell r="A276" t="str">
            <v>曹曾易</v>
          </cell>
          <cell r="B276" t="str">
            <v>24q710103120</v>
          </cell>
          <cell r="C276" t="str">
            <v>24级电子3班</v>
          </cell>
        </row>
        <row r="277">
          <cell r="A277" t="str">
            <v>陈坤</v>
          </cell>
          <cell r="B277" t="str">
            <v>24q710103129</v>
          </cell>
          <cell r="C277" t="str">
            <v>24级电子3班</v>
          </cell>
        </row>
        <row r="278">
          <cell r="A278" t="str">
            <v>丁俊杰</v>
          </cell>
          <cell r="B278" t="str">
            <v>24q710103132</v>
          </cell>
          <cell r="C278" t="str">
            <v>24级电子3班</v>
          </cell>
        </row>
        <row r="279">
          <cell r="A279" t="str">
            <v>高文迪</v>
          </cell>
          <cell r="B279" t="str">
            <v>24q710103136</v>
          </cell>
          <cell r="C279" t="str">
            <v>24级电子3班</v>
          </cell>
        </row>
        <row r="280">
          <cell r="A280" t="str">
            <v>郭凯</v>
          </cell>
          <cell r="B280" t="str">
            <v>24q710103138</v>
          </cell>
          <cell r="C280" t="str">
            <v>24级电子3班</v>
          </cell>
        </row>
        <row r="281">
          <cell r="A281" t="str">
            <v>李玉婷</v>
          </cell>
          <cell r="B281" t="str">
            <v>24q710103163</v>
          </cell>
          <cell r="C281" t="str">
            <v>24级电子3班</v>
          </cell>
        </row>
        <row r="282">
          <cell r="A282" t="str">
            <v>罗宇嫒</v>
          </cell>
          <cell r="B282" t="str">
            <v>24q710103176</v>
          </cell>
          <cell r="C282" t="str">
            <v>24级电子3班</v>
          </cell>
        </row>
        <row r="283">
          <cell r="A283" t="str">
            <v>倪佳琪</v>
          </cell>
          <cell r="B283" t="str">
            <v>24q710103177</v>
          </cell>
          <cell r="C283" t="str">
            <v>24级电子3班</v>
          </cell>
        </row>
        <row r="284">
          <cell r="A284" t="str">
            <v>彭俊杰</v>
          </cell>
          <cell r="B284" t="str">
            <v>24q710103179</v>
          </cell>
          <cell r="C284" t="str">
            <v>24级电子3班</v>
          </cell>
        </row>
        <row r="285">
          <cell r="A285" t="str">
            <v>杨涵菁</v>
          </cell>
          <cell r="B285" t="str">
            <v>24q710103183</v>
          </cell>
          <cell r="C285" t="str">
            <v>24级电子3班</v>
          </cell>
        </row>
        <row r="286">
          <cell r="A286" t="str">
            <v>洋纤羽</v>
          </cell>
          <cell r="B286" t="str">
            <v>24q710103185</v>
          </cell>
          <cell r="C286" t="str">
            <v>24级电子3班</v>
          </cell>
        </row>
        <row r="287">
          <cell r="A287" t="str">
            <v>周一鑫</v>
          </cell>
          <cell r="B287" t="str">
            <v>24q710103190</v>
          </cell>
          <cell r="C287" t="str">
            <v>24级电子3班</v>
          </cell>
        </row>
        <row r="288">
          <cell r="A288" t="str">
            <v>杨昕昊</v>
          </cell>
          <cell r="B288" t="str">
            <v>24q7101032108</v>
          </cell>
          <cell r="C288" t="str">
            <v>24级电子3班</v>
          </cell>
        </row>
        <row r="289">
          <cell r="A289" t="str">
            <v>罗品皓</v>
          </cell>
          <cell r="B289" t="str">
            <v>20241114</v>
          </cell>
          <cell r="C289" t="str">
            <v>24级电子3班</v>
          </cell>
        </row>
        <row r="290">
          <cell r="A290" t="str">
            <v>樊睿丞</v>
          </cell>
          <cell r="B290" t="str">
            <v>24q710201008</v>
          </cell>
          <cell r="C290" t="str">
            <v>24级电子3班</v>
          </cell>
        </row>
        <row r="291">
          <cell r="A291" t="str">
            <v>陈莉洪</v>
          </cell>
          <cell r="B291" t="str">
            <v>24q710103071</v>
          </cell>
          <cell r="C291" t="str">
            <v>24级电子3班</v>
          </cell>
        </row>
        <row r="292">
          <cell r="A292" t="str">
            <v>付程宏</v>
          </cell>
          <cell r="B292" t="str">
            <v>24q710103072</v>
          </cell>
          <cell r="C292" t="str">
            <v>24级电子3班</v>
          </cell>
        </row>
        <row r="293">
          <cell r="A293" t="str">
            <v>苟疑云</v>
          </cell>
          <cell r="B293" t="str">
            <v>24q710103073</v>
          </cell>
          <cell r="C293" t="str">
            <v>24级电子3班</v>
          </cell>
        </row>
        <row r="294">
          <cell r="A294" t="str">
            <v>牟秋雨</v>
          </cell>
          <cell r="B294" t="str">
            <v>24q710103076</v>
          </cell>
          <cell r="C294" t="str">
            <v>24级电子3班</v>
          </cell>
        </row>
        <row r="295">
          <cell r="A295" t="str">
            <v>孙畅</v>
          </cell>
          <cell r="B295" t="str">
            <v>24q710103077</v>
          </cell>
          <cell r="C295" t="str">
            <v>24级电子3班</v>
          </cell>
        </row>
        <row r="296">
          <cell r="A296" t="str">
            <v>王晨</v>
          </cell>
          <cell r="B296" t="str">
            <v>24q710103078</v>
          </cell>
          <cell r="C296" t="str">
            <v>24级电子3班</v>
          </cell>
        </row>
        <row r="297">
          <cell r="A297" t="str">
            <v>鲜玉林</v>
          </cell>
          <cell r="B297" t="str">
            <v>24q710103082</v>
          </cell>
          <cell r="C297" t="str">
            <v>24级电子3班</v>
          </cell>
        </row>
        <row r="298">
          <cell r="A298" t="str">
            <v>谢铭辉</v>
          </cell>
          <cell r="B298" t="str">
            <v>24q710103083</v>
          </cell>
          <cell r="C298" t="str">
            <v>24级电子3班</v>
          </cell>
        </row>
        <row r="299">
          <cell r="A299" t="str">
            <v>辛宇松</v>
          </cell>
          <cell r="B299" t="str">
            <v>24q710103085</v>
          </cell>
          <cell r="C299" t="str">
            <v>24级电子3班</v>
          </cell>
        </row>
        <row r="300">
          <cell r="A300" t="str">
            <v>徐灵巧</v>
          </cell>
          <cell r="B300" t="str">
            <v>24q710103086</v>
          </cell>
          <cell r="C300" t="str">
            <v>24级电子3班</v>
          </cell>
        </row>
        <row r="301">
          <cell r="A301" t="str">
            <v>杨冰洁</v>
          </cell>
          <cell r="B301" t="str">
            <v>24q710103087</v>
          </cell>
          <cell r="C301" t="str">
            <v>24级电子3班</v>
          </cell>
        </row>
        <row r="302">
          <cell r="A302" t="str">
            <v>杨洪</v>
          </cell>
          <cell r="B302" t="str">
            <v>24q710103088</v>
          </cell>
          <cell r="C302" t="str">
            <v>24级电子3班</v>
          </cell>
        </row>
        <row r="303">
          <cell r="A303" t="str">
            <v>杨佳浩</v>
          </cell>
          <cell r="B303" t="str">
            <v>24q710103089</v>
          </cell>
          <cell r="C303" t="str">
            <v>24级电子3班</v>
          </cell>
        </row>
        <row r="304">
          <cell r="A304" t="str">
            <v>杨胜威</v>
          </cell>
          <cell r="B304" t="str">
            <v>24q710103092</v>
          </cell>
          <cell r="C304" t="str">
            <v>24级电子3班</v>
          </cell>
        </row>
        <row r="305">
          <cell r="A305" t="str">
            <v>杨馨儿</v>
          </cell>
          <cell r="B305" t="str">
            <v>24q710103093</v>
          </cell>
          <cell r="C305" t="str">
            <v>24级电子3班</v>
          </cell>
        </row>
        <row r="306">
          <cell r="A306" t="str">
            <v>杨雨</v>
          </cell>
          <cell r="B306" t="str">
            <v>24q710103094</v>
          </cell>
          <cell r="C306" t="str">
            <v>24级电子3班</v>
          </cell>
        </row>
        <row r="307">
          <cell r="A307" t="str">
            <v>杨正刚</v>
          </cell>
          <cell r="B307" t="str">
            <v>24q710103095</v>
          </cell>
          <cell r="C307" t="str">
            <v>24级电子3班</v>
          </cell>
        </row>
        <row r="308">
          <cell r="A308" t="str">
            <v>余璐</v>
          </cell>
          <cell r="B308" t="str">
            <v>24q710103098</v>
          </cell>
          <cell r="C308" t="str">
            <v>24级电子3班</v>
          </cell>
        </row>
        <row r="309">
          <cell r="A309" t="str">
            <v>余志豪</v>
          </cell>
          <cell r="B309" t="str">
            <v>24q710103099</v>
          </cell>
          <cell r="C309" t="str">
            <v>24级电子3班</v>
          </cell>
        </row>
        <row r="310">
          <cell r="A310" t="str">
            <v>张思琦</v>
          </cell>
          <cell r="B310" t="str">
            <v>24q710103101</v>
          </cell>
          <cell r="C310" t="str">
            <v>24级电子3班</v>
          </cell>
        </row>
        <row r="311">
          <cell r="A311" t="str">
            <v>张文锭</v>
          </cell>
          <cell r="B311" t="str">
            <v>24q710103102</v>
          </cell>
          <cell r="C311" t="str">
            <v>24级电子3班</v>
          </cell>
        </row>
        <row r="312">
          <cell r="A312" t="str">
            <v>张文曦</v>
          </cell>
          <cell r="B312" t="str">
            <v>24q710103103</v>
          </cell>
          <cell r="C312" t="str">
            <v>24级电子3班</v>
          </cell>
        </row>
        <row r="313">
          <cell r="A313" t="str">
            <v>张远航</v>
          </cell>
          <cell r="B313" t="str">
            <v>24q710103105</v>
          </cell>
          <cell r="C313" t="str">
            <v>24级电子3班</v>
          </cell>
        </row>
        <row r="314">
          <cell r="A314" t="str">
            <v>张智豪</v>
          </cell>
          <cell r="B314" t="str">
            <v>24q710103106</v>
          </cell>
          <cell r="C314" t="str">
            <v>24级电子3班</v>
          </cell>
        </row>
        <row r="315">
          <cell r="A315" t="str">
            <v>赵彬宏</v>
          </cell>
          <cell r="B315" t="str">
            <v>24q710103107</v>
          </cell>
          <cell r="C315" t="str">
            <v>24级电子3班</v>
          </cell>
        </row>
        <row r="316">
          <cell r="A316" t="str">
            <v>赵杨灵</v>
          </cell>
          <cell r="B316" t="str">
            <v>24q710103109</v>
          </cell>
          <cell r="C316" t="str">
            <v>24级电子3班</v>
          </cell>
        </row>
        <row r="317">
          <cell r="A317" t="str">
            <v>郑富阳</v>
          </cell>
          <cell r="B317" t="str">
            <v>24q710103110</v>
          </cell>
          <cell r="C317" t="str">
            <v>24级电子3班</v>
          </cell>
        </row>
        <row r="318">
          <cell r="A318" t="str">
            <v>周傲</v>
          </cell>
          <cell r="B318" t="str">
            <v>24q710103112</v>
          </cell>
          <cell r="C318" t="str">
            <v>24级电子3班</v>
          </cell>
        </row>
        <row r="319">
          <cell r="A319" t="str">
            <v>周书雅</v>
          </cell>
          <cell r="B319" t="str">
            <v>24q710103113</v>
          </cell>
          <cell r="C319" t="str">
            <v>24级电子3班</v>
          </cell>
        </row>
        <row r="320">
          <cell r="A320" t="str">
            <v>周学玲</v>
          </cell>
          <cell r="B320" t="str">
            <v>24q710103114</v>
          </cell>
          <cell r="C320" t="str">
            <v>24级电子3班</v>
          </cell>
        </row>
        <row r="321">
          <cell r="A321" t="str">
            <v>周雅岚</v>
          </cell>
          <cell r="B321" t="str">
            <v>24q710103115</v>
          </cell>
          <cell r="C321" t="str">
            <v>24级电子3班</v>
          </cell>
        </row>
        <row r="322">
          <cell r="A322" t="str">
            <v>周翼华</v>
          </cell>
          <cell r="B322" t="str">
            <v>24q710103116</v>
          </cell>
          <cell r="C322" t="str">
            <v>24级电子3班</v>
          </cell>
        </row>
        <row r="323">
          <cell r="A323" t="str">
            <v>邹浩桀</v>
          </cell>
          <cell r="B323" t="str">
            <v>24q710103118</v>
          </cell>
          <cell r="C323" t="str">
            <v>24级电子3班</v>
          </cell>
        </row>
        <row r="324">
          <cell r="A324" t="str">
            <v>王常宇</v>
          </cell>
          <cell r="B324" t="str">
            <v>24q770303032</v>
          </cell>
          <cell r="C324" t="str">
            <v>24级电子3班</v>
          </cell>
        </row>
        <row r="325">
          <cell r="A325" t="str">
            <v>尹定一</v>
          </cell>
          <cell r="B325" t="str">
            <v>24q710103286153</v>
          </cell>
          <cell r="C325" t="str">
            <v>24级电子3班</v>
          </cell>
        </row>
        <row r="326">
          <cell r="A326" t="str">
            <v>余佳欣</v>
          </cell>
          <cell r="B326" t="str">
            <v>24q740101046</v>
          </cell>
          <cell r="C326" t="str">
            <v>24级电子3班</v>
          </cell>
        </row>
        <row r="327">
          <cell r="A327" t="str">
            <v>王子恒</v>
          </cell>
          <cell r="B327" t="str">
            <v>24q7101032110</v>
          </cell>
          <cell r="C327" t="str">
            <v>24级电子3班</v>
          </cell>
        </row>
        <row r="328">
          <cell r="A328" t="str">
            <v>何星阳</v>
          </cell>
          <cell r="B328" t="str">
            <v>24q7101032111</v>
          </cell>
          <cell r="C328" t="str">
            <v>24级电子3班</v>
          </cell>
        </row>
        <row r="329">
          <cell r="A329" t="str">
            <v>李云鑫</v>
          </cell>
          <cell r="B329" t="str">
            <v>24q7101032109</v>
          </cell>
          <cell r="C329" t="str">
            <v>24级电子3班</v>
          </cell>
        </row>
        <row r="330">
          <cell r="A330" t="str">
            <v>帅远琳</v>
          </cell>
          <cell r="B330" t="str">
            <v>710103176</v>
          </cell>
          <cell r="C330" t="str">
            <v>24级电子4班(本方)</v>
          </cell>
        </row>
        <row r="331">
          <cell r="A331" t="str">
            <v>杨卿</v>
          </cell>
          <cell r="B331" t="str">
            <v>710103207</v>
          </cell>
          <cell r="C331" t="str">
            <v>24级电子4班(本方)</v>
          </cell>
        </row>
        <row r="332">
          <cell r="A332" t="str">
            <v>曹响瑞</v>
          </cell>
          <cell r="B332" t="str">
            <v>24q710103122</v>
          </cell>
          <cell r="C332" t="str">
            <v>24级电子4班(本方)</v>
          </cell>
        </row>
        <row r="333">
          <cell r="A333" t="str">
            <v>曹燕</v>
          </cell>
          <cell r="B333" t="str">
            <v>24q710103123</v>
          </cell>
          <cell r="C333" t="str">
            <v>24级电子4班(本方)</v>
          </cell>
        </row>
        <row r="334">
          <cell r="A334" t="str">
            <v>曾子奥</v>
          </cell>
          <cell r="B334" t="str">
            <v>24q710103126</v>
          </cell>
          <cell r="C334" t="str">
            <v>24级电子4班(本方)</v>
          </cell>
        </row>
        <row r="335">
          <cell r="A335" t="str">
            <v>陈科</v>
          </cell>
          <cell r="B335" t="str">
            <v>24q710103128</v>
          </cell>
          <cell r="C335" t="str">
            <v>24级电子4班(本方)</v>
          </cell>
        </row>
        <row r="336">
          <cell r="A336" t="str">
            <v>杜雨彤</v>
          </cell>
          <cell r="B336" t="str">
            <v>24q710103133</v>
          </cell>
          <cell r="C336" t="str">
            <v>24级电子4班(本方)</v>
          </cell>
        </row>
        <row r="337">
          <cell r="A337" t="str">
            <v>付美玲</v>
          </cell>
          <cell r="B337" t="str">
            <v>24q710103134</v>
          </cell>
          <cell r="C337" t="str">
            <v>24级电子4班(本方)</v>
          </cell>
        </row>
        <row r="338">
          <cell r="A338" t="str">
            <v>郭娱彤</v>
          </cell>
          <cell r="B338" t="str">
            <v>24q710103139</v>
          </cell>
          <cell r="C338" t="str">
            <v>24级电子4班(本方)</v>
          </cell>
        </row>
        <row r="339">
          <cell r="A339" t="str">
            <v>郭语婷</v>
          </cell>
          <cell r="B339" t="str">
            <v>24q710103140</v>
          </cell>
          <cell r="C339" t="str">
            <v>24级电子4班(本方)</v>
          </cell>
        </row>
        <row r="340">
          <cell r="A340" t="str">
            <v>黄丹</v>
          </cell>
          <cell r="B340" t="str">
            <v>24q710103145</v>
          </cell>
          <cell r="C340" t="str">
            <v>24级电子4班(本方)</v>
          </cell>
        </row>
        <row r="341">
          <cell r="A341" t="str">
            <v>黄思婷</v>
          </cell>
          <cell r="B341" t="str">
            <v>24q710103147</v>
          </cell>
          <cell r="C341" t="str">
            <v>24级电子4班(本方)</v>
          </cell>
        </row>
        <row r="342">
          <cell r="A342" t="str">
            <v>黄新翰</v>
          </cell>
          <cell r="B342" t="str">
            <v>24q710103149</v>
          </cell>
          <cell r="C342" t="str">
            <v>24级电子4班(本方)</v>
          </cell>
        </row>
        <row r="343">
          <cell r="A343" t="str">
            <v>姜宇航</v>
          </cell>
          <cell r="B343" t="str">
            <v>24q710103152</v>
          </cell>
          <cell r="C343" t="str">
            <v>24级电子4班(本方)</v>
          </cell>
        </row>
        <row r="344">
          <cell r="A344" t="str">
            <v>蒋欣雅</v>
          </cell>
          <cell r="B344" t="str">
            <v>24q710103153</v>
          </cell>
          <cell r="C344" t="str">
            <v>24级电子4班(本方)</v>
          </cell>
        </row>
        <row r="345">
          <cell r="A345" t="str">
            <v>李成程</v>
          </cell>
          <cell r="B345" t="str">
            <v>24q710103155</v>
          </cell>
          <cell r="C345" t="str">
            <v>24级电子4班(本方)</v>
          </cell>
        </row>
        <row r="346">
          <cell r="A346" t="str">
            <v>李可会</v>
          </cell>
          <cell r="B346" t="str">
            <v>24q710103157</v>
          </cell>
          <cell r="C346" t="str">
            <v>24级电子4班(本方)</v>
          </cell>
        </row>
        <row r="347">
          <cell r="A347" t="str">
            <v>李锐</v>
          </cell>
          <cell r="B347" t="str">
            <v>24q710103159</v>
          </cell>
          <cell r="C347" t="str">
            <v>24级电子4班(本方)</v>
          </cell>
        </row>
        <row r="348">
          <cell r="A348" t="str">
            <v>李施彤</v>
          </cell>
          <cell r="B348" t="str">
            <v>24q710103160</v>
          </cell>
          <cell r="C348" t="str">
            <v>24级电子4班(本方)</v>
          </cell>
        </row>
        <row r="349">
          <cell r="A349" t="str">
            <v>李世平</v>
          </cell>
          <cell r="B349" t="str">
            <v>24q710103161</v>
          </cell>
          <cell r="C349" t="str">
            <v>24级电子4班(本方)</v>
          </cell>
        </row>
        <row r="350">
          <cell r="A350" t="str">
            <v>李颜</v>
          </cell>
          <cell r="B350" t="str">
            <v>24q710103162</v>
          </cell>
          <cell r="C350" t="str">
            <v>24级电子4班(本方)</v>
          </cell>
        </row>
        <row r="351">
          <cell r="A351" t="str">
            <v>梁语曦</v>
          </cell>
          <cell r="B351" t="str">
            <v>24q710103165</v>
          </cell>
          <cell r="C351" t="str">
            <v>24级电子4班(本方)</v>
          </cell>
        </row>
        <row r="352">
          <cell r="A352" t="str">
            <v>廖萱</v>
          </cell>
          <cell r="B352" t="str">
            <v>24q710103166</v>
          </cell>
          <cell r="C352" t="str">
            <v>24级电子4班(本方)</v>
          </cell>
        </row>
        <row r="353">
          <cell r="A353" t="str">
            <v>刘昊宇</v>
          </cell>
          <cell r="B353" t="str">
            <v>24q710103167</v>
          </cell>
          <cell r="C353" t="str">
            <v>24级电子4班(本方)</v>
          </cell>
        </row>
        <row r="354">
          <cell r="A354" t="str">
            <v>刘雅馨</v>
          </cell>
          <cell r="B354" t="str">
            <v>24q710103170</v>
          </cell>
          <cell r="C354" t="str">
            <v>24级电子4班(本方)</v>
          </cell>
        </row>
        <row r="355">
          <cell r="A355" t="str">
            <v>刘紫玉</v>
          </cell>
          <cell r="B355" t="str">
            <v>24q710103171</v>
          </cell>
          <cell r="C355" t="str">
            <v>24级电子4班(本方)</v>
          </cell>
        </row>
        <row r="356">
          <cell r="A356" t="str">
            <v>罗萍萍</v>
          </cell>
          <cell r="B356" t="str">
            <v>24q710103173</v>
          </cell>
          <cell r="C356" t="str">
            <v>24级电子4班(本方)</v>
          </cell>
        </row>
        <row r="357">
          <cell r="A357" t="str">
            <v>罗思洋</v>
          </cell>
          <cell r="B357" t="str">
            <v>24q710103174</v>
          </cell>
          <cell r="C357" t="str">
            <v>24级电子4班(本方)</v>
          </cell>
        </row>
        <row r="358">
          <cell r="A358" t="str">
            <v>彭昊</v>
          </cell>
          <cell r="B358" t="str">
            <v>24q710103178</v>
          </cell>
          <cell r="C358" t="str">
            <v>24级电子4班(本方)</v>
          </cell>
        </row>
        <row r="359">
          <cell r="A359" t="str">
            <v>彭雨松</v>
          </cell>
          <cell r="B359" t="str">
            <v>24q710103181</v>
          </cell>
          <cell r="C359" t="str">
            <v>24级电子4班(本方)</v>
          </cell>
        </row>
        <row r="360">
          <cell r="A360" t="str">
            <v>夏洋</v>
          </cell>
          <cell r="B360" t="str">
            <v>24q710103182</v>
          </cell>
          <cell r="C360" t="str">
            <v>24级电子4班(本方)</v>
          </cell>
        </row>
        <row r="361">
          <cell r="A361" t="str">
            <v>赵雅娟</v>
          </cell>
          <cell r="B361" t="str">
            <v>24q710103186</v>
          </cell>
          <cell r="C361" t="str">
            <v>24级电子4班(本方)</v>
          </cell>
        </row>
        <row r="362">
          <cell r="A362" t="str">
            <v>赵宴</v>
          </cell>
          <cell r="B362" t="str">
            <v>24q710103187</v>
          </cell>
          <cell r="C362" t="str">
            <v>24级电子4班(本方)</v>
          </cell>
        </row>
        <row r="363">
          <cell r="A363" t="str">
            <v>周语欣</v>
          </cell>
          <cell r="B363" t="str">
            <v>24q710103191</v>
          </cell>
          <cell r="C363" t="str">
            <v>24级电子4班(本方)</v>
          </cell>
        </row>
        <row r="364">
          <cell r="A364" t="str">
            <v>柏朕翔</v>
          </cell>
          <cell r="B364" t="str">
            <v>24q710103119</v>
          </cell>
          <cell r="C364" t="str">
            <v>24级电子4班(本方)</v>
          </cell>
        </row>
        <row r="365">
          <cell r="A365" t="str">
            <v>胡林涛</v>
          </cell>
          <cell r="B365" t="str">
            <v>24q710103144</v>
          </cell>
          <cell r="C365" t="str">
            <v>24级电子4班(本方)</v>
          </cell>
        </row>
        <row r="366">
          <cell r="A366" t="str">
            <v>刘景瑞</v>
          </cell>
          <cell r="B366" t="str">
            <v>24q710103075</v>
          </cell>
          <cell r="C366" t="str">
            <v>24级电子4班(本方)</v>
          </cell>
        </row>
        <row r="367">
          <cell r="A367" t="str">
            <v>牟芃睿</v>
          </cell>
          <cell r="B367" t="str">
            <v>24q7101033110</v>
          </cell>
          <cell r="C367" t="str">
            <v>24级电子4班(本方)</v>
          </cell>
        </row>
        <row r="368">
          <cell r="A368" t="str">
            <v>罗俊</v>
          </cell>
          <cell r="B368" t="str">
            <v>24q710103285</v>
          </cell>
          <cell r="C368" t="str">
            <v>24级电子5班(本方)</v>
          </cell>
        </row>
        <row r="369">
          <cell r="A369" t="str">
            <v>陈芋涵</v>
          </cell>
          <cell r="B369" t="str">
            <v>24q710103281</v>
          </cell>
          <cell r="C369" t="str">
            <v>24级电子5班(本方)</v>
          </cell>
        </row>
        <row r="370">
          <cell r="A370" t="str">
            <v>彭稚迪</v>
          </cell>
          <cell r="B370" t="str">
            <v>24q710103286</v>
          </cell>
          <cell r="C370" t="str">
            <v>24级电子5班(本方)</v>
          </cell>
        </row>
        <row r="371">
          <cell r="A371" t="str">
            <v>任佳旭</v>
          </cell>
          <cell r="B371" t="str">
            <v>24q710103287</v>
          </cell>
          <cell r="C371" t="str">
            <v>24级电子5班(本方)</v>
          </cell>
        </row>
        <row r="372">
          <cell r="A372" t="str">
            <v>沈科君</v>
          </cell>
          <cell r="B372" t="str">
            <v>24q710103289</v>
          </cell>
          <cell r="C372" t="str">
            <v>24级电子5班(本方)</v>
          </cell>
        </row>
        <row r="373">
          <cell r="A373" t="str">
            <v>宋非</v>
          </cell>
          <cell r="B373" t="str">
            <v>24q710103290</v>
          </cell>
          <cell r="C373" t="str">
            <v>24级电子5班(本方)</v>
          </cell>
        </row>
        <row r="374">
          <cell r="A374" t="str">
            <v>宋昕瑀</v>
          </cell>
          <cell r="B374" t="str">
            <v>24q710103293</v>
          </cell>
          <cell r="C374" t="str">
            <v>24级电子5班(本方)</v>
          </cell>
        </row>
        <row r="375">
          <cell r="A375" t="str">
            <v>苏蕾</v>
          </cell>
          <cell r="B375" t="str">
            <v>24q710103294</v>
          </cell>
          <cell r="C375" t="str">
            <v>24级电子5班(本方)</v>
          </cell>
        </row>
        <row r="376">
          <cell r="A376" t="str">
            <v>覃露露</v>
          </cell>
          <cell r="B376" t="str">
            <v>24q710103295</v>
          </cell>
          <cell r="C376" t="str">
            <v>24级电子5班(本方)</v>
          </cell>
        </row>
        <row r="377">
          <cell r="A377" t="str">
            <v>谭舜谊</v>
          </cell>
          <cell r="B377" t="str">
            <v>24q710103296</v>
          </cell>
          <cell r="C377" t="str">
            <v>24级电子5班(本方)</v>
          </cell>
        </row>
        <row r="378">
          <cell r="A378" t="str">
            <v>唐子林</v>
          </cell>
          <cell r="B378" t="str">
            <v>24q710103298</v>
          </cell>
          <cell r="C378" t="str">
            <v>24级电子5班(本方)</v>
          </cell>
        </row>
        <row r="379">
          <cell r="A379" t="str">
            <v>汪语函</v>
          </cell>
          <cell r="B379" t="str">
            <v>24q710103299</v>
          </cell>
          <cell r="C379" t="str">
            <v>24级电子5班(本方)</v>
          </cell>
        </row>
        <row r="380">
          <cell r="A380" t="str">
            <v>王皓轩</v>
          </cell>
          <cell r="B380" t="str">
            <v>24q710103300</v>
          </cell>
          <cell r="C380" t="str">
            <v>24级电子5班(本方)</v>
          </cell>
        </row>
        <row r="381">
          <cell r="A381" t="str">
            <v>王佳辉</v>
          </cell>
          <cell r="B381" t="str">
            <v>24q710103301</v>
          </cell>
          <cell r="C381" t="str">
            <v>24级电子5班(本方)</v>
          </cell>
        </row>
        <row r="382">
          <cell r="A382" t="str">
            <v>王西</v>
          </cell>
          <cell r="B382" t="str">
            <v>24q710103303</v>
          </cell>
          <cell r="C382" t="str">
            <v>24级电子5班(本方)</v>
          </cell>
        </row>
        <row r="383">
          <cell r="A383" t="str">
            <v>王一好</v>
          </cell>
          <cell r="B383" t="str">
            <v>24q710103305</v>
          </cell>
          <cell r="C383" t="str">
            <v>24级电子5班(本方)</v>
          </cell>
        </row>
        <row r="384">
          <cell r="A384" t="str">
            <v>吴昭旭</v>
          </cell>
          <cell r="B384" t="str">
            <v>24q710103308</v>
          </cell>
          <cell r="C384" t="str">
            <v>24级电子5班(本方)</v>
          </cell>
        </row>
        <row r="385">
          <cell r="A385" t="str">
            <v>伍国豪</v>
          </cell>
          <cell r="B385" t="str">
            <v>24q710103309</v>
          </cell>
          <cell r="C385" t="str">
            <v>24级电子5班(本方)</v>
          </cell>
        </row>
        <row r="386">
          <cell r="A386" t="str">
            <v>鲜阳</v>
          </cell>
          <cell r="B386" t="str">
            <v>24q710103312</v>
          </cell>
          <cell r="C386" t="str">
            <v>24级电子5班(本方)</v>
          </cell>
        </row>
        <row r="387">
          <cell r="A387" t="str">
            <v>熊思延</v>
          </cell>
          <cell r="B387" t="str">
            <v>24q710103314</v>
          </cell>
          <cell r="C387" t="str">
            <v>24级电子5班(本方)</v>
          </cell>
        </row>
        <row r="388">
          <cell r="A388" t="str">
            <v>许慧佳</v>
          </cell>
          <cell r="B388" t="str">
            <v>24q710103316</v>
          </cell>
          <cell r="C388" t="str">
            <v>24级电子5班(本方)</v>
          </cell>
        </row>
        <row r="389">
          <cell r="A389" t="str">
            <v>杨婧暄</v>
          </cell>
          <cell r="B389" t="str">
            <v>24q710103319</v>
          </cell>
          <cell r="C389" t="str">
            <v>24级电子5班(本方)</v>
          </cell>
        </row>
        <row r="390">
          <cell r="A390" t="str">
            <v>杨宇博</v>
          </cell>
          <cell r="B390" t="str">
            <v>24q710103321</v>
          </cell>
          <cell r="C390" t="str">
            <v>24级电子5班(本方)</v>
          </cell>
        </row>
        <row r="391">
          <cell r="A391" t="str">
            <v>叶宇婷</v>
          </cell>
          <cell r="B391" t="str">
            <v>24q710103324</v>
          </cell>
          <cell r="C391" t="str">
            <v>24级电子5班(本方)</v>
          </cell>
        </row>
        <row r="392">
          <cell r="A392" t="str">
            <v>张健飞</v>
          </cell>
          <cell r="B392" t="str">
            <v>24q710103327</v>
          </cell>
          <cell r="C392" t="str">
            <v>24级电子5班(本方)</v>
          </cell>
        </row>
        <row r="393">
          <cell r="A393" t="str">
            <v>张可唯</v>
          </cell>
          <cell r="B393" t="str">
            <v>24q710103329</v>
          </cell>
          <cell r="C393" t="str">
            <v>24级电子5班(本方)</v>
          </cell>
        </row>
        <row r="394">
          <cell r="A394" t="str">
            <v>张芊芊</v>
          </cell>
          <cell r="B394" t="str">
            <v>24q710103330</v>
          </cell>
          <cell r="C394" t="str">
            <v>24级电子5班(本方)</v>
          </cell>
        </row>
        <row r="395">
          <cell r="A395" t="str">
            <v>张思琪</v>
          </cell>
          <cell r="B395" t="str">
            <v>24q710103331</v>
          </cell>
          <cell r="C395" t="str">
            <v>24级电子5班(本方)</v>
          </cell>
        </row>
        <row r="396">
          <cell r="A396" t="str">
            <v>张怡</v>
          </cell>
          <cell r="B396" t="str">
            <v>24q710103332</v>
          </cell>
          <cell r="C396" t="str">
            <v>24级电子5班(本方)</v>
          </cell>
        </row>
        <row r="397">
          <cell r="A397" t="str">
            <v>赵小翔</v>
          </cell>
          <cell r="B397" t="str">
            <v>24q710103333</v>
          </cell>
          <cell r="C397" t="str">
            <v>24级电子5班(本方)</v>
          </cell>
        </row>
        <row r="398">
          <cell r="A398" t="str">
            <v>赵雨彤</v>
          </cell>
          <cell r="B398" t="str">
            <v>24q710103335</v>
          </cell>
          <cell r="C398" t="str">
            <v>24级电子5班(本方)</v>
          </cell>
        </row>
        <row r="399">
          <cell r="A399" t="str">
            <v>赵梓丞</v>
          </cell>
          <cell r="B399" t="str">
            <v>24q710103336</v>
          </cell>
          <cell r="C399" t="str">
            <v>24级电子5班(本方)</v>
          </cell>
        </row>
        <row r="400">
          <cell r="A400" t="str">
            <v>赵梓皓</v>
          </cell>
          <cell r="B400" t="str">
            <v>24q710103337</v>
          </cell>
          <cell r="C400" t="str">
            <v>24级电子5班(本方)</v>
          </cell>
        </row>
        <row r="401">
          <cell r="A401" t="str">
            <v>周湘鸿</v>
          </cell>
          <cell r="B401" t="str">
            <v>24q710103339</v>
          </cell>
          <cell r="C401" t="str">
            <v>24级电子5班(本方)</v>
          </cell>
        </row>
        <row r="402">
          <cell r="A402" t="str">
            <v>周欣怡</v>
          </cell>
          <cell r="B402" t="str">
            <v>24q710103340</v>
          </cell>
          <cell r="C402" t="str">
            <v>24级电子5班(本方)</v>
          </cell>
        </row>
        <row r="403">
          <cell r="A403" t="str">
            <v>周意嘉</v>
          </cell>
          <cell r="B403" t="str">
            <v>24q710103341</v>
          </cell>
          <cell r="C403" t="str">
            <v>24级电子5班(本方)</v>
          </cell>
        </row>
        <row r="404">
          <cell r="A404" t="str">
            <v>邹晓雨</v>
          </cell>
          <cell r="B404" t="str">
            <v>24q710103342</v>
          </cell>
          <cell r="C404" t="str">
            <v>24级电子5班(本方)</v>
          </cell>
        </row>
        <row r="405">
          <cell r="A405" t="str">
            <v>胡杨帆</v>
          </cell>
          <cell r="B405" t="str">
            <v>24q7101031261</v>
          </cell>
          <cell r="C405" t="str">
            <v>24级电子5班(本方)</v>
          </cell>
        </row>
        <row r="406">
          <cell r="A406" t="str">
            <v>陈媛塬</v>
          </cell>
          <cell r="B406" t="str">
            <v>24q71010328620</v>
          </cell>
          <cell r="C406" t="str">
            <v>24级电子5班(本方)</v>
          </cell>
        </row>
        <row r="407">
          <cell r="A407" t="str">
            <v>白云鹤</v>
          </cell>
          <cell r="B407" t="str">
            <v>24q710201141</v>
          </cell>
          <cell r="C407" t="str">
            <v>24级计算机1班</v>
          </cell>
        </row>
        <row r="408">
          <cell r="A408" t="str">
            <v>曹艾琦</v>
          </cell>
          <cell r="B408" t="str">
            <v>24q710201142</v>
          </cell>
          <cell r="C408" t="str">
            <v>24级计算机1班</v>
          </cell>
        </row>
        <row r="409">
          <cell r="A409" t="str">
            <v>陈曾奇</v>
          </cell>
          <cell r="B409" t="str">
            <v>24q710201143</v>
          </cell>
          <cell r="C409" t="str">
            <v>24级计算机1班</v>
          </cell>
        </row>
        <row r="410">
          <cell r="A410" t="str">
            <v>陈庆东</v>
          </cell>
          <cell r="B410" t="str">
            <v>24q710201144</v>
          </cell>
          <cell r="C410" t="str">
            <v>24级计算机1班</v>
          </cell>
        </row>
        <row r="411">
          <cell r="A411" t="str">
            <v>陈阳</v>
          </cell>
          <cell r="B411" t="str">
            <v>24q710201145</v>
          </cell>
          <cell r="C411" t="str">
            <v>24级计算机1班</v>
          </cell>
        </row>
        <row r="412">
          <cell r="A412" t="str">
            <v>陈一鸣</v>
          </cell>
          <cell r="B412" t="str">
            <v>24q710201146</v>
          </cell>
          <cell r="C412" t="str">
            <v>24级计算机1班</v>
          </cell>
        </row>
        <row r="413">
          <cell r="A413" t="str">
            <v>付琨宇</v>
          </cell>
          <cell r="B413" t="str">
            <v>24q710201147</v>
          </cell>
          <cell r="C413" t="str">
            <v>24级计算机1班</v>
          </cell>
        </row>
        <row r="414">
          <cell r="A414" t="str">
            <v>付乐</v>
          </cell>
          <cell r="B414" t="str">
            <v>24q710201148</v>
          </cell>
          <cell r="C414" t="str">
            <v>24级计算机1班</v>
          </cell>
        </row>
        <row r="415">
          <cell r="A415" t="str">
            <v>付思玉</v>
          </cell>
          <cell r="B415" t="str">
            <v>24q710201149</v>
          </cell>
          <cell r="C415" t="str">
            <v>24级计算机1班</v>
          </cell>
        </row>
        <row r="416">
          <cell r="A416" t="str">
            <v>高铃雅</v>
          </cell>
          <cell r="B416" t="str">
            <v>24q710201150</v>
          </cell>
          <cell r="C416" t="str">
            <v>24级计算机1班</v>
          </cell>
        </row>
        <row r="417">
          <cell r="A417" t="str">
            <v>何宝振</v>
          </cell>
          <cell r="B417" t="str">
            <v>24q710201151</v>
          </cell>
          <cell r="C417" t="str">
            <v>24级计算机1班</v>
          </cell>
        </row>
        <row r="418">
          <cell r="A418" t="str">
            <v>何芯锐</v>
          </cell>
          <cell r="B418" t="str">
            <v>24q710201152</v>
          </cell>
          <cell r="C418" t="str">
            <v>24级计算机1班</v>
          </cell>
        </row>
        <row r="419">
          <cell r="A419" t="str">
            <v>胡紫豪</v>
          </cell>
          <cell r="B419" t="str">
            <v>24q710201154</v>
          </cell>
          <cell r="C419" t="str">
            <v>24级计算机1班</v>
          </cell>
        </row>
        <row r="420">
          <cell r="A420" t="str">
            <v>孔智妍</v>
          </cell>
          <cell r="B420" t="str">
            <v>24q710201158</v>
          </cell>
          <cell r="C420" t="str">
            <v>24级计算机1班</v>
          </cell>
        </row>
        <row r="421">
          <cell r="A421" t="str">
            <v>李俊豪</v>
          </cell>
          <cell r="B421" t="str">
            <v>24q710201159</v>
          </cell>
          <cell r="C421" t="str">
            <v>24级计算机1班</v>
          </cell>
        </row>
        <row r="422">
          <cell r="A422" t="str">
            <v>李文涛</v>
          </cell>
          <cell r="B422" t="str">
            <v>24q710201160</v>
          </cell>
          <cell r="C422" t="str">
            <v>24级计算机1班</v>
          </cell>
        </row>
        <row r="423">
          <cell r="A423" t="str">
            <v>李勇</v>
          </cell>
          <cell r="B423" t="str">
            <v>24q710201161</v>
          </cell>
          <cell r="C423" t="str">
            <v>24级计算机1班</v>
          </cell>
        </row>
        <row r="424">
          <cell r="A424" t="str">
            <v>刘嫣然</v>
          </cell>
          <cell r="B424" t="str">
            <v>24q710201164</v>
          </cell>
          <cell r="C424" t="str">
            <v>24级计算机1班</v>
          </cell>
        </row>
        <row r="425">
          <cell r="A425" t="str">
            <v>鲁如意</v>
          </cell>
          <cell r="B425" t="str">
            <v>24q710201167</v>
          </cell>
          <cell r="C425" t="str">
            <v>24级计算机1班</v>
          </cell>
        </row>
        <row r="426">
          <cell r="A426" t="str">
            <v>罗晨</v>
          </cell>
          <cell r="B426" t="str">
            <v>24q710201168</v>
          </cell>
          <cell r="C426" t="str">
            <v>24级计算机1班</v>
          </cell>
        </row>
        <row r="427">
          <cell r="A427" t="str">
            <v>罗凌君浩</v>
          </cell>
          <cell r="B427" t="str">
            <v>24q710201170</v>
          </cell>
          <cell r="C427" t="str">
            <v>24级计算机1班</v>
          </cell>
        </row>
        <row r="428">
          <cell r="A428" t="str">
            <v>罗圣鑫</v>
          </cell>
          <cell r="B428" t="str">
            <v>24q710201171</v>
          </cell>
          <cell r="C428" t="str">
            <v>24级计算机1班</v>
          </cell>
        </row>
        <row r="429">
          <cell r="A429" t="str">
            <v>牟学红</v>
          </cell>
          <cell r="B429" t="str">
            <v>24q710201175</v>
          </cell>
          <cell r="C429" t="str">
            <v>24级计算机1班</v>
          </cell>
        </row>
        <row r="430">
          <cell r="A430" t="str">
            <v>彭雨涵</v>
          </cell>
          <cell r="B430" t="str">
            <v>24q710201176</v>
          </cell>
          <cell r="C430" t="str">
            <v>24级计算机1班</v>
          </cell>
        </row>
        <row r="431">
          <cell r="A431" t="str">
            <v>邱绍博</v>
          </cell>
          <cell r="B431" t="str">
            <v>24q710201177</v>
          </cell>
          <cell r="C431" t="str">
            <v>24级计算机1班</v>
          </cell>
        </row>
        <row r="432">
          <cell r="A432" t="str">
            <v>唐茂钞</v>
          </cell>
          <cell r="B432" t="str">
            <v>24q710201179</v>
          </cell>
          <cell r="C432" t="str">
            <v>24级计算机1班</v>
          </cell>
        </row>
        <row r="433">
          <cell r="A433" t="str">
            <v>汪诗琪</v>
          </cell>
          <cell r="B433" t="str">
            <v>24q710201181</v>
          </cell>
          <cell r="C433" t="str">
            <v>24级计算机1班</v>
          </cell>
        </row>
        <row r="434">
          <cell r="A434" t="str">
            <v>汪雨城</v>
          </cell>
          <cell r="B434" t="str">
            <v>24q710201182</v>
          </cell>
          <cell r="C434" t="str">
            <v>24级计算机1班</v>
          </cell>
        </row>
        <row r="435">
          <cell r="A435" t="str">
            <v>王念鑫</v>
          </cell>
          <cell r="B435" t="str">
            <v>24q710201183</v>
          </cell>
          <cell r="C435" t="str">
            <v>24级计算机1班</v>
          </cell>
        </row>
        <row r="436">
          <cell r="A436" t="str">
            <v>王思乐</v>
          </cell>
          <cell r="B436" t="str">
            <v>24q710201184</v>
          </cell>
          <cell r="C436" t="str">
            <v>24级计算机1班</v>
          </cell>
        </row>
        <row r="437">
          <cell r="A437" t="str">
            <v>王思睿</v>
          </cell>
          <cell r="B437" t="str">
            <v>24q710201185</v>
          </cell>
          <cell r="C437" t="str">
            <v>24级计算机1班</v>
          </cell>
        </row>
        <row r="438">
          <cell r="A438" t="str">
            <v>王月圻</v>
          </cell>
          <cell r="B438" t="str">
            <v>24q710201186</v>
          </cell>
          <cell r="C438" t="str">
            <v>24级计算机1班</v>
          </cell>
        </row>
        <row r="439">
          <cell r="A439" t="str">
            <v>席辰辰</v>
          </cell>
          <cell r="B439" t="str">
            <v>24q710201187</v>
          </cell>
          <cell r="C439" t="str">
            <v>24级计算机1班</v>
          </cell>
        </row>
        <row r="440">
          <cell r="A440" t="str">
            <v>谢子涵</v>
          </cell>
          <cell r="B440" t="str">
            <v>24q710201188</v>
          </cell>
          <cell r="C440" t="str">
            <v>24级计算机1班</v>
          </cell>
        </row>
        <row r="441">
          <cell r="A441" t="str">
            <v>胥江源</v>
          </cell>
          <cell r="B441" t="str">
            <v>24q710201189</v>
          </cell>
          <cell r="C441" t="str">
            <v>24级计算机1班</v>
          </cell>
        </row>
        <row r="442">
          <cell r="A442" t="str">
            <v>徐晴纹</v>
          </cell>
          <cell r="B442" t="str">
            <v>24q710201190</v>
          </cell>
          <cell r="C442" t="str">
            <v>24级计算机1班</v>
          </cell>
        </row>
        <row r="443">
          <cell r="A443" t="str">
            <v>许俊晰</v>
          </cell>
          <cell r="B443" t="str">
            <v>24q710201192</v>
          </cell>
          <cell r="C443" t="str">
            <v>24级计算机1班</v>
          </cell>
        </row>
        <row r="444">
          <cell r="A444" t="str">
            <v>许琳茜</v>
          </cell>
          <cell r="B444" t="str">
            <v>24q710201193</v>
          </cell>
          <cell r="C444" t="str">
            <v>24级计算机1班</v>
          </cell>
        </row>
        <row r="445">
          <cell r="A445" t="str">
            <v>阳皓鑫</v>
          </cell>
          <cell r="B445" t="str">
            <v>24q710201194</v>
          </cell>
          <cell r="C445" t="str">
            <v>24级计算机1班</v>
          </cell>
        </row>
        <row r="446">
          <cell r="A446" t="str">
            <v>杨佩凌</v>
          </cell>
          <cell r="B446" t="str">
            <v>24q710201195</v>
          </cell>
          <cell r="C446" t="str">
            <v>24级计算机1班</v>
          </cell>
        </row>
        <row r="447">
          <cell r="A447" t="str">
            <v>杨清晨</v>
          </cell>
          <cell r="B447" t="str">
            <v>24q710201196</v>
          </cell>
          <cell r="C447" t="str">
            <v>24级计算机1班</v>
          </cell>
        </row>
        <row r="448">
          <cell r="A448" t="str">
            <v>杨延凯</v>
          </cell>
          <cell r="B448" t="str">
            <v>24q710201197</v>
          </cell>
          <cell r="C448" t="str">
            <v>24级计算机1班</v>
          </cell>
        </row>
        <row r="449">
          <cell r="A449" t="str">
            <v>杨宇琪</v>
          </cell>
          <cell r="B449" t="str">
            <v>24q710201198</v>
          </cell>
          <cell r="C449" t="str">
            <v>24级计算机1班</v>
          </cell>
        </row>
        <row r="450">
          <cell r="A450" t="str">
            <v>余智缘</v>
          </cell>
          <cell r="B450" t="str">
            <v>24q710201202</v>
          </cell>
          <cell r="C450" t="str">
            <v>24级计算机1班</v>
          </cell>
        </row>
        <row r="451">
          <cell r="A451" t="str">
            <v>张玲媛</v>
          </cell>
          <cell r="B451" t="str">
            <v>24q710201203</v>
          </cell>
          <cell r="C451" t="str">
            <v>24级计算机1班</v>
          </cell>
        </row>
        <row r="452">
          <cell r="A452" t="str">
            <v>张芮菡</v>
          </cell>
          <cell r="B452" t="str">
            <v>24q710201204</v>
          </cell>
          <cell r="C452" t="str">
            <v>24级计算机1班</v>
          </cell>
        </row>
        <row r="453">
          <cell r="A453" t="str">
            <v>张以轩</v>
          </cell>
          <cell r="B453" t="str">
            <v>24q710201206</v>
          </cell>
          <cell r="C453" t="str">
            <v>24级计算机1班</v>
          </cell>
        </row>
        <row r="454">
          <cell r="A454" t="str">
            <v>赵超越</v>
          </cell>
          <cell r="B454" t="str">
            <v>24q710201207</v>
          </cell>
          <cell r="C454" t="str">
            <v>24级计算机1班</v>
          </cell>
        </row>
        <row r="455">
          <cell r="A455" t="str">
            <v>赵秋宇</v>
          </cell>
          <cell r="B455" t="str">
            <v>24q710201208</v>
          </cell>
          <cell r="C455" t="str">
            <v>24级计算机1班</v>
          </cell>
        </row>
        <row r="456">
          <cell r="A456" t="str">
            <v>赵茹意</v>
          </cell>
          <cell r="B456" t="str">
            <v>24q710201209</v>
          </cell>
          <cell r="C456" t="str">
            <v>24级计算机1班</v>
          </cell>
        </row>
        <row r="457">
          <cell r="A457" t="str">
            <v>郑平</v>
          </cell>
          <cell r="B457" t="str">
            <v>24q710201211</v>
          </cell>
          <cell r="C457" t="str">
            <v>24级计算机1班</v>
          </cell>
        </row>
        <row r="458">
          <cell r="A458" t="str">
            <v>郑文佳</v>
          </cell>
          <cell r="B458" t="str">
            <v>24q710201212</v>
          </cell>
          <cell r="C458" t="str">
            <v>24级计算机1班</v>
          </cell>
        </row>
        <row r="459">
          <cell r="A459" t="str">
            <v>郑志敏</v>
          </cell>
          <cell r="B459" t="str">
            <v>24q710201213</v>
          </cell>
          <cell r="C459" t="str">
            <v>24级计算机1班</v>
          </cell>
        </row>
        <row r="460">
          <cell r="A460" t="str">
            <v>朱骆</v>
          </cell>
          <cell r="B460" t="str">
            <v>24q710201214</v>
          </cell>
          <cell r="C460" t="str">
            <v>24级计算机1班</v>
          </cell>
        </row>
        <row r="461">
          <cell r="A461" t="str">
            <v>祝愿</v>
          </cell>
          <cell r="B461" t="str">
            <v>24q710201215</v>
          </cell>
          <cell r="C461" t="str">
            <v>24级计算机1班</v>
          </cell>
        </row>
        <row r="462">
          <cell r="A462" t="str">
            <v>郑继翔</v>
          </cell>
          <cell r="B462" t="str">
            <v>24q71010328618</v>
          </cell>
          <cell r="C462" t="str">
            <v>24级计算机1班</v>
          </cell>
        </row>
        <row r="463">
          <cell r="A463" t="str">
            <v>白鑫</v>
          </cell>
          <cell r="B463" t="str">
            <v>24q710103351</v>
          </cell>
          <cell r="C463" t="str">
            <v>24级计算机1班</v>
          </cell>
        </row>
        <row r="464">
          <cell r="A464" t="str">
            <v>沈梦曦</v>
          </cell>
          <cell r="B464" t="str">
            <v>24q7101032866</v>
          </cell>
          <cell r="C464" t="str">
            <v>24级计算机1班</v>
          </cell>
        </row>
        <row r="465">
          <cell r="A465" t="str">
            <v>肖锦琪</v>
          </cell>
          <cell r="B465" t="str">
            <v>24q7102011411</v>
          </cell>
          <cell r="C465" t="str">
            <v>24级计算机1班</v>
          </cell>
        </row>
        <row r="466">
          <cell r="A466" t="str">
            <v>张奥东</v>
          </cell>
          <cell r="B466" t="str">
            <v>511821200901020213</v>
          </cell>
          <cell r="C466" t="str">
            <v>24级计算机1班</v>
          </cell>
        </row>
        <row r="467">
          <cell r="A467" t="str">
            <v>张振杨</v>
          </cell>
          <cell r="B467" t="str">
            <v>24q710103286191</v>
          </cell>
          <cell r="C467" t="str">
            <v>24级计算机1班</v>
          </cell>
        </row>
        <row r="468">
          <cell r="A468" t="str">
            <v>刘宇轩</v>
          </cell>
          <cell r="B468" t="str">
            <v>24q710201079</v>
          </cell>
          <cell r="C468" t="str">
            <v>24级计算机1班</v>
          </cell>
        </row>
        <row r="469">
          <cell r="A469" t="str">
            <v>彭伊凡</v>
          </cell>
          <cell r="B469" t="str">
            <v>24q710201086</v>
          </cell>
          <cell r="C469" t="str">
            <v>24级计算机1班</v>
          </cell>
        </row>
        <row r="470">
          <cell r="A470" t="str">
            <v>田梦琪</v>
          </cell>
          <cell r="B470" t="str">
            <v>24q710201088</v>
          </cell>
          <cell r="C470" t="str">
            <v>24级计算机1班</v>
          </cell>
        </row>
        <row r="471">
          <cell r="A471" t="str">
            <v>吴耀阳</v>
          </cell>
          <cell r="B471" t="str">
            <v>24q710201096</v>
          </cell>
          <cell r="C471" t="str">
            <v>24级计算机1班</v>
          </cell>
        </row>
        <row r="472">
          <cell r="A472" t="str">
            <v>殷斯晗</v>
          </cell>
          <cell r="B472" t="str">
            <v>24q710201107</v>
          </cell>
          <cell r="C472" t="str">
            <v>24级计算机1班</v>
          </cell>
        </row>
        <row r="473">
          <cell r="A473" t="str">
            <v>张志豪</v>
          </cell>
          <cell r="B473" t="str">
            <v>24q710201112</v>
          </cell>
          <cell r="C473" t="str">
            <v>24级计算机1班</v>
          </cell>
        </row>
        <row r="474">
          <cell r="A474" t="str">
            <v>母彬宇</v>
          </cell>
          <cell r="B474" t="str">
            <v>20240822</v>
          </cell>
          <cell r="C474" t="str">
            <v>24级计算机1班</v>
          </cell>
        </row>
        <row r="475">
          <cell r="A475" t="str">
            <v>李潇苒</v>
          </cell>
          <cell r="B475" t="str">
            <v>20240926</v>
          </cell>
          <cell r="C475" t="str">
            <v>24级计算机1班</v>
          </cell>
        </row>
        <row r="476">
          <cell r="A476" t="str">
            <v>尹芦耀</v>
          </cell>
          <cell r="B476" t="str">
            <v>20240927</v>
          </cell>
          <cell r="C476" t="str">
            <v>24级计算机1班</v>
          </cell>
        </row>
        <row r="477">
          <cell r="A477" t="str">
            <v>余佩谣</v>
          </cell>
          <cell r="B477" t="str">
            <v>20240426</v>
          </cell>
          <cell r="C477" t="str">
            <v>24级计算机1班</v>
          </cell>
        </row>
        <row r="478">
          <cell r="A478" t="str">
            <v>曾丽丽</v>
          </cell>
          <cell r="B478" t="str">
            <v>24q710201002</v>
          </cell>
          <cell r="C478" t="str">
            <v>24级计算机1班</v>
          </cell>
        </row>
        <row r="479">
          <cell r="A479" t="str">
            <v>李恩俊</v>
          </cell>
          <cell r="B479" t="str">
            <v>24q710201029</v>
          </cell>
          <cell r="C479" t="str">
            <v>24级计算机1班</v>
          </cell>
        </row>
        <row r="480">
          <cell r="A480" t="str">
            <v>唐佳希</v>
          </cell>
          <cell r="B480" t="str">
            <v>24q710201040</v>
          </cell>
          <cell r="C480" t="str">
            <v>24级计算机1班</v>
          </cell>
        </row>
        <row r="481">
          <cell r="A481" t="str">
            <v>凌小茹</v>
          </cell>
          <cell r="B481" t="str">
            <v>24q710201162</v>
          </cell>
          <cell r="C481" t="str">
            <v>24级计算机1班</v>
          </cell>
        </row>
        <row r="482">
          <cell r="A482" t="str">
            <v>付紫萱</v>
          </cell>
          <cell r="B482" t="str">
            <v>24q71010328619</v>
          </cell>
          <cell r="C482" t="str">
            <v>24级计算机1班</v>
          </cell>
        </row>
        <row r="483">
          <cell r="A483" t="str">
            <v>解崇勋</v>
          </cell>
          <cell r="B483" t="str">
            <v>20240681</v>
          </cell>
          <cell r="C483" t="str">
            <v>24级计算机1班</v>
          </cell>
        </row>
        <row r="484">
          <cell r="A484" t="str">
            <v>王骏恒</v>
          </cell>
          <cell r="B484" t="str">
            <v>20240722</v>
          </cell>
          <cell r="C484" t="str">
            <v>24级计算机1班</v>
          </cell>
        </row>
        <row r="485">
          <cell r="A485" t="str">
            <v>罗佳欣</v>
          </cell>
          <cell r="B485" t="str">
            <v>24q7102010241</v>
          </cell>
          <cell r="C485" t="str">
            <v>24级计算机2班(本方)</v>
          </cell>
        </row>
        <row r="486">
          <cell r="A486" t="str">
            <v>白玉佳</v>
          </cell>
          <cell r="B486" t="str">
            <v>24q710201001</v>
          </cell>
          <cell r="C486" t="str">
            <v>24级计算机2班(本方)</v>
          </cell>
        </row>
        <row r="487">
          <cell r="A487" t="str">
            <v>陈海容</v>
          </cell>
          <cell r="B487" t="str">
            <v>24q710201003</v>
          </cell>
          <cell r="C487" t="str">
            <v>24级计算机2班(本方)</v>
          </cell>
        </row>
        <row r="488">
          <cell r="A488" t="str">
            <v>陈浩冉</v>
          </cell>
          <cell r="B488" t="str">
            <v>24q710201004</v>
          </cell>
          <cell r="C488" t="str">
            <v>24级计算机2班(本方)</v>
          </cell>
        </row>
        <row r="489">
          <cell r="A489" t="str">
            <v>陈加</v>
          </cell>
          <cell r="B489" t="str">
            <v>24q710201005</v>
          </cell>
          <cell r="C489" t="str">
            <v>24级计算机2班(本方)</v>
          </cell>
        </row>
        <row r="490">
          <cell r="A490" t="str">
            <v>陈语馨</v>
          </cell>
          <cell r="B490" t="str">
            <v>24q710201006</v>
          </cell>
          <cell r="C490" t="str">
            <v>24级计算机2班(本方)</v>
          </cell>
        </row>
        <row r="491">
          <cell r="A491" t="str">
            <v>范宇菲</v>
          </cell>
          <cell r="B491" t="str">
            <v>24q710201009</v>
          </cell>
          <cell r="C491" t="str">
            <v>24级计算机2班(本方)</v>
          </cell>
        </row>
        <row r="492">
          <cell r="A492" t="str">
            <v>方卓妍</v>
          </cell>
          <cell r="B492" t="str">
            <v>24q710201010</v>
          </cell>
          <cell r="C492" t="str">
            <v>24级计算机2班(本方)</v>
          </cell>
        </row>
        <row r="493">
          <cell r="A493" t="str">
            <v>付依依</v>
          </cell>
          <cell r="B493" t="str">
            <v>24q710201011</v>
          </cell>
          <cell r="C493" t="str">
            <v>24级计算机2班(本方)</v>
          </cell>
        </row>
        <row r="494">
          <cell r="A494" t="str">
            <v>龚婷雯</v>
          </cell>
          <cell r="B494" t="str">
            <v>24q710201013</v>
          </cell>
          <cell r="C494" t="str">
            <v>24级计算机2班(本方)</v>
          </cell>
        </row>
        <row r="495">
          <cell r="A495" t="str">
            <v>顾心语</v>
          </cell>
          <cell r="B495" t="str">
            <v>24q710201014</v>
          </cell>
          <cell r="C495" t="str">
            <v>24级计算机2班(本方)</v>
          </cell>
        </row>
        <row r="496">
          <cell r="A496" t="str">
            <v>郭慧茹</v>
          </cell>
          <cell r="B496" t="str">
            <v>24q710201015</v>
          </cell>
          <cell r="C496" t="str">
            <v>24级计算机2班(本方)</v>
          </cell>
        </row>
        <row r="497">
          <cell r="A497" t="str">
            <v>郭嘉豪</v>
          </cell>
          <cell r="B497" t="str">
            <v>24q710201016</v>
          </cell>
          <cell r="C497" t="str">
            <v>24级计算机2班(本方)</v>
          </cell>
        </row>
        <row r="498">
          <cell r="A498" t="str">
            <v>韩艾霖</v>
          </cell>
          <cell r="B498" t="str">
            <v>24q710201017</v>
          </cell>
          <cell r="C498" t="str">
            <v>24级计算机2班(本方)</v>
          </cell>
        </row>
        <row r="499">
          <cell r="A499" t="str">
            <v>何孝艺</v>
          </cell>
          <cell r="B499" t="str">
            <v>24q710201018</v>
          </cell>
          <cell r="C499" t="str">
            <v>24级计算机2班(本方)</v>
          </cell>
        </row>
        <row r="500">
          <cell r="A500" t="str">
            <v>何依晨</v>
          </cell>
          <cell r="B500" t="str">
            <v>24q710201019</v>
          </cell>
          <cell r="C500" t="str">
            <v>24级计算机2班(本方)</v>
          </cell>
        </row>
        <row r="501">
          <cell r="A501" t="str">
            <v>胡建军</v>
          </cell>
          <cell r="B501" t="str">
            <v>24q710201020</v>
          </cell>
          <cell r="C501" t="str">
            <v>24级计算机2班(本方)</v>
          </cell>
        </row>
        <row r="502">
          <cell r="A502" t="str">
            <v>胡欣</v>
          </cell>
          <cell r="B502" t="str">
            <v>24q710201021</v>
          </cell>
          <cell r="C502" t="str">
            <v>24级计算机2班(本方)</v>
          </cell>
        </row>
        <row r="503">
          <cell r="A503" t="str">
            <v>黄远川</v>
          </cell>
          <cell r="B503" t="str">
            <v>24q710201022</v>
          </cell>
          <cell r="C503" t="str">
            <v>24级计算机2班(本方)</v>
          </cell>
        </row>
        <row r="504">
          <cell r="A504" t="str">
            <v>江雨航</v>
          </cell>
          <cell r="B504" t="str">
            <v>24q710201023</v>
          </cell>
          <cell r="C504" t="str">
            <v>24级计算机2班(本方)</v>
          </cell>
        </row>
        <row r="505">
          <cell r="A505" t="str">
            <v>金天</v>
          </cell>
          <cell r="B505" t="str">
            <v>24q710201025</v>
          </cell>
          <cell r="C505" t="str">
            <v>24级计算机2班(本方)</v>
          </cell>
        </row>
        <row r="506">
          <cell r="A506" t="str">
            <v>孔德宇</v>
          </cell>
          <cell r="B506" t="str">
            <v>24q710201026</v>
          </cell>
          <cell r="C506" t="str">
            <v>24级计算机2班(本方)</v>
          </cell>
        </row>
        <row r="507">
          <cell r="A507" t="str">
            <v>兰雅淇</v>
          </cell>
          <cell r="B507" t="str">
            <v>24q710201027</v>
          </cell>
          <cell r="C507" t="str">
            <v>24级计算机2班(本方)</v>
          </cell>
        </row>
        <row r="508">
          <cell r="A508" t="str">
            <v>黎霞晖</v>
          </cell>
          <cell r="B508" t="str">
            <v>24q710201028</v>
          </cell>
          <cell r="C508" t="str">
            <v>24级计算机2班(本方)</v>
          </cell>
        </row>
        <row r="509">
          <cell r="A509" t="str">
            <v>李盼</v>
          </cell>
          <cell r="B509" t="str">
            <v>24q710201030</v>
          </cell>
          <cell r="C509" t="str">
            <v>24级计算机2班(本方)</v>
          </cell>
        </row>
        <row r="510">
          <cell r="A510" t="str">
            <v>李宛萱</v>
          </cell>
          <cell r="B510" t="str">
            <v>24q710201032</v>
          </cell>
          <cell r="C510" t="str">
            <v>24级计算机2班(本方)</v>
          </cell>
        </row>
        <row r="511">
          <cell r="A511" t="str">
            <v>李薇</v>
          </cell>
          <cell r="B511" t="str">
            <v>24q710201033</v>
          </cell>
          <cell r="C511" t="str">
            <v>24级计算机2班(本方)</v>
          </cell>
        </row>
        <row r="512">
          <cell r="A512" t="str">
            <v>李晓瑄</v>
          </cell>
          <cell r="B512" t="str">
            <v>24q710201034</v>
          </cell>
          <cell r="C512" t="str">
            <v>24级计算机2班(本方)</v>
          </cell>
        </row>
        <row r="513">
          <cell r="A513" t="str">
            <v>李昱婷</v>
          </cell>
          <cell r="B513" t="str">
            <v>24q710201035</v>
          </cell>
          <cell r="C513" t="str">
            <v>24级计算机2班(本方)</v>
          </cell>
        </row>
        <row r="514">
          <cell r="A514" t="str">
            <v>罗喧</v>
          </cell>
          <cell r="B514" t="str">
            <v>24q710201037</v>
          </cell>
          <cell r="C514" t="str">
            <v>24级计算机2班(本方)</v>
          </cell>
        </row>
        <row r="515">
          <cell r="A515" t="str">
            <v>罗壹</v>
          </cell>
          <cell r="B515" t="str">
            <v>24q710201038</v>
          </cell>
          <cell r="C515" t="str">
            <v>24级计算机2班(本方)</v>
          </cell>
        </row>
        <row r="516">
          <cell r="A516" t="str">
            <v>谭雨晗</v>
          </cell>
          <cell r="B516" t="str">
            <v>24q710201039</v>
          </cell>
          <cell r="C516" t="str">
            <v>24级计算机2班(本方)</v>
          </cell>
        </row>
        <row r="517">
          <cell r="A517" t="str">
            <v>万松</v>
          </cell>
          <cell r="B517" t="str">
            <v>24q710201041</v>
          </cell>
          <cell r="C517" t="str">
            <v>24级计算机2班(本方)</v>
          </cell>
        </row>
        <row r="518">
          <cell r="A518" t="str">
            <v>王秋衡</v>
          </cell>
          <cell r="B518" t="str">
            <v>24q710201042</v>
          </cell>
          <cell r="C518" t="str">
            <v>24级计算机2班(本方)</v>
          </cell>
        </row>
        <row r="519">
          <cell r="A519" t="str">
            <v>文玉儿</v>
          </cell>
          <cell r="B519" t="str">
            <v>24q710201043</v>
          </cell>
          <cell r="C519" t="str">
            <v>24级计算机2班(本方)</v>
          </cell>
        </row>
        <row r="520">
          <cell r="A520" t="str">
            <v>伍星宇</v>
          </cell>
          <cell r="B520" t="str">
            <v>24q710201044</v>
          </cell>
          <cell r="C520" t="str">
            <v>24级计算机2班(本方)</v>
          </cell>
        </row>
        <row r="521">
          <cell r="A521" t="str">
            <v>鲜李莉</v>
          </cell>
          <cell r="B521" t="str">
            <v>24q710201046</v>
          </cell>
          <cell r="C521" t="str">
            <v>24级计算机2班(本方)</v>
          </cell>
        </row>
        <row r="522">
          <cell r="A522" t="str">
            <v>尹伶丹</v>
          </cell>
          <cell r="B522" t="str">
            <v>24q710201048</v>
          </cell>
          <cell r="C522" t="str">
            <v>24级计算机2班(本方)</v>
          </cell>
        </row>
        <row r="523">
          <cell r="A523" t="str">
            <v>张靖蒲</v>
          </cell>
          <cell r="B523" t="str">
            <v>24q710201049</v>
          </cell>
          <cell r="C523" t="str">
            <v>24级计算机2班(本方)</v>
          </cell>
        </row>
        <row r="524">
          <cell r="A524" t="str">
            <v>张希睿</v>
          </cell>
          <cell r="B524" t="str">
            <v>24q710201050</v>
          </cell>
          <cell r="C524" t="str">
            <v>24级计算机2班(本方)</v>
          </cell>
        </row>
        <row r="525">
          <cell r="A525" t="str">
            <v>李航宇</v>
          </cell>
          <cell r="B525" t="str">
            <v>24q710201073</v>
          </cell>
          <cell r="C525" t="str">
            <v>24级计算机3班(本方)</v>
          </cell>
        </row>
        <row r="526">
          <cell r="A526" t="str">
            <v>李乐</v>
          </cell>
          <cell r="B526" t="str">
            <v>24q710201074</v>
          </cell>
          <cell r="C526" t="str">
            <v>24级计算机3班(本方)</v>
          </cell>
        </row>
        <row r="527">
          <cell r="A527" t="str">
            <v>李振宇</v>
          </cell>
          <cell r="B527" t="str">
            <v>24q710201076</v>
          </cell>
          <cell r="C527" t="str">
            <v>24级计算机3班(本方)</v>
          </cell>
        </row>
        <row r="528">
          <cell r="A528" t="str">
            <v>刘羽萱</v>
          </cell>
          <cell r="B528" t="str">
            <v>24q710201080</v>
          </cell>
          <cell r="C528" t="str">
            <v>24级计算机3班(本方)</v>
          </cell>
        </row>
        <row r="529">
          <cell r="A529" t="str">
            <v>柳佳怡</v>
          </cell>
          <cell r="B529" t="str">
            <v>24q710201081</v>
          </cell>
          <cell r="C529" t="str">
            <v>24级计算机3班(本方)</v>
          </cell>
        </row>
        <row r="530">
          <cell r="A530" t="str">
            <v>罗浩东</v>
          </cell>
          <cell r="B530" t="str">
            <v>24q710201082</v>
          </cell>
          <cell r="C530" t="str">
            <v>24级计算机3班(本方)</v>
          </cell>
        </row>
        <row r="531">
          <cell r="A531" t="str">
            <v>罗钰淇</v>
          </cell>
          <cell r="B531" t="str">
            <v>24q710201083</v>
          </cell>
          <cell r="C531" t="str">
            <v>24级计算机3班(本方)</v>
          </cell>
        </row>
        <row r="532">
          <cell r="A532" t="str">
            <v>欧思辰</v>
          </cell>
          <cell r="B532" t="str">
            <v>24q710201084</v>
          </cell>
          <cell r="C532" t="str">
            <v>24级计算机3班(本方)</v>
          </cell>
        </row>
        <row r="533">
          <cell r="A533" t="str">
            <v>彭辉</v>
          </cell>
          <cell r="B533" t="str">
            <v>24q710201085</v>
          </cell>
          <cell r="C533" t="str">
            <v>24级计算机3班(本方)</v>
          </cell>
        </row>
        <row r="534">
          <cell r="A534" t="str">
            <v>童江</v>
          </cell>
          <cell r="B534" t="str">
            <v>24q710201089</v>
          </cell>
          <cell r="C534" t="str">
            <v>24级计算机3班(本方)</v>
          </cell>
        </row>
        <row r="535">
          <cell r="A535" t="str">
            <v>万慧琳</v>
          </cell>
          <cell r="B535" t="str">
            <v>24q710201090</v>
          </cell>
          <cell r="C535" t="str">
            <v>24级计算机3班(本方)</v>
          </cell>
        </row>
        <row r="536">
          <cell r="A536" t="str">
            <v>汪怡婷</v>
          </cell>
          <cell r="B536" t="str">
            <v>24q710201091</v>
          </cell>
          <cell r="C536" t="str">
            <v>24级计算机3班(本方)</v>
          </cell>
        </row>
        <row r="537">
          <cell r="A537" t="str">
            <v>王林威</v>
          </cell>
          <cell r="B537" t="str">
            <v>24q710201092</v>
          </cell>
          <cell r="C537" t="str">
            <v>24级计算机3班(本方)</v>
          </cell>
        </row>
        <row r="538">
          <cell r="A538" t="str">
            <v>王妍茜</v>
          </cell>
          <cell r="B538" t="str">
            <v>24q710201093</v>
          </cell>
          <cell r="C538" t="str">
            <v>24级计算机3班(本方)</v>
          </cell>
        </row>
        <row r="539">
          <cell r="A539" t="str">
            <v>吴骞昊</v>
          </cell>
          <cell r="B539" t="str">
            <v>24q710201095</v>
          </cell>
          <cell r="C539" t="str">
            <v>24级计算机3班(本方)</v>
          </cell>
        </row>
        <row r="540">
          <cell r="A540" t="str">
            <v>鲜思羽</v>
          </cell>
          <cell r="B540" t="str">
            <v>24q710201098</v>
          </cell>
          <cell r="C540" t="str">
            <v>24级计算机3班(本方)</v>
          </cell>
        </row>
        <row r="541">
          <cell r="A541" t="str">
            <v>肖朋橙</v>
          </cell>
          <cell r="B541" t="str">
            <v>24q710201099</v>
          </cell>
          <cell r="C541" t="str">
            <v>24级计算机3班(本方)</v>
          </cell>
        </row>
        <row r="542">
          <cell r="A542" t="str">
            <v>杨安琪</v>
          </cell>
          <cell r="B542" t="str">
            <v>24q710201100</v>
          </cell>
          <cell r="C542" t="str">
            <v>24级计算机3班(本方)</v>
          </cell>
        </row>
        <row r="543">
          <cell r="A543" t="str">
            <v>杨承浩</v>
          </cell>
          <cell r="B543" t="str">
            <v>24q710201101</v>
          </cell>
          <cell r="C543" t="str">
            <v>24级计算机3班(本方)</v>
          </cell>
        </row>
        <row r="544">
          <cell r="A544" t="str">
            <v>杨糕磊</v>
          </cell>
          <cell r="B544" t="str">
            <v>24q710201102</v>
          </cell>
          <cell r="C544" t="str">
            <v>24级计算机3班(本方)</v>
          </cell>
        </row>
        <row r="545">
          <cell r="A545" t="str">
            <v>杨靖宇</v>
          </cell>
          <cell r="B545" t="str">
            <v>24q710201103</v>
          </cell>
          <cell r="C545" t="str">
            <v>24级计算机3班(本方)</v>
          </cell>
        </row>
        <row r="546">
          <cell r="A546" t="str">
            <v>杨璐瑜</v>
          </cell>
          <cell r="B546" t="str">
            <v>24q710201104</v>
          </cell>
          <cell r="C546" t="str">
            <v>24级计算机3班(本方)</v>
          </cell>
        </row>
        <row r="547">
          <cell r="A547" t="str">
            <v>杨籽萱</v>
          </cell>
          <cell r="B547" t="str">
            <v>24q710201106</v>
          </cell>
          <cell r="C547" t="str">
            <v>24级计算机3班(本方)</v>
          </cell>
        </row>
        <row r="548">
          <cell r="A548" t="str">
            <v>余静</v>
          </cell>
          <cell r="B548" t="str">
            <v>24q710201108</v>
          </cell>
          <cell r="C548" t="str">
            <v>24级计算机3班(本方)</v>
          </cell>
        </row>
        <row r="549">
          <cell r="A549" t="str">
            <v>余雨飞</v>
          </cell>
          <cell r="B549" t="str">
            <v>24q710201109</v>
          </cell>
          <cell r="C549" t="str">
            <v>24级计算机3班(本方)</v>
          </cell>
        </row>
        <row r="550">
          <cell r="A550" t="str">
            <v>张桂钰</v>
          </cell>
          <cell r="B550" t="str">
            <v>24q710201110</v>
          </cell>
          <cell r="C550" t="str">
            <v>24级计算机3班(本方)</v>
          </cell>
        </row>
        <row r="551">
          <cell r="A551" t="str">
            <v>张云皓</v>
          </cell>
          <cell r="B551" t="str">
            <v>24q710201111</v>
          </cell>
          <cell r="C551" t="str">
            <v>24级计算机3班(本方)</v>
          </cell>
        </row>
        <row r="552">
          <cell r="A552" t="str">
            <v>章艺苗</v>
          </cell>
          <cell r="B552" t="str">
            <v>24q710201113</v>
          </cell>
          <cell r="C552" t="str">
            <v>24级计算机3班(本方)</v>
          </cell>
        </row>
        <row r="553">
          <cell r="A553" t="str">
            <v>赵一</v>
          </cell>
          <cell r="B553" t="str">
            <v>24q710201114</v>
          </cell>
          <cell r="C553" t="str">
            <v>24级计算机3班(本方)</v>
          </cell>
        </row>
        <row r="554">
          <cell r="A554" t="str">
            <v>赵宇</v>
          </cell>
          <cell r="B554" t="str">
            <v>24q710201115</v>
          </cell>
          <cell r="C554" t="str">
            <v>24级计算机3班(本方)</v>
          </cell>
        </row>
        <row r="555">
          <cell r="A555" t="str">
            <v>郑鑫元</v>
          </cell>
          <cell r="B555" t="str">
            <v>24q710201116</v>
          </cell>
          <cell r="C555" t="str">
            <v>24级计算机3班(本方)</v>
          </cell>
        </row>
        <row r="556">
          <cell r="A556" t="str">
            <v>周芮伊</v>
          </cell>
          <cell r="B556" t="str">
            <v>24q710201117</v>
          </cell>
          <cell r="C556" t="str">
            <v>24级计算机3班(本方)</v>
          </cell>
        </row>
        <row r="557">
          <cell r="A557" t="str">
            <v>周懿鹏</v>
          </cell>
          <cell r="B557" t="str">
            <v>24q710201119</v>
          </cell>
          <cell r="C557" t="str">
            <v>24级计算机3班(本方)</v>
          </cell>
        </row>
        <row r="558">
          <cell r="A558" t="str">
            <v>邹奥企</v>
          </cell>
          <cell r="B558" t="str">
            <v>24q710201121</v>
          </cell>
          <cell r="C558" t="str">
            <v>24级计算机3班(本方)</v>
          </cell>
        </row>
        <row r="559">
          <cell r="A559" t="str">
            <v>徐仕锐</v>
          </cell>
          <cell r="B559" t="str">
            <v>24q710201321</v>
          </cell>
          <cell r="C559" t="str">
            <v>24级计算机3班(本方)</v>
          </cell>
        </row>
        <row r="560">
          <cell r="A560" t="str">
            <v>欧袁圆</v>
          </cell>
          <cell r="B560" t="str">
            <v>740101026</v>
          </cell>
          <cell r="C560" t="str">
            <v>24级旅游1班</v>
          </cell>
        </row>
        <row r="561">
          <cell r="A561" t="str">
            <v>李欣娱</v>
          </cell>
          <cell r="B561" t="str">
            <v>24q740101018</v>
          </cell>
          <cell r="C561" t="str">
            <v>24级旅游1班</v>
          </cell>
        </row>
        <row r="562">
          <cell r="A562" t="str">
            <v>何婧悠</v>
          </cell>
          <cell r="B562" t="str">
            <v>24q740101075</v>
          </cell>
          <cell r="C562" t="str">
            <v>24级旅游1班</v>
          </cell>
        </row>
        <row r="563">
          <cell r="A563" t="str">
            <v>何梦涵</v>
          </cell>
          <cell r="B563" t="str">
            <v>24q740101076</v>
          </cell>
          <cell r="C563" t="str">
            <v>24级旅游1班</v>
          </cell>
        </row>
        <row r="564">
          <cell r="A564" t="str">
            <v>郑雨萱</v>
          </cell>
          <cell r="B564" t="str">
            <v>24q740101106</v>
          </cell>
          <cell r="C564" t="str">
            <v>24级旅游1班</v>
          </cell>
        </row>
        <row r="565">
          <cell r="A565" t="str">
            <v>邓茜培</v>
          </cell>
          <cell r="B565" t="str">
            <v>20241306</v>
          </cell>
          <cell r="C565" t="str">
            <v>24级旅游1班</v>
          </cell>
        </row>
        <row r="566">
          <cell r="A566" t="str">
            <v>雷京媚</v>
          </cell>
          <cell r="B566" t="str">
            <v>20240551</v>
          </cell>
          <cell r="C566" t="str">
            <v>24级旅游1班</v>
          </cell>
        </row>
        <row r="567">
          <cell r="A567" t="str">
            <v>凌紫腾</v>
          </cell>
          <cell r="B567" t="str">
            <v>24q71010328622</v>
          </cell>
          <cell r="C567" t="str">
            <v>24级旅游1班</v>
          </cell>
        </row>
        <row r="568">
          <cell r="A568" t="str">
            <v>曾梓旋</v>
          </cell>
          <cell r="B568" t="str">
            <v>24q740101001</v>
          </cell>
          <cell r="C568" t="str">
            <v>24级旅游1班</v>
          </cell>
        </row>
        <row r="569">
          <cell r="A569" t="str">
            <v>陈荣乐</v>
          </cell>
          <cell r="B569" t="str">
            <v>24q740101002</v>
          </cell>
          <cell r="C569" t="str">
            <v>24级旅游1班</v>
          </cell>
        </row>
        <row r="570">
          <cell r="A570" t="str">
            <v>陈宇航</v>
          </cell>
          <cell r="B570" t="str">
            <v>24q740101004</v>
          </cell>
          <cell r="C570" t="str">
            <v>24级旅游1班</v>
          </cell>
        </row>
        <row r="571">
          <cell r="A571" t="str">
            <v>陈玉婷</v>
          </cell>
          <cell r="B571" t="str">
            <v>24q740101005</v>
          </cell>
          <cell r="C571" t="str">
            <v>24级旅游1班</v>
          </cell>
        </row>
        <row r="572">
          <cell r="A572" t="str">
            <v>范雅婕</v>
          </cell>
          <cell r="B572" t="str">
            <v>24q740101007</v>
          </cell>
          <cell r="C572" t="str">
            <v>24级旅游1班</v>
          </cell>
        </row>
        <row r="573">
          <cell r="A573" t="str">
            <v>何瑞云</v>
          </cell>
          <cell r="B573" t="str">
            <v>24q740101011</v>
          </cell>
          <cell r="C573" t="str">
            <v>24级旅游1班</v>
          </cell>
        </row>
        <row r="574">
          <cell r="A574" t="str">
            <v>何夏希</v>
          </cell>
          <cell r="B574" t="str">
            <v>24q740101013</v>
          </cell>
          <cell r="C574" t="str">
            <v>24级旅游1班</v>
          </cell>
        </row>
        <row r="575">
          <cell r="A575" t="str">
            <v>侯奥健</v>
          </cell>
          <cell r="B575" t="str">
            <v>24q740101014</v>
          </cell>
          <cell r="C575" t="str">
            <v>24级旅游1班</v>
          </cell>
        </row>
        <row r="576">
          <cell r="A576" t="str">
            <v>黄玉莹</v>
          </cell>
          <cell r="B576" t="str">
            <v>24q740101015</v>
          </cell>
          <cell r="C576" t="str">
            <v>24级旅游1班</v>
          </cell>
        </row>
        <row r="577">
          <cell r="A577" t="str">
            <v>李凯茜</v>
          </cell>
          <cell r="B577" t="str">
            <v>24q740101016</v>
          </cell>
          <cell r="C577" t="str">
            <v>24级旅游1班</v>
          </cell>
        </row>
        <row r="578">
          <cell r="A578" t="str">
            <v>李雨洪</v>
          </cell>
          <cell r="B578" t="str">
            <v>24q740101019</v>
          </cell>
          <cell r="C578" t="str">
            <v>24级旅游1班</v>
          </cell>
        </row>
        <row r="579">
          <cell r="A579" t="str">
            <v>李竹青</v>
          </cell>
          <cell r="B579" t="str">
            <v>24q740101021</v>
          </cell>
          <cell r="C579" t="str">
            <v>24级旅游1班</v>
          </cell>
        </row>
        <row r="580">
          <cell r="A580" t="str">
            <v>凌瑶</v>
          </cell>
          <cell r="B580" t="str">
            <v>24q740101022</v>
          </cell>
          <cell r="C580" t="str">
            <v>24级旅游1班</v>
          </cell>
        </row>
        <row r="581">
          <cell r="A581" t="str">
            <v>刘梦婷</v>
          </cell>
          <cell r="B581" t="str">
            <v>24q740101023</v>
          </cell>
          <cell r="C581" t="str">
            <v>24级旅游1班</v>
          </cell>
        </row>
        <row r="582">
          <cell r="A582" t="str">
            <v>罗佳懿</v>
          </cell>
          <cell r="B582" t="str">
            <v>24q740101026</v>
          </cell>
          <cell r="C582" t="str">
            <v>24级旅游1班</v>
          </cell>
        </row>
        <row r="583">
          <cell r="A583" t="str">
            <v>宋菲菲</v>
          </cell>
          <cell r="B583" t="str">
            <v>24q740101028</v>
          </cell>
          <cell r="C583" t="str">
            <v>24级旅游1班</v>
          </cell>
        </row>
        <row r="584">
          <cell r="A584" t="str">
            <v>王浩然</v>
          </cell>
          <cell r="B584" t="str">
            <v>24q740101029</v>
          </cell>
          <cell r="C584" t="str">
            <v>24级旅游1班</v>
          </cell>
        </row>
        <row r="585">
          <cell r="A585" t="str">
            <v>王欣怡</v>
          </cell>
          <cell r="B585" t="str">
            <v>24q740101031</v>
          </cell>
          <cell r="C585" t="str">
            <v>24级旅游1班</v>
          </cell>
        </row>
        <row r="586">
          <cell r="A586" t="str">
            <v>文妍馨</v>
          </cell>
          <cell r="B586" t="str">
            <v>24q740101034</v>
          </cell>
          <cell r="C586" t="str">
            <v>24级旅游1班</v>
          </cell>
        </row>
        <row r="587">
          <cell r="A587" t="str">
            <v>吴诗</v>
          </cell>
          <cell r="B587" t="str">
            <v>24q740101036</v>
          </cell>
          <cell r="C587" t="str">
            <v>24级旅游1班</v>
          </cell>
        </row>
        <row r="588">
          <cell r="A588" t="str">
            <v>鲜琼</v>
          </cell>
          <cell r="B588" t="str">
            <v>24q740101039</v>
          </cell>
          <cell r="C588" t="str">
            <v>24级旅游1班</v>
          </cell>
        </row>
        <row r="589">
          <cell r="A589" t="str">
            <v>向陈军</v>
          </cell>
          <cell r="B589" t="str">
            <v>24q740101040</v>
          </cell>
          <cell r="C589" t="str">
            <v>24级旅游1班</v>
          </cell>
        </row>
        <row r="590">
          <cell r="A590" t="str">
            <v>杨飞</v>
          </cell>
          <cell r="B590" t="str">
            <v>24q740101041</v>
          </cell>
          <cell r="C590" t="str">
            <v>24级旅游1班</v>
          </cell>
        </row>
        <row r="591">
          <cell r="A591" t="str">
            <v>杨洹颢</v>
          </cell>
          <cell r="B591" t="str">
            <v>24q740101042</v>
          </cell>
          <cell r="C591" t="str">
            <v>24级旅游1班</v>
          </cell>
        </row>
        <row r="592">
          <cell r="A592" t="str">
            <v>杨芯怡</v>
          </cell>
          <cell r="B592" t="str">
            <v>24q740101043</v>
          </cell>
          <cell r="C592" t="str">
            <v>24级旅游1班</v>
          </cell>
        </row>
        <row r="593">
          <cell r="A593" t="str">
            <v>姚小满</v>
          </cell>
          <cell r="B593" t="str">
            <v>24q740101044</v>
          </cell>
          <cell r="C593" t="str">
            <v>24级旅游1班</v>
          </cell>
        </row>
        <row r="594">
          <cell r="A594" t="str">
            <v>余佳豪</v>
          </cell>
          <cell r="B594" t="str">
            <v>24q740101045</v>
          </cell>
          <cell r="C594" t="str">
            <v>24级旅游1班</v>
          </cell>
        </row>
        <row r="595">
          <cell r="A595" t="str">
            <v>袁红</v>
          </cell>
          <cell r="B595" t="str">
            <v>24q740101047</v>
          </cell>
          <cell r="C595" t="str">
            <v>24级旅游1班</v>
          </cell>
        </row>
        <row r="596">
          <cell r="A596" t="str">
            <v>张杰</v>
          </cell>
          <cell r="B596" t="str">
            <v>24q740101048</v>
          </cell>
          <cell r="C596" t="str">
            <v>24级旅游1班</v>
          </cell>
        </row>
        <row r="597">
          <cell r="A597" t="str">
            <v>张露丹</v>
          </cell>
          <cell r="B597" t="str">
            <v>24q740101050</v>
          </cell>
          <cell r="C597" t="str">
            <v>24级旅游1班</v>
          </cell>
        </row>
        <row r="598">
          <cell r="A598" t="str">
            <v>郑思涵</v>
          </cell>
          <cell r="B598" t="str">
            <v>24q740101052</v>
          </cell>
          <cell r="C598" t="str">
            <v>24级旅游1班</v>
          </cell>
        </row>
        <row r="599">
          <cell r="A599" t="str">
            <v>钟文佳</v>
          </cell>
          <cell r="B599" t="str">
            <v>24q740101053</v>
          </cell>
          <cell r="C599" t="str">
            <v>24级旅游1班</v>
          </cell>
        </row>
        <row r="600">
          <cell r="A600" t="str">
            <v>钟羽杉</v>
          </cell>
          <cell r="B600" t="str">
            <v>24q740101054</v>
          </cell>
          <cell r="C600" t="str">
            <v>24级旅游1班</v>
          </cell>
        </row>
        <row r="601">
          <cell r="A601" t="str">
            <v>邹雅婷</v>
          </cell>
          <cell r="B601" t="str">
            <v>24q740101056</v>
          </cell>
          <cell r="C601" t="str">
            <v>24级旅游1班</v>
          </cell>
        </row>
        <row r="602">
          <cell r="A602" t="str">
            <v>熊宇豪</v>
          </cell>
          <cell r="B602" t="str">
            <v>24q7401010121</v>
          </cell>
          <cell r="C602" t="str">
            <v>24级旅游1班</v>
          </cell>
        </row>
        <row r="603">
          <cell r="A603" t="str">
            <v>张轩</v>
          </cell>
          <cell r="B603" t="str">
            <v>20240064</v>
          </cell>
          <cell r="C603" t="str">
            <v>24级旅游1班</v>
          </cell>
        </row>
        <row r="604">
          <cell r="A604" t="str">
            <v>陈欣蕾</v>
          </cell>
          <cell r="B604" t="str">
            <v>24q7401010181</v>
          </cell>
          <cell r="C604" t="str">
            <v>24级旅游1班</v>
          </cell>
        </row>
        <row r="605">
          <cell r="A605" t="str">
            <v>李佳雯</v>
          </cell>
          <cell r="B605" t="str">
            <v>24q740105009</v>
          </cell>
          <cell r="C605" t="str">
            <v>24级旅游2班(本方)</v>
          </cell>
        </row>
        <row r="606">
          <cell r="A606" t="str">
            <v>刘宇菲</v>
          </cell>
          <cell r="B606" t="str">
            <v>24q740101087</v>
          </cell>
          <cell r="C606" t="str">
            <v>24级旅游2班(本方)</v>
          </cell>
        </row>
        <row r="607">
          <cell r="A607" t="str">
            <v>鲜红英</v>
          </cell>
          <cell r="B607" t="str">
            <v>24q740101095</v>
          </cell>
          <cell r="C607" t="str">
            <v>24级旅游2班(本方)</v>
          </cell>
        </row>
        <row r="608">
          <cell r="A608" t="str">
            <v>余梦涵</v>
          </cell>
          <cell r="B608" t="str">
            <v>24q740101103</v>
          </cell>
          <cell r="C608" t="str">
            <v>24级旅游2班(本方)</v>
          </cell>
        </row>
        <row r="609">
          <cell r="A609" t="str">
            <v>曹义雪</v>
          </cell>
          <cell r="B609" t="str">
            <v>24q740101071</v>
          </cell>
          <cell r="C609" t="str">
            <v>24级旅游2班(本方)</v>
          </cell>
        </row>
        <row r="610">
          <cell r="A610" t="str">
            <v>陈卓雅</v>
          </cell>
          <cell r="B610" t="str">
            <v>24q740101072</v>
          </cell>
          <cell r="C610" t="str">
            <v>24级旅游2班(本方)</v>
          </cell>
        </row>
        <row r="611">
          <cell r="A611" t="str">
            <v>郭奕廷</v>
          </cell>
          <cell r="B611" t="str">
            <v>24q740101074</v>
          </cell>
          <cell r="C611" t="str">
            <v>24级旅游2班(本方)</v>
          </cell>
        </row>
        <row r="612">
          <cell r="A612" t="str">
            <v>胡凌薇</v>
          </cell>
          <cell r="B612" t="str">
            <v>24q740101078</v>
          </cell>
          <cell r="C612" t="str">
            <v>24级旅游2班(本方)</v>
          </cell>
        </row>
        <row r="613">
          <cell r="A613" t="str">
            <v>雷雅馨</v>
          </cell>
          <cell r="B613" t="str">
            <v>24q740101083</v>
          </cell>
          <cell r="C613" t="str">
            <v>24级旅游2班(本方)</v>
          </cell>
        </row>
        <row r="614">
          <cell r="A614" t="str">
            <v>李艾</v>
          </cell>
          <cell r="B614" t="str">
            <v>24q740101084</v>
          </cell>
          <cell r="C614" t="str">
            <v>24级旅游2班(本方)</v>
          </cell>
        </row>
        <row r="615">
          <cell r="A615" t="str">
            <v>李梦茹</v>
          </cell>
          <cell r="B615" t="str">
            <v>24q740101085</v>
          </cell>
          <cell r="C615" t="str">
            <v>24级旅游2班(本方)</v>
          </cell>
        </row>
        <row r="616">
          <cell r="A616" t="str">
            <v>刘鑫宇</v>
          </cell>
          <cell r="B616" t="str">
            <v>24q740101086</v>
          </cell>
          <cell r="C616" t="str">
            <v>24级旅游2班(本方)</v>
          </cell>
        </row>
        <row r="617">
          <cell r="A617" t="str">
            <v>罗奥阳</v>
          </cell>
          <cell r="B617" t="str">
            <v>24q740101088</v>
          </cell>
          <cell r="C617" t="str">
            <v>24级旅游2班(本方)</v>
          </cell>
        </row>
        <row r="618">
          <cell r="A618" t="str">
            <v>万钰菲</v>
          </cell>
          <cell r="B618" t="str">
            <v>24q740101090</v>
          </cell>
          <cell r="C618" t="str">
            <v>24级旅游2班(本方)</v>
          </cell>
        </row>
        <row r="619">
          <cell r="A619" t="str">
            <v>汪星宇</v>
          </cell>
          <cell r="B619" t="str">
            <v>24q740101091</v>
          </cell>
          <cell r="C619" t="str">
            <v>24级旅游2班(本方)</v>
          </cell>
        </row>
        <row r="620">
          <cell r="A620" t="str">
            <v>王夏芸</v>
          </cell>
          <cell r="B620" t="str">
            <v>24q740101092</v>
          </cell>
          <cell r="C620" t="str">
            <v>24级旅游2班(本方)</v>
          </cell>
        </row>
        <row r="621">
          <cell r="A621" t="str">
            <v>王钰彤</v>
          </cell>
          <cell r="B621" t="str">
            <v>24q740101093</v>
          </cell>
          <cell r="C621" t="str">
            <v>24级旅游2班(本方)</v>
          </cell>
        </row>
        <row r="622">
          <cell r="A622" t="str">
            <v>伍诗雨</v>
          </cell>
          <cell r="B622" t="str">
            <v>24q740101094</v>
          </cell>
          <cell r="C622" t="str">
            <v>24级旅游2班(本方)</v>
          </cell>
        </row>
        <row r="623">
          <cell r="A623" t="str">
            <v>徐诗雨</v>
          </cell>
          <cell r="B623" t="str">
            <v>24q740101096</v>
          </cell>
          <cell r="C623" t="str">
            <v>24级旅游2班(本方)</v>
          </cell>
        </row>
        <row r="624">
          <cell r="A624" t="str">
            <v>杨杰</v>
          </cell>
          <cell r="B624" t="str">
            <v>24q740101100</v>
          </cell>
          <cell r="C624" t="str">
            <v>24级旅游2班(本方)</v>
          </cell>
        </row>
        <row r="625">
          <cell r="A625" t="str">
            <v>杨可欣</v>
          </cell>
          <cell r="B625" t="str">
            <v>24q740101101</v>
          </cell>
          <cell r="C625" t="str">
            <v>24级旅游2班(本方)</v>
          </cell>
        </row>
        <row r="626">
          <cell r="A626" t="str">
            <v>杨思琴</v>
          </cell>
          <cell r="B626" t="str">
            <v>24q740101102</v>
          </cell>
          <cell r="C626" t="str">
            <v>24级旅游2班(本方)</v>
          </cell>
        </row>
        <row r="627">
          <cell r="A627" t="str">
            <v>张艺凡</v>
          </cell>
          <cell r="B627" t="str">
            <v>24q740101105</v>
          </cell>
          <cell r="C627" t="str">
            <v>24级旅游2班(本方)</v>
          </cell>
        </row>
        <row r="628">
          <cell r="A628" t="str">
            <v>杨梦琳</v>
          </cell>
          <cell r="B628" t="str">
            <v>24q71010328621</v>
          </cell>
          <cell r="C628" t="str">
            <v>24级旅游2班(本方)</v>
          </cell>
        </row>
        <row r="629">
          <cell r="A629" t="str">
            <v>韩小玲</v>
          </cell>
          <cell r="B629" t="str">
            <v>24q740101010</v>
          </cell>
          <cell r="C629" t="str">
            <v>24级旅游2班(本方)</v>
          </cell>
        </row>
        <row r="630">
          <cell r="A630" t="str">
            <v>伍紫怡</v>
          </cell>
          <cell r="B630" t="str">
            <v>24q740101038</v>
          </cell>
          <cell r="C630" t="str">
            <v>24级旅游2班(本方)</v>
          </cell>
        </row>
        <row r="631">
          <cell r="A631" t="str">
            <v>汪磊</v>
          </cell>
          <cell r="B631" t="str">
            <v>24q710103506</v>
          </cell>
          <cell r="C631" t="str">
            <v>24级旅游2班(本方)</v>
          </cell>
        </row>
        <row r="652">
          <cell r="A652" t="str">
            <v>李俊杰</v>
          </cell>
          <cell r="B652" t="str">
            <v>2409022</v>
          </cell>
          <cell r="C652" t="str">
            <v>24级汽车检测班</v>
          </cell>
        </row>
        <row r="653">
          <cell r="A653" t="str">
            <v>刘黄博</v>
          </cell>
          <cell r="B653" t="str">
            <v>24q660103023</v>
          </cell>
          <cell r="C653" t="str">
            <v>24级汽车检测班</v>
          </cell>
        </row>
        <row r="654">
          <cell r="A654" t="str">
            <v>刘一飞</v>
          </cell>
          <cell r="B654" t="str">
            <v>24q660103168</v>
          </cell>
          <cell r="C654" t="str">
            <v>24级汽车检测班</v>
          </cell>
        </row>
        <row r="655">
          <cell r="A655" t="str">
            <v>王波</v>
          </cell>
          <cell r="B655" t="str">
            <v>24q6607010112</v>
          </cell>
          <cell r="C655" t="str">
            <v>24级汽车检测班</v>
          </cell>
        </row>
        <row r="656">
          <cell r="A656" t="str">
            <v>陈师毅</v>
          </cell>
          <cell r="B656" t="str">
            <v>24q660701002</v>
          </cell>
          <cell r="C656" t="str">
            <v>24级汽车检测班</v>
          </cell>
        </row>
        <row r="657">
          <cell r="A657" t="str">
            <v>陈欣媛</v>
          </cell>
          <cell r="B657" t="str">
            <v>24q660701003</v>
          </cell>
          <cell r="C657" t="str">
            <v>24级汽车检测班</v>
          </cell>
        </row>
        <row r="658">
          <cell r="A658" t="str">
            <v>陈星宇</v>
          </cell>
          <cell r="B658" t="str">
            <v>24q660701004</v>
          </cell>
          <cell r="C658" t="str">
            <v>24级汽车检测班</v>
          </cell>
        </row>
        <row r="659">
          <cell r="A659" t="str">
            <v>程良艺</v>
          </cell>
          <cell r="B659" t="str">
            <v>24q660701005</v>
          </cell>
          <cell r="C659" t="str">
            <v>24级汽车检测班</v>
          </cell>
        </row>
        <row r="660">
          <cell r="A660" t="str">
            <v>傅耀淋</v>
          </cell>
          <cell r="B660" t="str">
            <v>24q660701007</v>
          </cell>
          <cell r="C660" t="str">
            <v>24级汽车检测班</v>
          </cell>
        </row>
        <row r="661">
          <cell r="A661" t="str">
            <v>何家玉</v>
          </cell>
          <cell r="B661" t="str">
            <v>24q660701008</v>
          </cell>
          <cell r="C661" t="str">
            <v>24级汽车检测班</v>
          </cell>
        </row>
        <row r="662">
          <cell r="A662" t="str">
            <v>何宇锐</v>
          </cell>
          <cell r="B662" t="str">
            <v>24q660701009</v>
          </cell>
          <cell r="C662" t="str">
            <v>24级汽车检测班</v>
          </cell>
        </row>
        <row r="663">
          <cell r="A663" t="str">
            <v>胡楠峰</v>
          </cell>
          <cell r="B663" t="str">
            <v>24q660701011</v>
          </cell>
          <cell r="C663" t="str">
            <v>24级汽车检测班</v>
          </cell>
        </row>
        <row r="664">
          <cell r="A664" t="str">
            <v>江家豪</v>
          </cell>
          <cell r="B664" t="str">
            <v>24q660701013</v>
          </cell>
          <cell r="C664" t="str">
            <v>24级汽车检测班</v>
          </cell>
        </row>
        <row r="665">
          <cell r="A665" t="str">
            <v>李颜兵</v>
          </cell>
          <cell r="B665" t="str">
            <v>24q660701014</v>
          </cell>
          <cell r="C665" t="str">
            <v>24级汽车检测班</v>
          </cell>
        </row>
        <row r="666">
          <cell r="A666" t="str">
            <v>李毅</v>
          </cell>
          <cell r="B666" t="str">
            <v>24q660701015</v>
          </cell>
          <cell r="C666" t="str">
            <v>24级汽车检测班</v>
          </cell>
        </row>
        <row r="667">
          <cell r="A667" t="str">
            <v>廖明杨</v>
          </cell>
          <cell r="B667" t="str">
            <v>24q660701017</v>
          </cell>
          <cell r="C667" t="str">
            <v>24级汽车检测班</v>
          </cell>
        </row>
        <row r="668">
          <cell r="A668" t="str">
            <v>刘浩然</v>
          </cell>
          <cell r="B668" t="str">
            <v>24q660701018</v>
          </cell>
          <cell r="C668" t="str">
            <v>24级汽车检测班</v>
          </cell>
        </row>
        <row r="669">
          <cell r="A669" t="str">
            <v>饶彬伟</v>
          </cell>
          <cell r="B669" t="str">
            <v>24q660701022</v>
          </cell>
          <cell r="C669" t="str">
            <v>24级汽车检测班</v>
          </cell>
        </row>
        <row r="670">
          <cell r="A670" t="str">
            <v>沈文亮</v>
          </cell>
          <cell r="B670" t="str">
            <v>24q660701023</v>
          </cell>
          <cell r="C670" t="str">
            <v>24级汽车检测班</v>
          </cell>
        </row>
        <row r="671">
          <cell r="A671" t="str">
            <v>宋强红</v>
          </cell>
          <cell r="B671" t="str">
            <v>24q660701024</v>
          </cell>
          <cell r="C671" t="str">
            <v>24级汽车检测班</v>
          </cell>
        </row>
        <row r="672">
          <cell r="A672" t="str">
            <v>苏松</v>
          </cell>
          <cell r="B672" t="str">
            <v>24q660701025</v>
          </cell>
          <cell r="C672" t="str">
            <v>24级汽车检测班</v>
          </cell>
        </row>
        <row r="673">
          <cell r="A673" t="str">
            <v>王皓阳</v>
          </cell>
          <cell r="B673" t="str">
            <v>24q660701026</v>
          </cell>
          <cell r="C673" t="str">
            <v>24级汽车检测班</v>
          </cell>
        </row>
        <row r="674">
          <cell r="A674" t="str">
            <v>王竣湘</v>
          </cell>
          <cell r="B674" t="str">
            <v>24q660701027</v>
          </cell>
          <cell r="C674" t="str">
            <v>24级汽车检测班</v>
          </cell>
        </row>
        <row r="675">
          <cell r="A675" t="str">
            <v>王念鑫</v>
          </cell>
          <cell r="B675" t="str">
            <v>24q660701028</v>
          </cell>
          <cell r="C675" t="str">
            <v>24级汽车检测班</v>
          </cell>
        </row>
        <row r="676">
          <cell r="A676" t="str">
            <v>王欣羽</v>
          </cell>
          <cell r="B676" t="str">
            <v>24q660701029</v>
          </cell>
          <cell r="C676" t="str">
            <v>24级汽车检测班</v>
          </cell>
        </row>
        <row r="677">
          <cell r="A677" t="str">
            <v>吴涵逸</v>
          </cell>
          <cell r="B677" t="str">
            <v>24q660701032</v>
          </cell>
          <cell r="C677" t="str">
            <v>24级汽车检测班</v>
          </cell>
        </row>
        <row r="678">
          <cell r="A678" t="str">
            <v>吴震</v>
          </cell>
          <cell r="B678" t="str">
            <v>24q660701033</v>
          </cell>
          <cell r="C678" t="str">
            <v>24级汽车检测班</v>
          </cell>
        </row>
        <row r="679">
          <cell r="A679" t="str">
            <v>鲜明</v>
          </cell>
          <cell r="B679" t="str">
            <v>24q660701034</v>
          </cell>
          <cell r="C679" t="str">
            <v>24级汽车检测班</v>
          </cell>
        </row>
        <row r="680">
          <cell r="A680" t="str">
            <v>鲜致远</v>
          </cell>
          <cell r="B680" t="str">
            <v>24q660701035</v>
          </cell>
          <cell r="C680" t="str">
            <v>24级汽车检测班</v>
          </cell>
        </row>
        <row r="681">
          <cell r="A681" t="str">
            <v>杨文豪</v>
          </cell>
          <cell r="B681" t="str">
            <v>24q660701036</v>
          </cell>
          <cell r="C681" t="str">
            <v>24级汽车检测班</v>
          </cell>
        </row>
        <row r="682">
          <cell r="A682" t="str">
            <v>殷成敬</v>
          </cell>
          <cell r="B682" t="str">
            <v>24q660701037</v>
          </cell>
          <cell r="C682" t="str">
            <v>24级汽车检测班</v>
          </cell>
        </row>
        <row r="683">
          <cell r="A683" t="str">
            <v>余雪峰</v>
          </cell>
          <cell r="B683" t="str">
            <v>24q660701038</v>
          </cell>
          <cell r="C683" t="str">
            <v>24级汽车检测班</v>
          </cell>
        </row>
        <row r="684">
          <cell r="A684" t="str">
            <v>张松林</v>
          </cell>
          <cell r="B684" t="str">
            <v>24q660701039</v>
          </cell>
          <cell r="C684" t="str">
            <v>24级汽车检测班</v>
          </cell>
        </row>
        <row r="685">
          <cell r="A685" t="str">
            <v>赵仕文</v>
          </cell>
          <cell r="B685" t="str">
            <v>24q660701041</v>
          </cell>
          <cell r="C685" t="str">
            <v>24级汽车检测班</v>
          </cell>
        </row>
        <row r="686">
          <cell r="A686" t="str">
            <v>周文毅</v>
          </cell>
          <cell r="B686" t="str">
            <v>24q660701043</v>
          </cell>
          <cell r="C686" t="str">
            <v>24级汽车检测班</v>
          </cell>
        </row>
        <row r="687">
          <cell r="A687" t="str">
            <v>周翔宇</v>
          </cell>
          <cell r="B687" t="str">
            <v>24q660701044</v>
          </cell>
          <cell r="C687" t="str">
            <v>24级汽车检测班</v>
          </cell>
        </row>
        <row r="688">
          <cell r="A688" t="str">
            <v>穆辰</v>
          </cell>
          <cell r="B688" t="str">
            <v>24q740101089</v>
          </cell>
          <cell r="C688" t="str">
            <v>24级汽车检测班</v>
          </cell>
        </row>
        <row r="689">
          <cell r="A689" t="str">
            <v>伍万杰</v>
          </cell>
          <cell r="B689" t="str">
            <v>24q770303039</v>
          </cell>
          <cell r="C689" t="str">
            <v>24级汽车检测班</v>
          </cell>
        </row>
        <row r="690">
          <cell r="A690" t="str">
            <v>杨锐鑫</v>
          </cell>
          <cell r="B690" t="str">
            <v>24q770303041</v>
          </cell>
          <cell r="C690" t="str">
            <v>24级汽车检测班</v>
          </cell>
        </row>
        <row r="691">
          <cell r="A691" t="str">
            <v>张帮国</v>
          </cell>
          <cell r="B691" t="str">
            <v>24q6607010011</v>
          </cell>
          <cell r="C691" t="str">
            <v>24级汽车检测班</v>
          </cell>
        </row>
        <row r="692">
          <cell r="A692" t="str">
            <v>付俊文</v>
          </cell>
          <cell r="B692" t="str">
            <v>24q710103284</v>
          </cell>
          <cell r="C692" t="str">
            <v>24级数控1班</v>
          </cell>
        </row>
        <row r="693">
          <cell r="A693" t="str">
            <v>白睿</v>
          </cell>
          <cell r="B693" t="str">
            <v>24q660103001</v>
          </cell>
          <cell r="C693" t="str">
            <v>24级数控1班</v>
          </cell>
        </row>
        <row r="694">
          <cell r="A694" t="str">
            <v>曾远超</v>
          </cell>
          <cell r="B694" t="str">
            <v>24q660103002</v>
          </cell>
          <cell r="C694" t="str">
            <v>24级数控1班</v>
          </cell>
        </row>
        <row r="695">
          <cell r="A695" t="str">
            <v>陈晓强</v>
          </cell>
          <cell r="B695" t="str">
            <v>24q660103003</v>
          </cell>
          <cell r="C695" t="str">
            <v>24级数控1班</v>
          </cell>
        </row>
        <row r="696">
          <cell r="A696" t="str">
            <v>付羽翼</v>
          </cell>
          <cell r="B696" t="str">
            <v>24q660103005</v>
          </cell>
          <cell r="C696" t="str">
            <v>24级数控1班</v>
          </cell>
        </row>
        <row r="697">
          <cell r="A697" t="str">
            <v>龚俊伟</v>
          </cell>
          <cell r="B697" t="str">
            <v>24q660103006</v>
          </cell>
          <cell r="C697" t="str">
            <v>24级数控1班</v>
          </cell>
        </row>
        <row r="698">
          <cell r="A698" t="str">
            <v>郭进</v>
          </cell>
          <cell r="B698" t="str">
            <v>24q660103007</v>
          </cell>
          <cell r="C698" t="str">
            <v>24级数控1班</v>
          </cell>
        </row>
        <row r="699">
          <cell r="A699" t="str">
            <v>何佳辉</v>
          </cell>
          <cell r="B699" t="str">
            <v>24q660103008</v>
          </cell>
          <cell r="C699" t="str">
            <v>24级数控1班</v>
          </cell>
        </row>
        <row r="700">
          <cell r="A700" t="str">
            <v>胡玉霖</v>
          </cell>
          <cell r="B700" t="str">
            <v>24q660103009</v>
          </cell>
          <cell r="C700" t="str">
            <v>24级数控1班</v>
          </cell>
        </row>
        <row r="701">
          <cell r="A701" t="str">
            <v>胡桎菡</v>
          </cell>
          <cell r="B701" t="str">
            <v>24q660103010</v>
          </cell>
          <cell r="C701" t="str">
            <v>24级数控1班</v>
          </cell>
        </row>
        <row r="702">
          <cell r="A702" t="str">
            <v>江航</v>
          </cell>
          <cell r="B702" t="str">
            <v>24q660103011</v>
          </cell>
          <cell r="C702" t="str">
            <v>24级数控1班</v>
          </cell>
        </row>
        <row r="703">
          <cell r="A703" t="str">
            <v>江涛</v>
          </cell>
          <cell r="B703" t="str">
            <v>24q660103012</v>
          </cell>
          <cell r="C703" t="str">
            <v>24级数控1班</v>
          </cell>
        </row>
        <row r="704">
          <cell r="A704" t="str">
            <v>李嘉诚</v>
          </cell>
          <cell r="B704" t="str">
            <v>24q660103013</v>
          </cell>
          <cell r="C704" t="str">
            <v>24级数控1班</v>
          </cell>
        </row>
        <row r="705">
          <cell r="A705" t="str">
            <v>李嘉智</v>
          </cell>
          <cell r="B705" t="str">
            <v>24q660103014</v>
          </cell>
          <cell r="C705" t="str">
            <v>24级数控1班</v>
          </cell>
        </row>
        <row r="706">
          <cell r="A706" t="str">
            <v>李锦晨</v>
          </cell>
          <cell r="B706" t="str">
            <v>24q660103015</v>
          </cell>
          <cell r="C706" t="str">
            <v>24级数控1班</v>
          </cell>
        </row>
        <row r="707">
          <cell r="A707" t="str">
            <v>李俊勇</v>
          </cell>
          <cell r="B707" t="str">
            <v>24q660103017</v>
          </cell>
          <cell r="C707" t="str">
            <v>24级数控1班</v>
          </cell>
        </row>
        <row r="708">
          <cell r="A708" t="str">
            <v>李润杰</v>
          </cell>
          <cell r="B708" t="str">
            <v>24q660103019</v>
          </cell>
          <cell r="C708" t="str">
            <v>24级数控1班</v>
          </cell>
        </row>
        <row r="709">
          <cell r="A709" t="str">
            <v>李正新</v>
          </cell>
          <cell r="B709" t="str">
            <v>24q660103021</v>
          </cell>
          <cell r="C709" t="str">
            <v>24级数控1班</v>
          </cell>
        </row>
        <row r="710">
          <cell r="A710" t="str">
            <v>李智鸿</v>
          </cell>
          <cell r="B710" t="str">
            <v>24q660103022</v>
          </cell>
          <cell r="C710" t="str">
            <v>24级数控1班</v>
          </cell>
        </row>
        <row r="711">
          <cell r="A711" t="str">
            <v>刘俊杰</v>
          </cell>
          <cell r="B711" t="str">
            <v>24q660103024</v>
          </cell>
          <cell r="C711" t="str">
            <v>24级数控1班</v>
          </cell>
        </row>
        <row r="712">
          <cell r="A712" t="str">
            <v>刘正强</v>
          </cell>
          <cell r="B712" t="str">
            <v>24q660103026</v>
          </cell>
          <cell r="C712" t="str">
            <v>24级数控1班</v>
          </cell>
        </row>
        <row r="713">
          <cell r="A713" t="str">
            <v>罗伟</v>
          </cell>
          <cell r="B713" t="str">
            <v>24q660103027</v>
          </cell>
          <cell r="C713" t="str">
            <v>24级数控1班</v>
          </cell>
        </row>
        <row r="714">
          <cell r="A714" t="str">
            <v>罗友</v>
          </cell>
          <cell r="B714" t="str">
            <v>24q660103028</v>
          </cell>
          <cell r="C714" t="str">
            <v>24级数控1班</v>
          </cell>
        </row>
        <row r="715">
          <cell r="A715" t="str">
            <v>吕航</v>
          </cell>
          <cell r="B715" t="str">
            <v>24q660103029</v>
          </cell>
          <cell r="C715" t="str">
            <v>24级数控1班</v>
          </cell>
        </row>
        <row r="716">
          <cell r="A716" t="str">
            <v>吕锦豪</v>
          </cell>
          <cell r="B716" t="str">
            <v>24q660103030</v>
          </cell>
          <cell r="C716" t="str">
            <v>24级数控1班</v>
          </cell>
        </row>
        <row r="717">
          <cell r="A717" t="str">
            <v>吕欣缘</v>
          </cell>
          <cell r="B717" t="str">
            <v>24q660103031</v>
          </cell>
          <cell r="C717" t="str">
            <v>24级数控1班</v>
          </cell>
        </row>
        <row r="718">
          <cell r="A718" t="str">
            <v>牟萍萍</v>
          </cell>
          <cell r="B718" t="str">
            <v>24q660103032</v>
          </cell>
          <cell r="C718" t="str">
            <v>24级数控1班</v>
          </cell>
        </row>
        <row r="719">
          <cell r="A719" t="str">
            <v>欧宇林</v>
          </cell>
          <cell r="B719" t="str">
            <v>24q660103033</v>
          </cell>
          <cell r="C719" t="str">
            <v>24级数控1班</v>
          </cell>
        </row>
        <row r="720">
          <cell r="A720" t="str">
            <v>彭加豪</v>
          </cell>
          <cell r="B720" t="str">
            <v>24q660103034</v>
          </cell>
          <cell r="C720" t="str">
            <v>24级数控1班</v>
          </cell>
        </row>
        <row r="721">
          <cell r="A721" t="str">
            <v>彭炼予</v>
          </cell>
          <cell r="B721" t="str">
            <v>24q660103036</v>
          </cell>
          <cell r="C721" t="str">
            <v>24级数控1班</v>
          </cell>
        </row>
        <row r="722">
          <cell r="A722" t="str">
            <v>彭旭</v>
          </cell>
          <cell r="B722" t="str">
            <v>24q660103038</v>
          </cell>
          <cell r="C722" t="str">
            <v>24级数控1班</v>
          </cell>
        </row>
        <row r="723">
          <cell r="A723" t="str">
            <v>舒杭</v>
          </cell>
          <cell r="B723" t="str">
            <v>24q660103040</v>
          </cell>
          <cell r="C723" t="str">
            <v>24级数控1班</v>
          </cell>
        </row>
        <row r="724">
          <cell r="A724" t="str">
            <v>孙中祥</v>
          </cell>
          <cell r="B724" t="str">
            <v>24q660103041</v>
          </cell>
          <cell r="C724" t="str">
            <v>24级数控1班</v>
          </cell>
        </row>
        <row r="725">
          <cell r="A725" t="str">
            <v>杨佳豪</v>
          </cell>
          <cell r="B725" t="str">
            <v>24q660103044</v>
          </cell>
          <cell r="C725" t="str">
            <v>24级数控1班</v>
          </cell>
        </row>
        <row r="726">
          <cell r="A726" t="str">
            <v>甘骁镆</v>
          </cell>
          <cell r="B726" t="str">
            <v>24q660103149</v>
          </cell>
          <cell r="C726" t="str">
            <v>24级数控1班</v>
          </cell>
        </row>
        <row r="727">
          <cell r="A727" t="str">
            <v>李代荣</v>
          </cell>
          <cell r="B727" t="str">
            <v>24q660103157</v>
          </cell>
          <cell r="C727" t="str">
            <v>24级数控1班</v>
          </cell>
        </row>
        <row r="728">
          <cell r="A728" t="str">
            <v>李阳</v>
          </cell>
          <cell r="B728" t="str">
            <v>24q660103163</v>
          </cell>
          <cell r="C728" t="str">
            <v>24级数控1班</v>
          </cell>
        </row>
        <row r="729">
          <cell r="A729" t="str">
            <v>李卓</v>
          </cell>
          <cell r="B729" t="str">
            <v>24q660103165</v>
          </cell>
          <cell r="C729" t="str">
            <v>24级数控1班</v>
          </cell>
        </row>
        <row r="730">
          <cell r="A730" t="str">
            <v>刘志远</v>
          </cell>
          <cell r="B730" t="str">
            <v>24q660103171</v>
          </cell>
          <cell r="C730" t="str">
            <v>24级数控1班</v>
          </cell>
        </row>
        <row r="731">
          <cell r="A731" t="str">
            <v>彭薛宇</v>
          </cell>
          <cell r="B731" t="str">
            <v>24q660103174</v>
          </cell>
          <cell r="C731" t="str">
            <v>24级数控1班</v>
          </cell>
        </row>
        <row r="732">
          <cell r="A732" t="str">
            <v>钱君皓</v>
          </cell>
          <cell r="B732" t="str">
            <v>24q660103176</v>
          </cell>
          <cell r="C732" t="str">
            <v>24级数控1班</v>
          </cell>
        </row>
        <row r="733">
          <cell r="A733" t="str">
            <v>王茂霖</v>
          </cell>
          <cell r="B733" t="str">
            <v>24q660103184</v>
          </cell>
          <cell r="C733" t="str">
            <v>24级数控1班</v>
          </cell>
        </row>
        <row r="734">
          <cell r="A734" t="str">
            <v>张再勇</v>
          </cell>
          <cell r="B734" t="str">
            <v>24q660103200</v>
          </cell>
          <cell r="C734" t="str">
            <v>24级数控1班</v>
          </cell>
        </row>
        <row r="735">
          <cell r="A735" t="str">
            <v>李思宇</v>
          </cell>
          <cell r="B735" t="str">
            <v>24q660103020</v>
          </cell>
          <cell r="C735" t="str">
            <v>24级数控1班</v>
          </cell>
        </row>
        <row r="736">
          <cell r="A736" t="str">
            <v>余朝林</v>
          </cell>
          <cell r="B736" t="str">
            <v>24q710201200</v>
          </cell>
          <cell r="C736" t="str">
            <v>24级数控1班</v>
          </cell>
        </row>
        <row r="737">
          <cell r="A737" t="str">
            <v>刘星伟</v>
          </cell>
          <cell r="B737" t="str">
            <v>24q710103169</v>
          </cell>
          <cell r="C737" t="str">
            <v>24级数控1班</v>
          </cell>
        </row>
        <row r="738">
          <cell r="A738" t="str">
            <v>罗旭</v>
          </cell>
          <cell r="B738" t="str">
            <v>24q710103175</v>
          </cell>
          <cell r="C738" t="str">
            <v>24级数控1班</v>
          </cell>
        </row>
        <row r="739">
          <cell r="A739" t="str">
            <v>王光宏</v>
          </cell>
          <cell r="B739" t="str">
            <v>24q7101032104</v>
          </cell>
          <cell r="C739" t="str">
            <v>24级数控1班</v>
          </cell>
        </row>
        <row r="740">
          <cell r="A740" t="str">
            <v>邓鹏举</v>
          </cell>
          <cell r="B740" t="str">
            <v>24q710201757</v>
          </cell>
          <cell r="C740" t="str">
            <v>24级数控1班</v>
          </cell>
        </row>
        <row r="741">
          <cell r="A741" t="str">
            <v>曾志诚</v>
          </cell>
          <cell r="B741" t="str">
            <v>24q660103143</v>
          </cell>
          <cell r="C741" t="str">
            <v>24级数控2班</v>
          </cell>
        </row>
        <row r="742">
          <cell r="A742" t="str">
            <v>樊舒羽</v>
          </cell>
          <cell r="B742" t="str">
            <v>24q660103146</v>
          </cell>
          <cell r="C742" t="str">
            <v>24级数控2班</v>
          </cell>
        </row>
        <row r="743">
          <cell r="A743" t="str">
            <v>冯宇航</v>
          </cell>
          <cell r="B743" t="str">
            <v>24q660103147</v>
          </cell>
          <cell r="C743" t="str">
            <v>24级数控2班</v>
          </cell>
        </row>
        <row r="744">
          <cell r="A744" t="str">
            <v>侯锦轩</v>
          </cell>
          <cell r="B744" t="str">
            <v>24q660103152</v>
          </cell>
          <cell r="C744" t="str">
            <v>24级数控2班</v>
          </cell>
        </row>
        <row r="745">
          <cell r="A745" t="str">
            <v>李响</v>
          </cell>
          <cell r="B745" t="str">
            <v>24q660103162</v>
          </cell>
          <cell r="C745" t="str">
            <v>24级数控2班</v>
          </cell>
        </row>
        <row r="746">
          <cell r="A746" t="str">
            <v>李榆涵</v>
          </cell>
          <cell r="B746" t="str">
            <v>24q660103164</v>
          </cell>
          <cell r="C746" t="str">
            <v>24级数控2班</v>
          </cell>
        </row>
        <row r="747">
          <cell r="A747" t="str">
            <v>刘靳博</v>
          </cell>
          <cell r="B747" t="str">
            <v>24q660103166</v>
          </cell>
          <cell r="C747" t="str">
            <v>24级数控2班</v>
          </cell>
        </row>
        <row r="748">
          <cell r="A748" t="str">
            <v>刘英杰</v>
          </cell>
          <cell r="B748" t="str">
            <v>24q660103170</v>
          </cell>
          <cell r="C748" t="str">
            <v>24级数控2班</v>
          </cell>
        </row>
        <row r="749">
          <cell r="A749" t="str">
            <v>宋泽文</v>
          </cell>
          <cell r="B749" t="str">
            <v>24q660103180</v>
          </cell>
          <cell r="C749" t="str">
            <v>24级数控2班</v>
          </cell>
        </row>
        <row r="750">
          <cell r="A750" t="str">
            <v>汪佳乐</v>
          </cell>
          <cell r="B750" t="str">
            <v>24q660103181</v>
          </cell>
          <cell r="C750" t="str">
            <v>24级数控2班</v>
          </cell>
        </row>
        <row r="751">
          <cell r="A751" t="str">
            <v>汪靖涵</v>
          </cell>
          <cell r="B751" t="str">
            <v>24q660103182</v>
          </cell>
          <cell r="C751" t="str">
            <v>24级数控2班</v>
          </cell>
        </row>
        <row r="752">
          <cell r="A752" t="str">
            <v>郑思语</v>
          </cell>
          <cell r="B752" t="str">
            <v>24q710103286151</v>
          </cell>
          <cell r="C752" t="str">
            <v>24级数控2班</v>
          </cell>
        </row>
        <row r="753">
          <cell r="A753" t="str">
            <v>黎旭阳</v>
          </cell>
          <cell r="B753" t="str">
            <v>24q7101032867</v>
          </cell>
          <cell r="C753" t="str">
            <v>24级数控2班</v>
          </cell>
        </row>
        <row r="754">
          <cell r="A754" t="str">
            <v>曾文帅</v>
          </cell>
          <cell r="B754" t="str">
            <v>24q660103071</v>
          </cell>
          <cell r="C754" t="str">
            <v>24级数控2班</v>
          </cell>
        </row>
        <row r="755">
          <cell r="A755" t="str">
            <v>何懿轩</v>
          </cell>
          <cell r="B755" t="str">
            <v>24q660103073</v>
          </cell>
          <cell r="C755" t="str">
            <v>24级数控2班</v>
          </cell>
        </row>
        <row r="756">
          <cell r="A756" t="str">
            <v>荣祖平</v>
          </cell>
          <cell r="B756" t="str">
            <v>24q660103076</v>
          </cell>
          <cell r="C756" t="str">
            <v>24级数控2班</v>
          </cell>
        </row>
        <row r="757">
          <cell r="A757" t="str">
            <v>宋薪瑞</v>
          </cell>
          <cell r="B757" t="str">
            <v>24q660103078</v>
          </cell>
          <cell r="C757" t="str">
            <v>24级数控2班</v>
          </cell>
        </row>
        <row r="758">
          <cell r="A758" t="str">
            <v>万炫宏</v>
          </cell>
          <cell r="B758" t="str">
            <v>24q660103079</v>
          </cell>
          <cell r="C758" t="str">
            <v>24级数控2班</v>
          </cell>
        </row>
        <row r="759">
          <cell r="A759" t="str">
            <v>汪俊杰</v>
          </cell>
          <cell r="B759" t="str">
            <v>24q660103080</v>
          </cell>
          <cell r="C759" t="str">
            <v>24级数控2班</v>
          </cell>
        </row>
        <row r="760">
          <cell r="A760" t="str">
            <v>王继洪</v>
          </cell>
          <cell r="B760" t="str">
            <v>24q660103081</v>
          </cell>
          <cell r="C760" t="str">
            <v>24级数控2班</v>
          </cell>
        </row>
        <row r="761">
          <cell r="A761" t="str">
            <v>王栎舒</v>
          </cell>
          <cell r="B761" t="str">
            <v>24q660103082</v>
          </cell>
          <cell r="C761" t="str">
            <v>24级数控2班</v>
          </cell>
        </row>
        <row r="762">
          <cell r="A762" t="str">
            <v>王思贝</v>
          </cell>
          <cell r="B762" t="str">
            <v>24q660103083</v>
          </cell>
          <cell r="C762" t="str">
            <v>24级数控2班</v>
          </cell>
        </row>
        <row r="763">
          <cell r="A763" t="str">
            <v>王伟桦</v>
          </cell>
          <cell r="B763" t="str">
            <v>24q660103084</v>
          </cell>
          <cell r="C763" t="str">
            <v>24级数控2班</v>
          </cell>
        </row>
        <row r="764">
          <cell r="A764" t="str">
            <v>王宇航</v>
          </cell>
          <cell r="B764" t="str">
            <v>24q660103085</v>
          </cell>
          <cell r="C764" t="str">
            <v>24级数控2班</v>
          </cell>
        </row>
        <row r="765">
          <cell r="A765" t="str">
            <v>伍毅博</v>
          </cell>
          <cell r="B765" t="str">
            <v>24q660103086</v>
          </cell>
          <cell r="C765" t="str">
            <v>24级数控2班</v>
          </cell>
        </row>
        <row r="766">
          <cell r="A766" t="str">
            <v>肖俣晨</v>
          </cell>
          <cell r="B766" t="str">
            <v>24q660103087</v>
          </cell>
          <cell r="C766" t="str">
            <v>24级数控2班</v>
          </cell>
        </row>
        <row r="767">
          <cell r="A767" t="str">
            <v>徐晋轩</v>
          </cell>
          <cell r="B767" t="str">
            <v>24q660103088</v>
          </cell>
          <cell r="C767" t="str">
            <v>24级数控2班</v>
          </cell>
        </row>
        <row r="768">
          <cell r="A768" t="str">
            <v>许宇仝</v>
          </cell>
          <cell r="B768" t="str">
            <v>24q660103089</v>
          </cell>
          <cell r="C768" t="str">
            <v>24级数控2班</v>
          </cell>
        </row>
        <row r="769">
          <cell r="A769" t="str">
            <v>杨家鑫</v>
          </cell>
          <cell r="B769" t="str">
            <v>24q660103090</v>
          </cell>
          <cell r="C769" t="str">
            <v>24级数控2班</v>
          </cell>
        </row>
        <row r="770">
          <cell r="A770" t="str">
            <v>杨润超</v>
          </cell>
          <cell r="B770" t="str">
            <v>24q660103091</v>
          </cell>
          <cell r="C770" t="str">
            <v>24级数控2班</v>
          </cell>
        </row>
        <row r="771">
          <cell r="A771" t="str">
            <v>杨文杰</v>
          </cell>
          <cell r="B771" t="str">
            <v>24q660103092</v>
          </cell>
          <cell r="C771" t="str">
            <v>24级数控2班</v>
          </cell>
        </row>
        <row r="772">
          <cell r="A772" t="str">
            <v>杨心茹</v>
          </cell>
          <cell r="B772" t="str">
            <v>24q660103093</v>
          </cell>
          <cell r="C772" t="str">
            <v>24级数控2班</v>
          </cell>
        </row>
        <row r="773">
          <cell r="A773" t="str">
            <v>余奥</v>
          </cell>
          <cell r="B773" t="str">
            <v>24q660103094</v>
          </cell>
          <cell r="C773" t="str">
            <v>24级数控2班</v>
          </cell>
        </row>
        <row r="774">
          <cell r="A774" t="str">
            <v>余泽敏</v>
          </cell>
          <cell r="B774" t="str">
            <v>24q660103095</v>
          </cell>
          <cell r="C774" t="str">
            <v>24级数控2班</v>
          </cell>
        </row>
        <row r="775">
          <cell r="A775" t="str">
            <v>张杰红</v>
          </cell>
          <cell r="B775" t="str">
            <v>24q660103096</v>
          </cell>
          <cell r="C775" t="str">
            <v>24级数控2班</v>
          </cell>
        </row>
        <row r="776">
          <cell r="A776" t="str">
            <v>张心怡</v>
          </cell>
          <cell r="B776" t="str">
            <v>24q660103098</v>
          </cell>
          <cell r="C776" t="str">
            <v>24级数控2班</v>
          </cell>
        </row>
        <row r="777">
          <cell r="A777" t="str">
            <v>张宇</v>
          </cell>
          <cell r="B777" t="str">
            <v>24q660103099</v>
          </cell>
          <cell r="C777" t="str">
            <v>24级数控2班</v>
          </cell>
        </row>
        <row r="778">
          <cell r="A778" t="str">
            <v>张袁方</v>
          </cell>
          <cell r="B778" t="str">
            <v>24q660103100</v>
          </cell>
          <cell r="C778" t="str">
            <v>24级数控2班</v>
          </cell>
        </row>
        <row r="779">
          <cell r="A779" t="str">
            <v>张再坤</v>
          </cell>
          <cell r="B779" t="str">
            <v>24q660103101</v>
          </cell>
          <cell r="C779" t="str">
            <v>24级数控2班</v>
          </cell>
        </row>
        <row r="780">
          <cell r="A780" t="str">
            <v>赵正欣</v>
          </cell>
          <cell r="B780" t="str">
            <v>24q660103102</v>
          </cell>
          <cell r="C780" t="str">
            <v>24级数控2班</v>
          </cell>
        </row>
        <row r="781">
          <cell r="A781" t="str">
            <v>郑广川</v>
          </cell>
          <cell r="B781" t="str">
            <v>24q660103103</v>
          </cell>
          <cell r="C781" t="str">
            <v>24级数控2班</v>
          </cell>
        </row>
        <row r="782">
          <cell r="A782" t="str">
            <v>钟麦连</v>
          </cell>
          <cell r="B782" t="str">
            <v>24q660103104</v>
          </cell>
          <cell r="C782" t="str">
            <v>24级数控2班</v>
          </cell>
        </row>
        <row r="783">
          <cell r="A783" t="str">
            <v>周豪</v>
          </cell>
          <cell r="B783" t="str">
            <v>24q660103105</v>
          </cell>
          <cell r="C783" t="str">
            <v>24级数控2班</v>
          </cell>
        </row>
        <row r="784">
          <cell r="A784" t="str">
            <v>周天权</v>
          </cell>
          <cell r="B784" t="str">
            <v>24q660103107</v>
          </cell>
          <cell r="C784" t="str">
            <v>24级数控2班</v>
          </cell>
        </row>
        <row r="785">
          <cell r="A785" t="str">
            <v>周星城</v>
          </cell>
          <cell r="B785" t="str">
            <v>24q660103108</v>
          </cell>
          <cell r="C785" t="str">
            <v>24级数控2班</v>
          </cell>
        </row>
        <row r="786">
          <cell r="A786" t="str">
            <v>祝云锋</v>
          </cell>
          <cell r="B786" t="str">
            <v>24q660103109</v>
          </cell>
          <cell r="C786" t="str">
            <v>24级数控2班</v>
          </cell>
        </row>
        <row r="787">
          <cell r="A787" t="str">
            <v>周腾昕</v>
          </cell>
          <cell r="B787" t="str">
            <v>24q660103106</v>
          </cell>
          <cell r="C787" t="str">
            <v>24级数控2班</v>
          </cell>
        </row>
        <row r="788">
          <cell r="A788" t="str">
            <v>何凌志</v>
          </cell>
          <cell r="B788" t="str">
            <v>24q770303008</v>
          </cell>
          <cell r="C788" t="str">
            <v>24级数控2班</v>
          </cell>
        </row>
        <row r="789">
          <cell r="A789" t="str">
            <v>刘宇鑫</v>
          </cell>
          <cell r="B789" t="str">
            <v>24q770303022</v>
          </cell>
          <cell r="C789" t="str">
            <v>24级数控2班</v>
          </cell>
        </row>
        <row r="790">
          <cell r="A790" t="str">
            <v>周梦鑫</v>
          </cell>
          <cell r="B790" t="str">
            <v>24q6601031461</v>
          </cell>
          <cell r="C790" t="str">
            <v>24级数控2班</v>
          </cell>
        </row>
        <row r="791">
          <cell r="A791" t="str">
            <v>李航宇</v>
          </cell>
          <cell r="B791" t="str">
            <v>24q6601030012</v>
          </cell>
          <cell r="C791" t="str">
            <v>24级数控2班</v>
          </cell>
        </row>
        <row r="792">
          <cell r="A792" t="str">
            <v>王旭</v>
          </cell>
          <cell r="B792" t="str">
            <v>24q660103185</v>
          </cell>
          <cell r="C792" t="str">
            <v>24级数控3班(本方)</v>
          </cell>
        </row>
        <row r="793">
          <cell r="A793" t="str">
            <v>巫曦鹏</v>
          </cell>
          <cell r="B793" t="str">
            <v>24q660103189</v>
          </cell>
          <cell r="C793" t="str">
            <v>24级数控3班(本方)</v>
          </cell>
        </row>
        <row r="794">
          <cell r="A794" t="str">
            <v>王学蒙</v>
          </cell>
          <cell r="B794" t="str">
            <v>24q710103304</v>
          </cell>
          <cell r="C794" t="str">
            <v>24级数控3班(本方)</v>
          </cell>
        </row>
        <row r="795">
          <cell r="A795" t="str">
            <v>鲜茜敏</v>
          </cell>
          <cell r="B795" t="str">
            <v>24q710103310</v>
          </cell>
          <cell r="C795" t="str">
            <v>24级数控3班(本方)</v>
          </cell>
        </row>
        <row r="796">
          <cell r="A796" t="str">
            <v>曾滟</v>
          </cell>
          <cell r="B796" t="str">
            <v>24q660103142</v>
          </cell>
          <cell r="C796" t="str">
            <v>24级数控3班(本方)</v>
          </cell>
        </row>
        <row r="797">
          <cell r="A797" t="str">
            <v>董廖丞</v>
          </cell>
          <cell r="B797" t="str">
            <v>24q660103145</v>
          </cell>
          <cell r="C797" t="str">
            <v>24级数控3班(本方)</v>
          </cell>
        </row>
        <row r="798">
          <cell r="A798" t="str">
            <v>甘陈鑫</v>
          </cell>
          <cell r="B798" t="str">
            <v>24q660103148</v>
          </cell>
          <cell r="C798" t="str">
            <v>24级数控3班(本方)</v>
          </cell>
        </row>
        <row r="799">
          <cell r="A799" t="str">
            <v>高浩逸</v>
          </cell>
          <cell r="B799" t="str">
            <v>24q660103150</v>
          </cell>
          <cell r="C799" t="str">
            <v>24级数控3班(本方)</v>
          </cell>
        </row>
        <row r="800">
          <cell r="A800" t="str">
            <v>龚科瑞</v>
          </cell>
          <cell r="B800" t="str">
            <v>24q660103151</v>
          </cell>
          <cell r="C800" t="str">
            <v>24级数控3班(本方)</v>
          </cell>
        </row>
        <row r="801">
          <cell r="A801" t="str">
            <v>侯耀辉</v>
          </cell>
          <cell r="B801" t="str">
            <v>24q660103153</v>
          </cell>
          <cell r="C801" t="str">
            <v>24级数控3班(本方)</v>
          </cell>
        </row>
        <row r="802">
          <cell r="A802" t="str">
            <v>侯伊凡</v>
          </cell>
          <cell r="B802" t="str">
            <v>24q660103154</v>
          </cell>
          <cell r="C802" t="str">
            <v>24级数控3班(本方)</v>
          </cell>
        </row>
        <row r="803">
          <cell r="A803" t="str">
            <v>黄睿豪</v>
          </cell>
          <cell r="B803" t="str">
            <v>24q660103155</v>
          </cell>
          <cell r="C803" t="str">
            <v>24级数控3班(本方)</v>
          </cell>
        </row>
        <row r="804">
          <cell r="A804" t="str">
            <v>蒋沁洋</v>
          </cell>
          <cell r="B804" t="str">
            <v>24q660103156</v>
          </cell>
          <cell r="C804" t="str">
            <v>24级数控3班(本方)</v>
          </cell>
        </row>
        <row r="805">
          <cell r="A805" t="str">
            <v>李定霖</v>
          </cell>
          <cell r="B805" t="str">
            <v>24q660103158</v>
          </cell>
          <cell r="C805" t="str">
            <v>24级数控3班(本方)</v>
          </cell>
        </row>
        <row r="806">
          <cell r="A806" t="str">
            <v>李浩然</v>
          </cell>
          <cell r="B806" t="str">
            <v>24q660103159</v>
          </cell>
          <cell r="C806" t="str">
            <v>24级数控3班(本方)</v>
          </cell>
        </row>
        <row r="807">
          <cell r="A807" t="str">
            <v>李文涛</v>
          </cell>
          <cell r="B807" t="str">
            <v>24q660103160</v>
          </cell>
          <cell r="C807" t="str">
            <v>24级数控3班(本方)</v>
          </cell>
        </row>
        <row r="808">
          <cell r="A808" t="str">
            <v>李相霖</v>
          </cell>
          <cell r="B808" t="str">
            <v>24q660103161</v>
          </cell>
          <cell r="C808" t="str">
            <v>24级数控3班(本方)</v>
          </cell>
        </row>
        <row r="809">
          <cell r="A809" t="str">
            <v>刘义航</v>
          </cell>
          <cell r="B809" t="str">
            <v>24q660103169</v>
          </cell>
          <cell r="C809" t="str">
            <v>24级数控3班(本方)</v>
          </cell>
        </row>
        <row r="810">
          <cell r="A810" t="str">
            <v>罗一鸣</v>
          </cell>
          <cell r="B810" t="str">
            <v>24q660103172</v>
          </cell>
          <cell r="C810" t="str">
            <v>24级数控3班(本方)</v>
          </cell>
        </row>
        <row r="811">
          <cell r="A811" t="str">
            <v>牟雨浩</v>
          </cell>
          <cell r="B811" t="str">
            <v>24q660103173</v>
          </cell>
          <cell r="C811" t="str">
            <v>24级数控3班(本方)</v>
          </cell>
        </row>
        <row r="812">
          <cell r="A812" t="str">
            <v>祁咏峰</v>
          </cell>
          <cell r="B812" t="str">
            <v>24q660103175</v>
          </cell>
          <cell r="C812" t="str">
            <v>24级数控3班(本方)</v>
          </cell>
        </row>
        <row r="813">
          <cell r="A813" t="str">
            <v>宋满明</v>
          </cell>
          <cell r="B813" t="str">
            <v>24q660103177</v>
          </cell>
          <cell r="C813" t="str">
            <v>24级数控3班(本方)</v>
          </cell>
        </row>
        <row r="814">
          <cell r="A814" t="str">
            <v>宋宇坚</v>
          </cell>
          <cell r="B814" t="str">
            <v>24q660103178</v>
          </cell>
          <cell r="C814" t="str">
            <v>24级数控3班(本方)</v>
          </cell>
        </row>
        <row r="815">
          <cell r="A815" t="str">
            <v>宋宇涛</v>
          </cell>
          <cell r="B815" t="str">
            <v>24q660103179</v>
          </cell>
          <cell r="C815" t="str">
            <v>24级数控3班(本方)</v>
          </cell>
        </row>
        <row r="816">
          <cell r="A816" t="str">
            <v>王俊杰</v>
          </cell>
          <cell r="B816" t="str">
            <v>24q660103183</v>
          </cell>
          <cell r="C816" t="str">
            <v>24级数控3班(本方)</v>
          </cell>
        </row>
        <row r="817">
          <cell r="A817" t="str">
            <v>王子华</v>
          </cell>
          <cell r="B817" t="str">
            <v>24q660103186</v>
          </cell>
          <cell r="C817" t="str">
            <v>24级数控3班(本方)</v>
          </cell>
        </row>
        <row r="818">
          <cell r="A818" t="str">
            <v>文康</v>
          </cell>
          <cell r="B818" t="str">
            <v>24q660103187</v>
          </cell>
          <cell r="C818" t="str">
            <v>24级数控3班(本方)</v>
          </cell>
        </row>
        <row r="819">
          <cell r="A819" t="str">
            <v>文锡梁</v>
          </cell>
          <cell r="B819" t="str">
            <v>24q660103188</v>
          </cell>
          <cell r="C819" t="str">
            <v>24级数控3班(本方)</v>
          </cell>
        </row>
        <row r="820">
          <cell r="A820" t="str">
            <v>鲜宇</v>
          </cell>
          <cell r="B820" t="str">
            <v>24q660103190</v>
          </cell>
          <cell r="C820" t="str">
            <v>24级数控3班(本方)</v>
          </cell>
        </row>
        <row r="821">
          <cell r="A821" t="str">
            <v>许培钦</v>
          </cell>
          <cell r="B821" t="str">
            <v>24q660103191</v>
          </cell>
          <cell r="C821" t="str">
            <v>24级数控3班(本方)</v>
          </cell>
        </row>
        <row r="822">
          <cell r="A822" t="str">
            <v>杨尚崧</v>
          </cell>
          <cell r="B822" t="str">
            <v>24q660103192</v>
          </cell>
          <cell r="C822" t="str">
            <v>24级数控3班(本方)</v>
          </cell>
        </row>
        <row r="823">
          <cell r="A823" t="str">
            <v>余承威</v>
          </cell>
          <cell r="B823" t="str">
            <v>24q660103194</v>
          </cell>
          <cell r="C823" t="str">
            <v>24级数控3班(本方)</v>
          </cell>
        </row>
        <row r="824">
          <cell r="A824" t="str">
            <v>张奥宁</v>
          </cell>
          <cell r="B824" t="str">
            <v>24q660103195</v>
          </cell>
          <cell r="C824" t="str">
            <v>24级数控3班(本方)</v>
          </cell>
        </row>
        <row r="825">
          <cell r="A825" t="str">
            <v>张华磊</v>
          </cell>
          <cell r="B825" t="str">
            <v>24q660103196</v>
          </cell>
          <cell r="C825" t="str">
            <v>24级数控3班(本方)</v>
          </cell>
        </row>
        <row r="826">
          <cell r="A826" t="str">
            <v>张庆林</v>
          </cell>
          <cell r="B826" t="str">
            <v>24q660103197</v>
          </cell>
          <cell r="C826" t="str">
            <v>24级数控3班(本方)</v>
          </cell>
        </row>
        <row r="827">
          <cell r="A827" t="str">
            <v>张睿桓</v>
          </cell>
          <cell r="B827" t="str">
            <v>24q660103198</v>
          </cell>
          <cell r="C827" t="str">
            <v>24级数控3班(本方)</v>
          </cell>
        </row>
        <row r="828">
          <cell r="A828" t="str">
            <v>张宇浩</v>
          </cell>
          <cell r="B828" t="str">
            <v>24q660103199</v>
          </cell>
          <cell r="C828" t="str">
            <v>24级数控3班(本方)</v>
          </cell>
        </row>
        <row r="829">
          <cell r="A829" t="str">
            <v>张志豪</v>
          </cell>
          <cell r="B829" t="str">
            <v>24q660103201</v>
          </cell>
          <cell r="C829" t="str">
            <v>24级数控3班(本方)</v>
          </cell>
        </row>
        <row r="830">
          <cell r="A830" t="str">
            <v>周松明</v>
          </cell>
          <cell r="B830" t="str">
            <v>24q660103202</v>
          </cell>
          <cell r="C830" t="str">
            <v>24级数控3班(本方)</v>
          </cell>
        </row>
        <row r="831">
          <cell r="A831" t="str">
            <v>周欣悦</v>
          </cell>
          <cell r="B831" t="str">
            <v>24q660103203</v>
          </cell>
          <cell r="C831" t="str">
            <v>24级数控3班(本方)</v>
          </cell>
        </row>
        <row r="832">
          <cell r="A832" t="str">
            <v>曹尹杰</v>
          </cell>
          <cell r="B832" t="str">
            <v>24q710103124</v>
          </cell>
          <cell r="C832" t="str">
            <v>24级数控3班(本方)</v>
          </cell>
        </row>
        <row r="833">
          <cell r="A833" t="str">
            <v>彭咏诚</v>
          </cell>
          <cell r="B833" t="str">
            <v>24q710103180</v>
          </cell>
          <cell r="C833" t="str">
            <v>24级数控3班(本方)</v>
          </cell>
        </row>
        <row r="834">
          <cell r="A834" t="str">
            <v>余孙荃</v>
          </cell>
          <cell r="B834" t="str">
            <v>24q710103325</v>
          </cell>
          <cell r="C834" t="str">
            <v>24级运动训练班</v>
          </cell>
        </row>
        <row r="835">
          <cell r="A835" t="str">
            <v>罗金蕊</v>
          </cell>
          <cell r="B835" t="str">
            <v>24q710201169</v>
          </cell>
          <cell r="C835" t="str">
            <v>24级运动训练班</v>
          </cell>
        </row>
        <row r="836">
          <cell r="A836" t="str">
            <v>李诗潮</v>
          </cell>
          <cell r="B836" t="str">
            <v>24q71010328610</v>
          </cell>
          <cell r="C836" t="str">
            <v>24级运动训练班</v>
          </cell>
        </row>
        <row r="837">
          <cell r="A837" t="str">
            <v>李帅建</v>
          </cell>
          <cell r="B837" t="str">
            <v>24q71010328611</v>
          </cell>
          <cell r="C837" t="str">
            <v>24级运动训练班</v>
          </cell>
        </row>
        <row r="838">
          <cell r="A838" t="str">
            <v>丁米艾</v>
          </cell>
          <cell r="B838" t="str">
            <v>24q710201071</v>
          </cell>
          <cell r="C838" t="str">
            <v>24级运动训练班</v>
          </cell>
        </row>
        <row r="839">
          <cell r="A839" t="str">
            <v>刘奥华</v>
          </cell>
          <cell r="B839" t="str">
            <v>24q710201077</v>
          </cell>
          <cell r="C839" t="str">
            <v>24级运动训练班</v>
          </cell>
        </row>
        <row r="840">
          <cell r="A840" t="str">
            <v>伍城昔</v>
          </cell>
          <cell r="B840" t="str">
            <v>24q710201097</v>
          </cell>
          <cell r="C840" t="str">
            <v>24级运动训练班</v>
          </cell>
        </row>
        <row r="841">
          <cell r="A841" t="str">
            <v>林煜窈</v>
          </cell>
          <cell r="B841" t="str">
            <v>24q710201118</v>
          </cell>
          <cell r="C841" t="str">
            <v>24级运动训练班</v>
          </cell>
        </row>
        <row r="842">
          <cell r="A842" t="str">
            <v>谢天浩</v>
          </cell>
          <cell r="B842" t="str">
            <v>24q710103084</v>
          </cell>
          <cell r="C842" t="str">
            <v>24级运动训练班</v>
          </cell>
        </row>
        <row r="843">
          <cell r="A843" t="str">
            <v>陈佳鑫</v>
          </cell>
          <cell r="B843" t="str">
            <v>24q770303001</v>
          </cell>
          <cell r="C843" t="str">
            <v>24级运动训练班</v>
          </cell>
        </row>
        <row r="844">
          <cell r="A844" t="str">
            <v>邓文灏</v>
          </cell>
          <cell r="B844" t="str">
            <v>24q770303004</v>
          </cell>
          <cell r="C844" t="str">
            <v>24级运动训练班</v>
          </cell>
        </row>
        <row r="845">
          <cell r="A845" t="str">
            <v>杜以姗</v>
          </cell>
          <cell r="B845" t="str">
            <v>24q770303005</v>
          </cell>
          <cell r="C845" t="str">
            <v>24级运动训练班</v>
          </cell>
        </row>
        <row r="846">
          <cell r="A846" t="str">
            <v>何宇杭</v>
          </cell>
          <cell r="B846" t="str">
            <v>24q770303010</v>
          </cell>
          <cell r="C846" t="str">
            <v>24级运动训练班</v>
          </cell>
        </row>
        <row r="847">
          <cell r="A847" t="str">
            <v>胡家豪</v>
          </cell>
          <cell r="B847" t="str">
            <v>24q770303011</v>
          </cell>
          <cell r="C847" t="str">
            <v>24级运动训练班</v>
          </cell>
        </row>
        <row r="848">
          <cell r="A848" t="str">
            <v>李俊杰</v>
          </cell>
          <cell r="B848" t="str">
            <v>24q770303014</v>
          </cell>
          <cell r="C848" t="str">
            <v>24级运动训练班</v>
          </cell>
        </row>
        <row r="849">
          <cell r="A849" t="str">
            <v>李冉冉</v>
          </cell>
          <cell r="B849" t="str">
            <v>24q770303015</v>
          </cell>
          <cell r="C849" t="str">
            <v>24级运动训练班</v>
          </cell>
        </row>
        <row r="850">
          <cell r="A850" t="str">
            <v>李如意</v>
          </cell>
          <cell r="B850" t="str">
            <v>24q770303016</v>
          </cell>
          <cell r="C850" t="str">
            <v>24级运动训练班</v>
          </cell>
        </row>
        <row r="851">
          <cell r="A851" t="str">
            <v>刘冰燕</v>
          </cell>
          <cell r="B851" t="str">
            <v>24q770303018</v>
          </cell>
          <cell r="C851" t="str">
            <v>24级运动训练班</v>
          </cell>
        </row>
        <row r="852">
          <cell r="A852" t="str">
            <v>罗鑫佩</v>
          </cell>
          <cell r="B852" t="str">
            <v>24q770303023</v>
          </cell>
          <cell r="C852" t="str">
            <v>24级运动训练班</v>
          </cell>
        </row>
        <row r="853">
          <cell r="A853" t="str">
            <v>吕杨新昊</v>
          </cell>
          <cell r="B853" t="str">
            <v>24q770303024</v>
          </cell>
          <cell r="C853" t="str">
            <v>24级运动训练班</v>
          </cell>
        </row>
        <row r="854">
          <cell r="A854" t="str">
            <v>木乃陆斤</v>
          </cell>
          <cell r="B854" t="str">
            <v>24q770303025</v>
          </cell>
          <cell r="C854" t="str">
            <v>24级运动训练班</v>
          </cell>
        </row>
        <row r="855">
          <cell r="A855" t="str">
            <v>彭欣怡</v>
          </cell>
          <cell r="B855" t="str">
            <v>24q770303026</v>
          </cell>
          <cell r="C855" t="str">
            <v>24级运动训练班</v>
          </cell>
        </row>
        <row r="856">
          <cell r="A856" t="str">
            <v>汪城鑫</v>
          </cell>
          <cell r="B856" t="str">
            <v>24q770303030</v>
          </cell>
          <cell r="C856" t="str">
            <v>24级运动训练班</v>
          </cell>
        </row>
        <row r="857">
          <cell r="A857" t="str">
            <v>王雅莉</v>
          </cell>
          <cell r="B857" t="str">
            <v>24q770303034</v>
          </cell>
          <cell r="C857" t="str">
            <v>24级运动训练班</v>
          </cell>
        </row>
        <row r="858">
          <cell r="A858" t="str">
            <v>文国蔓</v>
          </cell>
          <cell r="B858" t="str">
            <v>24q770303038</v>
          </cell>
          <cell r="C858" t="str">
            <v>24级运动训练班</v>
          </cell>
        </row>
        <row r="859">
          <cell r="A859" t="str">
            <v>张贝</v>
          </cell>
          <cell r="B859" t="str">
            <v>24q770303044</v>
          </cell>
          <cell r="C859" t="str">
            <v>24级运动训练班</v>
          </cell>
        </row>
        <row r="860">
          <cell r="A860" t="str">
            <v>张俊涛</v>
          </cell>
          <cell r="B860" t="str">
            <v>24q770303045</v>
          </cell>
          <cell r="C860" t="str">
            <v>24级运动训练班</v>
          </cell>
        </row>
        <row r="861">
          <cell r="A861" t="str">
            <v>付宇琳</v>
          </cell>
          <cell r="B861" t="str">
            <v>MK20241188</v>
          </cell>
          <cell r="C861" t="str">
            <v>24级运动训练班</v>
          </cell>
        </row>
        <row r="862">
          <cell r="A862" t="str">
            <v>姚宇凡</v>
          </cell>
          <cell r="B862" t="str">
            <v>2431049</v>
          </cell>
          <cell r="C862" t="str">
            <v>24级运动训练班</v>
          </cell>
        </row>
        <row r="863">
          <cell r="A863" t="str">
            <v>王仕节</v>
          </cell>
          <cell r="B863" t="str">
            <v>271260</v>
          </cell>
          <cell r="C863" t="str">
            <v>24级运动训练班</v>
          </cell>
        </row>
        <row r="864">
          <cell r="A864" t="str">
            <v>赵文杰</v>
          </cell>
          <cell r="B864" t="str">
            <v>5107424270439</v>
          </cell>
          <cell r="C864" t="str">
            <v>24级运动训练班</v>
          </cell>
        </row>
        <row r="865">
          <cell r="A865" t="str">
            <v>杨家星</v>
          </cell>
          <cell r="B865" t="str">
            <v>24q710103986331</v>
          </cell>
          <cell r="C865" t="str">
            <v>24级运动训练班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J66"/>
  <sheetViews>
    <sheetView showGridLines="1" workbookViewId="0"/>
  </sheetViews>
  <sheetFormatPr defaultColWidth="8.75" defaultRowHeight="14.25"/>
  <cols>
    <col min="1" max="1" width="8.75" style="122"/>
    <col min="2" max="2" width="10.375" style="123" customWidth="1"/>
    <col min="3" max="3" width="0" style="123" customWidth="1"/>
    <col min="4" max="4" width="17.375" style="123" customWidth="1"/>
    <col min="7" max="7" width="10.7109" customWidth="1"/>
    <col min="8" max="8" width="21.5" customWidth="1"/>
    <col min="9" max="9" width="23.125" customWidth="1"/>
    <col min="10" max="10" width="21.87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</row>
    <row r="2" spans="1:12" ht="18.75">
      <c r="A2" s="4">
        <v>1</v>
      </c>
      <c r="B2" s="4" t="s">
        <v>13</v>
      </c>
      <c r="C2" s="4">
        <v>1117</v>
      </c>
      <c r="D2" s="4" t="str">
        <f>=VLOOKUP(B2,[1]在校生综合信息查询!$A$2:$C$41,2,0)</f>
        <v>25q770101025</v>
      </c>
      <c r="E2" s="6">
        <v>84</v>
      </c>
      <c r="F2" s="6">
        <v>24</v>
      </c>
      <c r="G2" s="7">
        <v>24</v>
      </c>
      <c r="H2" s="6">
        <v>21</v>
      </c>
      <c r="I2" s="6">
        <v>33</v>
      </c>
      <c r="J2" s="6">
        <v>20</v>
      </c>
      <c r="K2" s="6">
        <v>206</v>
      </c>
      <c r="L2" s="5" t="s"/>
    </row>
    <row r="3" spans="1:12" ht="18.75">
      <c r="A3" s="4">
        <v>2</v>
      </c>
      <c r="B3" s="4" t="s">
        <v>15</v>
      </c>
      <c r="C3" s="4">
        <v>1126</v>
      </c>
      <c r="D3" s="4" t="str">
        <f>=VLOOKUP(B3,[1]在校生综合信息查询!$A$2:$C$41,2,0)</f>
        <v>25q740101023</v>
      </c>
      <c r="E3" s="6">
        <v>12</v>
      </c>
      <c r="F3" s="6">
        <v>8</v>
      </c>
      <c r="G3" s="7">
        <v>19</v>
      </c>
      <c r="H3" s="6">
        <v>12</v>
      </c>
      <c r="I3" s="6">
        <v>19</v>
      </c>
      <c r="J3" s="6">
        <v>3</v>
      </c>
      <c r="K3" s="6">
        <v>73</v>
      </c>
      <c r="L3" s="5" t="s"/>
    </row>
    <row r="4" spans="1:12" ht="18.75">
      <c r="A4" s="4">
        <v>3</v>
      </c>
      <c r="B4" s="4" t="s">
        <v>17</v>
      </c>
      <c r="C4" s="4">
        <v>1104</v>
      </c>
      <c r="D4" s="4" t="str">
        <f>=VLOOKUP(B4,[1]在校生综合信息查询!$A$2:$C$41,2,0)</f>
        <v>25q770101010</v>
      </c>
      <c r="E4" s="6">
        <v>64</v>
      </c>
      <c r="F4" s="6">
        <v>12</v>
      </c>
      <c r="G4" s="7">
        <v>32.5</v>
      </c>
      <c r="H4" s="6">
        <v>25</v>
      </c>
      <c r="I4" s="6">
        <v>39</v>
      </c>
      <c r="J4" s="6">
        <v>18</v>
      </c>
      <c r="K4" s="6">
        <v>190.5</v>
      </c>
      <c r="L4" s="5" t="s"/>
    </row>
    <row r="5" spans="1:12" ht="18.75">
      <c r="A5" s="4">
        <v>4</v>
      </c>
      <c r="B5" s="4" t="s">
        <v>19</v>
      </c>
      <c r="C5" s="4">
        <v>1101</v>
      </c>
      <c r="D5" s="4" t="str">
        <f>=VLOOKUP(B5,[1]在校生综合信息查询!$A$2:$C$41,2,0)</f>
        <v>25q770101007</v>
      </c>
      <c r="E5" s="6">
        <v>39</v>
      </c>
      <c r="F5" s="6">
        <v>24</v>
      </c>
      <c r="G5" s="7">
        <v>23.5</v>
      </c>
      <c r="H5" s="6">
        <v>21</v>
      </c>
      <c r="I5" s="6">
        <v>63</v>
      </c>
      <c r="J5" s="6">
        <v>13</v>
      </c>
      <c r="K5" s="6">
        <v>183.5</v>
      </c>
      <c r="L5" s="5" t="s"/>
    </row>
    <row r="6" spans="1:12" ht="18.75">
      <c r="A6" s="4">
        <v>5</v>
      </c>
      <c r="B6" s="4" t="s">
        <v>21</v>
      </c>
      <c r="C6" s="4">
        <v>1125</v>
      </c>
      <c r="D6" s="4" t="str">
        <f>=VLOOKUP(B6,[1]在校生综合信息查询!$A$2:$C$41,2,0)</f>
        <v>25q710103145</v>
      </c>
      <c r="E6" s="6">
        <v>68</v>
      </c>
      <c r="F6" s="6">
        <v>12</v>
      </c>
      <c r="G6" s="7">
        <v>29.5</v>
      </c>
      <c r="H6" s="6">
        <v>12</v>
      </c>
      <c r="I6" s="6">
        <v>26</v>
      </c>
      <c r="J6" s="6">
        <v>18</v>
      </c>
      <c r="K6" s="6">
        <v>165.5</v>
      </c>
      <c r="L6" s="5" t="s"/>
    </row>
    <row r="7" spans="1:12" ht="18.75">
      <c r="A7" s="4">
        <v>6</v>
      </c>
      <c r="B7" s="4" t="s">
        <v>23</v>
      </c>
      <c r="C7" s="4">
        <v>1096</v>
      </c>
      <c r="D7" s="4" t="str">
        <f>=VLOOKUP(B7,[1]在校生综合信息查询!$A$2:$C$41,2,0)</f>
        <v>25q770101034</v>
      </c>
      <c r="E7" s="6">
        <v>54</v>
      </c>
      <c r="F7" s="6">
        <v>32</v>
      </c>
      <c r="G7" s="7">
        <v>29</v>
      </c>
      <c r="H7" s="6">
        <v>33</v>
      </c>
      <c r="I7" s="6">
        <v>61</v>
      </c>
      <c r="J7" s="6">
        <v>18</v>
      </c>
      <c r="K7" s="6">
        <v>227</v>
      </c>
      <c r="L7" s="5" t="s"/>
    </row>
    <row r="8" spans="1:12" ht="18.75">
      <c r="A8" s="4">
        <v>7</v>
      </c>
      <c r="B8" s="4" t="s">
        <v>25</v>
      </c>
      <c r="C8" s="4">
        <v>1108</v>
      </c>
      <c r="D8" s="4" t="str">
        <f>=VLOOKUP(B8,[1]在校生综合信息查询!$A$2:$C$41,2,0)</f>
        <v>25q770101014</v>
      </c>
      <c r="E8" s="6">
        <v>54</v>
      </c>
      <c r="F8" s="6">
        <v>36</v>
      </c>
      <c r="G8" s="7">
        <v>29</v>
      </c>
      <c r="H8" s="6">
        <v>21</v>
      </c>
      <c r="I8" s="6">
        <v>41</v>
      </c>
      <c r="J8" s="6">
        <v>18</v>
      </c>
      <c r="K8" s="6">
        <v>199</v>
      </c>
      <c r="L8" s="5" t="s"/>
    </row>
    <row r="9" spans="1:12" ht="18.75">
      <c r="A9" s="4">
        <v>8</v>
      </c>
      <c r="B9" s="4" t="s">
        <v>27</v>
      </c>
      <c r="C9" s="4">
        <v>1100</v>
      </c>
      <c r="D9" s="4" t="str">
        <f>=VLOOKUP(B9,[1]在校生综合信息查询!$A$2:$C$41,2,0)</f>
        <v>25q770101005</v>
      </c>
      <c r="E9" s="6">
        <v>34</v>
      </c>
      <c r="F9" s="6">
        <v>39</v>
      </c>
      <c r="G9" s="7">
        <v>20.5</v>
      </c>
      <c r="H9" s="6">
        <v>27</v>
      </c>
      <c r="I9" s="6">
        <v>24</v>
      </c>
      <c r="J9" s="6">
        <v>15</v>
      </c>
      <c r="K9" s="6">
        <v>159.5</v>
      </c>
      <c r="L9" s="5" t="s"/>
    </row>
    <row r="10" spans="1:12" ht="18.75">
      <c r="A10" s="4">
        <v>9</v>
      </c>
      <c r="B10" s="4" t="s">
        <v>29</v>
      </c>
      <c r="C10" s="4">
        <v>1113</v>
      </c>
      <c r="D10" s="4" t="str">
        <f>=VLOOKUP(B10,[1]在校生综合信息查询!$A$2:$C$41,2,0)</f>
        <v>25q770101020</v>
      </c>
      <c r="E10" s="6">
        <v>61</v>
      </c>
      <c r="F10" s="6">
        <v>12</v>
      </c>
      <c r="G10" s="7">
        <v>18.5</v>
      </c>
      <c r="H10" s="6">
        <v>24</v>
      </c>
      <c r="I10" s="6">
        <v>44</v>
      </c>
      <c r="J10" s="6">
        <v>27</v>
      </c>
      <c r="K10" s="6">
        <v>186.5</v>
      </c>
      <c r="L10" s="5" t="s"/>
    </row>
    <row r="11" spans="1:12" ht="18.75">
      <c r="A11" s="4">
        <v>10</v>
      </c>
      <c r="B11" s="4" t="s">
        <v>31</v>
      </c>
      <c r="C11" s="4">
        <v>1098</v>
      </c>
      <c r="D11" s="4" t="str">
        <f>=VLOOKUP(B11,[1]在校生综合信息查询!$A$2:$C$41,2,0)</f>
        <v>25q770101003</v>
      </c>
      <c r="E11" s="6">
        <v>15</v>
      </c>
      <c r="F11" s="6">
        <v>40</v>
      </c>
      <c r="G11" s="7">
        <v>29</v>
      </c>
      <c r="H11" s="6">
        <v>24</v>
      </c>
      <c r="I11" s="6">
        <v>44</v>
      </c>
      <c r="J11" s="6">
        <v>21</v>
      </c>
      <c r="K11" s="6">
        <v>173</v>
      </c>
      <c r="L11" s="5" t="s"/>
    </row>
    <row r="12" spans="1:12" ht="18.75">
      <c r="A12" s="4">
        <v>11</v>
      </c>
      <c r="B12" s="4" t="s">
        <v>33</v>
      </c>
      <c r="C12" s="4">
        <v>1099</v>
      </c>
      <c r="D12" s="4" t="str">
        <f>=VLOOKUP(B12,[1]在校生综合信息查询!$A$2:$C$41,2,0)</f>
        <v>25q770101004</v>
      </c>
      <c r="E12" s="6">
        <v>35</v>
      </c>
      <c r="F12" s="6">
        <v>16</v>
      </c>
      <c r="G12" s="7">
        <v>22</v>
      </c>
      <c r="H12" s="6">
        <v>12</v>
      </c>
      <c r="I12" s="6">
        <v>23</v>
      </c>
      <c r="J12" s="6">
        <v>15</v>
      </c>
      <c r="K12" s="6">
        <v>123</v>
      </c>
      <c r="L12" s="5" t="s"/>
    </row>
    <row r="13" spans="1:12" ht="18.75">
      <c r="A13" s="4">
        <v>12</v>
      </c>
      <c r="B13" s="4" t="s">
        <v>35</v>
      </c>
      <c r="C13" s="4">
        <v>1114</v>
      </c>
      <c r="D13" s="4" t="str">
        <f>=VLOOKUP(B13,[1]在校生综合信息查询!$A$2:$C$41,2,0)</f>
        <v>25q770101022</v>
      </c>
      <c r="E13" s="6">
        <v>52</v>
      </c>
      <c r="F13" s="6">
        <v>32</v>
      </c>
      <c r="G13" s="7">
        <v>16</v>
      </c>
      <c r="H13" s="6">
        <v>12</v>
      </c>
      <c r="I13" s="6">
        <v>30</v>
      </c>
      <c r="J13" s="6">
        <v>18</v>
      </c>
      <c r="K13" s="6">
        <v>160</v>
      </c>
      <c r="L13" s="5" t="s"/>
    </row>
    <row r="14" spans="1:12" ht="18.75">
      <c r="A14" s="4">
        <v>13</v>
      </c>
      <c r="B14" s="4" t="s">
        <v>37</v>
      </c>
      <c r="C14" s="4">
        <v>1105</v>
      </c>
      <c r="D14" s="4" t="str">
        <f>=VLOOKUP(B14,[1]在校生综合信息查询!$A$2:$C$41,2,0)</f>
        <v>25q770101011</v>
      </c>
      <c r="E14" s="6">
        <v>84</v>
      </c>
      <c r="F14" s="6">
        <v>46</v>
      </c>
      <c r="G14" s="7">
        <v>69</v>
      </c>
      <c r="H14" s="6">
        <v>40</v>
      </c>
      <c r="I14" s="6">
        <v>54</v>
      </c>
      <c r="J14" s="6">
        <v>46</v>
      </c>
      <c r="K14" s="6">
        <v>339</v>
      </c>
      <c r="L14" s="5" t="s"/>
    </row>
    <row r="15" spans="1:12" ht="18.75">
      <c r="A15" s="4">
        <v>14</v>
      </c>
      <c r="B15" s="4" t="s">
        <v>39</v>
      </c>
      <c r="C15" s="4">
        <v>1119</v>
      </c>
      <c r="D15" s="4" t="str">
        <f>=VLOOKUP(B15,[1]在校生综合信息查询!$A$2:$C$41,2,0)</f>
        <v>25q770101027</v>
      </c>
      <c r="E15" s="6">
        <v>42</v>
      </c>
      <c r="F15" s="6">
        <v>16</v>
      </c>
      <c r="G15" s="7">
        <v>13</v>
      </c>
      <c r="H15" s="6">
        <v>16</v>
      </c>
      <c r="I15" s="6">
        <v>31</v>
      </c>
      <c r="J15" s="6">
        <v>22</v>
      </c>
      <c r="K15" s="6">
        <v>140</v>
      </c>
      <c r="L15" s="5" t="s"/>
    </row>
    <row r="16" spans="1:12" ht="18.75">
      <c r="A16" s="4">
        <v>15</v>
      </c>
      <c r="B16" s="4" t="s">
        <v>41</v>
      </c>
      <c r="C16" s="4">
        <v>1107</v>
      </c>
      <c r="D16" s="4" t="str">
        <f>=VLOOKUP(B16,[1]在校生综合信息查询!$A$2:$C$41,2,0)</f>
        <v>25q770101013</v>
      </c>
      <c r="E16" s="6">
        <v>13</v>
      </c>
      <c r="F16" s="6">
        <v>20</v>
      </c>
      <c r="G16" s="7">
        <v>15.5</v>
      </c>
      <c r="H16" s="6">
        <v>15</v>
      </c>
      <c r="I16" s="6">
        <v>12</v>
      </c>
      <c r="J16" s="6">
        <v>9</v>
      </c>
      <c r="K16" s="6">
        <v>84.5</v>
      </c>
      <c r="L16" s="5" t="s"/>
    </row>
    <row r="17" spans="1:12" ht="18.75">
      <c r="A17" s="4">
        <v>16</v>
      </c>
      <c r="B17" s="4" t="s">
        <v>43</v>
      </c>
      <c r="C17" s="4">
        <v>1110</v>
      </c>
      <c r="D17" s="4" t="str">
        <f>=VLOOKUP(B17,[1]在校生综合信息查询!$A$2:$C$41,2,0)</f>
        <v>25q770101016</v>
      </c>
      <c r="E17" s="6">
        <v>41</v>
      </c>
      <c r="F17" s="6">
        <v>8</v>
      </c>
      <c r="G17" s="7">
        <v>18</v>
      </c>
      <c r="H17" s="6">
        <v>26</v>
      </c>
      <c r="I17" s="6">
        <v>39</v>
      </c>
      <c r="J17" s="6">
        <v>24</v>
      </c>
      <c r="K17" s="6">
        <v>156</v>
      </c>
      <c r="L17" s="5" t="s"/>
    </row>
    <row r="18" spans="1:12" ht="18.75">
      <c r="A18" s="4">
        <v>17</v>
      </c>
      <c r="B18" s="4" t="s">
        <v>45</v>
      </c>
      <c r="C18" s="4">
        <v>1112</v>
      </c>
      <c r="D18" s="4" t="str">
        <f>=VLOOKUP(B18,[1]在校生综合信息查询!$A$2:$C$41,2,0)</f>
        <v>25q770101019</v>
      </c>
      <c r="E18" s="6">
        <v>37</v>
      </c>
      <c r="F18" s="6">
        <v>12</v>
      </c>
      <c r="G18" s="7">
        <v>19</v>
      </c>
      <c r="H18" s="6">
        <v>20</v>
      </c>
      <c r="I18" s="6">
        <v>42</v>
      </c>
      <c r="J18" s="6">
        <v>27</v>
      </c>
      <c r="K18" s="6">
        <v>157</v>
      </c>
      <c r="L18" s="5" t="s"/>
    </row>
    <row r="19" spans="1:12" ht="18.75">
      <c r="A19" s="4">
        <v>18</v>
      </c>
      <c r="B19" s="4" t="s">
        <v>47</v>
      </c>
      <c r="C19" s="4">
        <v>1121</v>
      </c>
      <c r="D19" s="4" t="str">
        <f>=VLOOKUP(B19,[1]在校生综合信息查询!$A$2:$C$41,2,0)</f>
        <v>25q770101030</v>
      </c>
      <c r="E19" s="6">
        <v>76</v>
      </c>
      <c r="F19" s="6">
        <v>12</v>
      </c>
      <c r="G19" s="7">
        <v>43</v>
      </c>
      <c r="H19" s="6">
        <v>21</v>
      </c>
      <c r="I19" s="6">
        <v>33</v>
      </c>
      <c r="J19" s="6">
        <v>24</v>
      </c>
      <c r="K19" s="6">
        <v>209</v>
      </c>
      <c r="L19" s="5" t="s"/>
    </row>
    <row r="20" spans="1:12" ht="18.75">
      <c r="A20" s="4">
        <v>19</v>
      </c>
      <c r="B20" s="4" t="s">
        <v>49</v>
      </c>
      <c r="C20" s="4">
        <v>1116</v>
      </c>
      <c r="D20" s="4" t="str">
        <f>=VLOOKUP(B20,[1]在校生综合信息查询!$A$2:$C$41,2,0)</f>
        <v>25q770101024</v>
      </c>
      <c r="E20" s="6">
        <v>49</v>
      </c>
      <c r="F20" s="6">
        <v>12</v>
      </c>
      <c r="G20" s="7">
        <v>9.5</v>
      </c>
      <c r="H20" s="6">
        <v>21</v>
      </c>
      <c r="I20" s="6">
        <v>19</v>
      </c>
      <c r="J20" s="6">
        <v>15</v>
      </c>
      <c r="K20" s="6">
        <v>125.5</v>
      </c>
      <c r="L20" s="5" t="s"/>
    </row>
    <row r="21" spans="1:12" ht="18.75">
      <c r="A21" s="4">
        <v>20</v>
      </c>
      <c r="B21" s="4" t="s">
        <v>51</v>
      </c>
      <c r="C21" s="4">
        <v>1102</v>
      </c>
      <c r="D21" s="4" t="str">
        <f>=VLOOKUP(B21,[1]在校生综合信息查询!$A$2:$C$41,2,0)</f>
        <v>25q770101008</v>
      </c>
      <c r="E21" s="6">
        <v>61</v>
      </c>
      <c r="F21" s="6">
        <v>12</v>
      </c>
      <c r="G21" s="7">
        <v>20</v>
      </c>
      <c r="H21" s="6">
        <v>25</v>
      </c>
      <c r="I21" s="6">
        <v>60</v>
      </c>
      <c r="J21" s="6">
        <v>31</v>
      </c>
      <c r="K21" s="6">
        <v>209</v>
      </c>
      <c r="L21" s="5" t="s"/>
    </row>
    <row r="22" spans="1:12" ht="18.75">
      <c r="A22" s="4">
        <v>21</v>
      </c>
      <c r="B22" s="4" t="s">
        <v>53</v>
      </c>
      <c r="C22" s="4">
        <v>1122</v>
      </c>
      <c r="D22" s="4" t="str">
        <f>=VLOOKUP(B22,[1]在校生综合信息查询!$A$2:$C$41,2,0)</f>
        <v>25q770101031</v>
      </c>
      <c r="E22" s="6">
        <v>13</v>
      </c>
      <c r="F22" s="6">
        <v>8</v>
      </c>
      <c r="G22" s="7">
        <v>19.5</v>
      </c>
      <c r="H22" s="6">
        <v>21</v>
      </c>
      <c r="I22" s="6">
        <v>25</v>
      </c>
      <c r="J22" s="6">
        <v>27</v>
      </c>
      <c r="K22" s="6">
        <v>113.5</v>
      </c>
      <c r="L22" s="5" t="s"/>
    </row>
    <row r="23" spans="1:12" ht="18.75">
      <c r="A23" s="4">
        <v>22</v>
      </c>
      <c r="B23" s="4" t="s">
        <v>55</v>
      </c>
      <c r="C23" s="4">
        <v>1124</v>
      </c>
      <c r="D23" s="4" t="str">
        <f>=VLOOKUP(B23,[1]在校生综合信息查询!$A$2:$C$41,2,0)</f>
        <v>25q770101050</v>
      </c>
      <c r="E23" s="6">
        <v>23</v>
      </c>
      <c r="F23" s="6">
        <v>24</v>
      </c>
      <c r="G23" s="7">
        <v>29</v>
      </c>
      <c r="H23" s="6">
        <v>24</v>
      </c>
      <c r="I23" s="6">
        <v>24</v>
      </c>
      <c r="J23" s="6">
        <v>12</v>
      </c>
      <c r="K23" s="6">
        <v>136</v>
      </c>
      <c r="L23" s="5" t="s"/>
    </row>
    <row r="24" spans="1:12" ht="18.75">
      <c r="A24" s="4">
        <v>23</v>
      </c>
      <c r="B24" s="4" t="s">
        <v>57</v>
      </c>
      <c r="C24" s="4">
        <v>1103</v>
      </c>
      <c r="D24" s="4" t="str">
        <f>=VLOOKUP(B24,[1]在校生综合信息查询!$A$2:$C$41,2,0)</f>
        <v>25q770101009</v>
      </c>
      <c r="E24" s="6">
        <v>3</v>
      </c>
      <c r="F24" s="6">
        <v>16</v>
      </c>
      <c r="G24" s="7">
        <v>17</v>
      </c>
      <c r="H24" s="6">
        <v>12</v>
      </c>
      <c r="I24" s="6">
        <v>27</v>
      </c>
      <c r="J24" s="6">
        <v>21</v>
      </c>
      <c r="K24" s="6">
        <v>96</v>
      </c>
      <c r="L24" s="5" t="s"/>
    </row>
    <row r="25" spans="1:12" ht="18.75">
      <c r="A25" s="4">
        <v>24</v>
      </c>
      <c r="B25" s="4" t="s">
        <v>59</v>
      </c>
      <c r="C25" s="4">
        <v>1127</v>
      </c>
      <c r="D25" s="4" t="e">
        <f>=VLOOKUP(B25,[1]在校生综合信息查询!$A$2:$C$41,2,0)</f>
        <v>#N/A</v>
      </c>
      <c r="E25" s="6">
        <v>23</v>
      </c>
      <c r="F25" s="6">
        <v>4</v>
      </c>
      <c r="G25" s="7">
        <v>14.5</v>
      </c>
      <c r="H25" s="6">
        <v>15</v>
      </c>
      <c r="I25" s="6">
        <v>23</v>
      </c>
      <c r="J25" s="6">
        <v>15</v>
      </c>
      <c r="K25" s="6">
        <v>94.5</v>
      </c>
      <c r="L25" s="5" t="s"/>
    </row>
    <row r="26" spans="1:12" ht="18.75">
      <c r="A26" s="4">
        <v>25</v>
      </c>
      <c r="B26" s="4" t="s">
        <v>61</v>
      </c>
      <c r="C26" s="4">
        <v>1118</v>
      </c>
      <c r="D26" s="4" t="str">
        <f>=VLOOKUP(B26,[1]在校生综合信息查询!$A$2:$C$41,2,0)</f>
        <v>25q770101026</v>
      </c>
      <c r="E26" s="6">
        <v>70</v>
      </c>
      <c r="F26" s="6">
        <v>24</v>
      </c>
      <c r="G26" s="7">
        <v>17.5</v>
      </c>
      <c r="H26" s="6">
        <v>26</v>
      </c>
      <c r="I26" s="6">
        <v>34</v>
      </c>
      <c r="J26" s="6">
        <v>37</v>
      </c>
      <c r="K26" s="6">
        <v>208.5</v>
      </c>
      <c r="L26" s="5" t="s"/>
    </row>
    <row r="27" spans="1:12" ht="18.75">
      <c r="A27" s="4">
        <v>26</v>
      </c>
      <c r="B27" s="4" t="s">
        <v>63</v>
      </c>
      <c r="C27" s="4">
        <v>1097</v>
      </c>
      <c r="D27" s="4" t="str">
        <f>=VLOOKUP(B27,[1]在校生综合信息查询!$A$2:$C$41,2,0)</f>
        <v>25q770101001</v>
      </c>
      <c r="E27" s="6">
        <v>72</v>
      </c>
      <c r="F27" s="6">
        <v>24</v>
      </c>
      <c r="G27" s="7">
        <v>38.5</v>
      </c>
      <c r="H27" s="6">
        <v>39</v>
      </c>
      <c r="I27" s="6">
        <v>62</v>
      </c>
      <c r="J27" s="6">
        <v>26</v>
      </c>
      <c r="K27" s="6">
        <v>261.5</v>
      </c>
      <c r="L27" s="5" t="s"/>
    </row>
    <row r="28" spans="1:12" ht="18.75">
      <c r="A28" s="4">
        <v>27</v>
      </c>
      <c r="B28" s="4" t="s">
        <v>65</v>
      </c>
      <c r="C28" s="4">
        <v>1120</v>
      </c>
      <c r="D28" s="4" t="str">
        <f>=VLOOKUP(B28,[1]在校生综合信息查询!$A$2:$C$41,2,0)</f>
        <v>25q770101029</v>
      </c>
      <c r="E28" s="6">
        <v>9</v>
      </c>
      <c r="F28" s="6">
        <v>24</v>
      </c>
      <c r="G28" s="7">
        <v>22</v>
      </c>
      <c r="H28" s="6">
        <v>3</v>
      </c>
      <c r="I28" s="6">
        <v>17</v>
      </c>
      <c r="J28" s="6">
        <v>18</v>
      </c>
      <c r="K28" s="6">
        <v>93</v>
      </c>
      <c r="L28" s="5" t="s"/>
    </row>
    <row r="29" spans="1:12" ht="18.75">
      <c r="A29" s="4">
        <v>28</v>
      </c>
      <c r="B29" s="4" t="s">
        <v>67</v>
      </c>
      <c r="C29" s="4">
        <v>1109</v>
      </c>
      <c r="D29" s="4" t="str">
        <f>=VLOOKUP(B29,[1]在校生综合信息查询!$A$2:$C$41,2,0)</f>
        <v>25q770101015</v>
      </c>
      <c r="E29" s="6">
        <v>69</v>
      </c>
      <c r="F29" s="6">
        <v>36</v>
      </c>
      <c r="G29" s="7">
        <v>42</v>
      </c>
      <c r="H29" s="6">
        <v>18</v>
      </c>
      <c r="I29" s="6">
        <v>39</v>
      </c>
      <c r="J29" s="6">
        <v>22</v>
      </c>
      <c r="K29" s="6">
        <v>226</v>
      </c>
      <c r="L29" s="5" t="s"/>
    </row>
    <row r="30" spans="1:12" ht="18.75">
      <c r="A30" s="4">
        <v>29</v>
      </c>
      <c r="B30" s="4" t="s">
        <v>69</v>
      </c>
      <c r="C30" s="4">
        <v>1115</v>
      </c>
      <c r="D30" s="4" t="str">
        <f>=VLOOKUP(B30,[1]在校生综合信息查询!$A$2:$C$41,2,0)</f>
        <v>25q770101023</v>
      </c>
      <c r="E30" s="6">
        <v>34</v>
      </c>
      <c r="F30" s="6">
        <v>12</v>
      </c>
      <c r="G30" s="7">
        <v>19</v>
      </c>
      <c r="H30" s="6">
        <v>21</v>
      </c>
      <c r="I30" s="6">
        <v>27</v>
      </c>
      <c r="J30" s="6">
        <v>27</v>
      </c>
      <c r="K30" s="6">
        <v>140</v>
      </c>
      <c r="L30" s="5" t="s"/>
    </row>
    <row r="31" spans="1:12" ht="18.75">
      <c r="A31" s="4">
        <v>30</v>
      </c>
      <c r="B31" s="4" t="s">
        <v>71</v>
      </c>
      <c r="C31" s="4">
        <v>1106</v>
      </c>
      <c r="D31" s="4" t="str">
        <f>=VLOOKUP(B31,[1]在校生综合信息查询!$A$2:$C$41,2,0)</f>
        <v>25q770101012</v>
      </c>
      <c r="E31" s="6">
        <v>27</v>
      </c>
      <c r="F31" s="6">
        <v>28</v>
      </c>
      <c r="G31" s="7">
        <v>26.5</v>
      </c>
      <c r="H31" s="6">
        <v>11</v>
      </c>
      <c r="I31" s="6">
        <v>22</v>
      </c>
      <c r="J31" s="6">
        <v>24</v>
      </c>
      <c r="K31" s="6">
        <v>138.5</v>
      </c>
      <c r="L31" s="5" t="s"/>
    </row>
    <row r="32" spans="1:12" ht="18.75">
      <c r="A32" s="4">
        <v>31</v>
      </c>
      <c r="B32" s="4" t="s">
        <v>73</v>
      </c>
      <c r="C32" s="4">
        <v>1123</v>
      </c>
      <c r="D32" s="4" t="str">
        <f>=VLOOKUP(B32,[1]在校生综合信息查询!$A$2:$C$41,2,0)</f>
        <v>25q770101032</v>
      </c>
      <c r="E32" s="6">
        <v>11</v>
      </c>
      <c r="F32" s="6">
        <v>28</v>
      </c>
      <c r="G32" s="7">
        <v>13.5</v>
      </c>
      <c r="H32" s="6">
        <v>21</v>
      </c>
      <c r="I32" s="6">
        <v>25</v>
      </c>
      <c r="J32" s="6">
        <v>12</v>
      </c>
      <c r="K32" s="6">
        <v>120.5</v>
      </c>
      <c r="L32" s="5" t="s"/>
    </row>
    <row r="33" spans="1:12" ht="18.75">
      <c r="A33" s="4">
        <v>32</v>
      </c>
      <c r="B33" s="4" t="s">
        <v>75</v>
      </c>
      <c r="C33" s="4">
        <v>1111</v>
      </c>
      <c r="D33" s="4" t="str">
        <f>=VLOOKUP(B33,[1]在校生综合信息查询!$A$2:$C$41,2,0)</f>
        <v>25q770101018</v>
      </c>
      <c r="E33" s="6">
        <v>83</v>
      </c>
      <c r="F33" s="6">
        <v>24</v>
      </c>
      <c r="G33" s="7">
        <v>20</v>
      </c>
      <c r="H33" s="6">
        <v>24</v>
      </c>
      <c r="I33" s="6">
        <v>43</v>
      </c>
      <c r="J33" s="6">
        <v>35</v>
      </c>
      <c r="K33" s="6">
        <v>229</v>
      </c>
      <c r="L33" s="5" t="s"/>
    </row>
    <row r="34" spans="2:7">
      <c r="B34" s="8" t="s">
        <v>77</v>
      </c>
      <c r="G34" s="9" t="s"/>
    </row>
    <row r="35" spans="2:7">
      <c r="B35" s="8" t="s">
        <v>78</v>
      </c>
      <c r="G35" s="9" t="s"/>
    </row>
    <row r="36" spans="7:7">
      <c r="G36" s="9" t="s"/>
    </row>
    <row r="37" spans="7:7">
      <c r="G37" s="9" t="s"/>
    </row>
    <row r="38" spans="7:7">
      <c r="G38" s="9" t="s"/>
    </row>
    <row r="39" spans="7:7">
      <c r="G39" s="9" t="s"/>
    </row>
    <row r="40" spans="7:7">
      <c r="G40" s="9" t="s"/>
    </row>
    <row r="41" spans="7:7">
      <c r="G41" s="9" t="s"/>
    </row>
    <row r="42" spans="7:7">
      <c r="G42" s="9" t="s"/>
    </row>
    <row r="43" spans="7:7">
      <c r="G43" s="9" t="s"/>
    </row>
    <row r="44" spans="7:7">
      <c r="G44" s="9" t="s"/>
    </row>
    <row r="45" spans="7:7">
      <c r="G45" s="9" t="s"/>
    </row>
    <row r="46" spans="7:7">
      <c r="G46" s="9" t="s"/>
    </row>
    <row r="47" spans="7:7">
      <c r="G47" s="9" t="s"/>
    </row>
    <row r="48" spans="7:7">
      <c r="G48" s="9" t="s"/>
    </row>
    <row r="49" spans="7:7">
      <c r="G49" s="9" t="s"/>
    </row>
    <row r="50" spans="7:7">
      <c r="G50" s="9" t="s"/>
    </row>
    <row r="51" spans="7:7">
      <c r="G51" s="9" t="s"/>
    </row>
    <row r="52" spans="7:7">
      <c r="G52" s="9" t="s"/>
    </row>
    <row r="53" spans="7:7">
      <c r="G53" s="9" t="s"/>
    </row>
    <row r="54" spans="7:7">
      <c r="G54" s="9" t="s"/>
    </row>
    <row r="55" spans="7:7">
      <c r="G55" s="9" t="s"/>
    </row>
    <row r="56" spans="7:7">
      <c r="G56" s="9" t="s"/>
    </row>
    <row r="57" spans="7:7">
      <c r="G57" s="9" t="s"/>
    </row>
    <row r="58" spans="7:7">
      <c r="G58" s="9" t="s"/>
    </row>
    <row r="59" spans="7:7">
      <c r="G59" s="9" t="s"/>
    </row>
    <row r="60" spans="7:7">
      <c r="G60" s="9" t="s"/>
    </row>
    <row r="61" spans="7:7">
      <c r="G61" s="9" t="s"/>
    </row>
    <row r="62" spans="7:7">
      <c r="G62" s="9" t="s"/>
    </row>
    <row r="63" spans="7:7">
      <c r="G63" s="9" t="s"/>
    </row>
    <row r="64" spans="7:7">
      <c r="G64" s="9" t="s"/>
    </row>
    <row r="65" spans="7:7">
      <c r="G65" s="9" t="s"/>
    </row>
    <row r="66" spans="7:7">
      <c r="G66" s="9" t="s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>
  <sheetPr/>
  <dimension ref="L27"/>
  <sheetViews>
    <sheetView showGridLines="1" topLeftCell="A19" workbookViewId="0"/>
  </sheetViews>
  <sheetFormatPr defaultColWidth="8.75" defaultRowHeight="14.25"/>
  <cols>
    <col min="1" max="1" width="8.75" style="122"/>
    <col min="2" max="2" width="9.44141" style="123" customWidth="1"/>
    <col min="3" max="3" width="0" style="123" customWidth="1"/>
    <col min="4" max="4" width="17.375" style="123" customWidth="1"/>
    <col min="5" max="7" width="8.75" style="123"/>
    <col min="8" max="8" width="20.875" style="123" customWidth="1"/>
    <col min="9" max="9" width="23.625" style="123" customWidth="1"/>
    <col min="10" max="10" width="23.75" style="123" customWidth="1"/>
    <col min="11" max="11" width="6.71094" customWidth="1"/>
    <col min="12" max="12" width="5.71094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5" t="s">
        <v>11</v>
      </c>
      <c r="L1" s="5" t="s">
        <v>12</v>
      </c>
    </row>
    <row r="2" spans="1:12" ht="18.75">
      <c r="A2" s="10">
        <v>1</v>
      </c>
      <c r="B2" s="10" t="s">
        <v>79</v>
      </c>
      <c r="C2" s="10" t="s"/>
      <c r="D2" s="10" t="s"/>
      <c r="E2" s="10">
        <v>109</v>
      </c>
      <c r="F2" s="10">
        <v>101</v>
      </c>
      <c r="G2" s="10">
        <v>82.5</v>
      </c>
      <c r="H2" s="10">
        <v>70</v>
      </c>
      <c r="I2" s="10">
        <v>92</v>
      </c>
      <c r="J2" s="10">
        <v>76</v>
      </c>
      <c r="K2" s="11">
        <v>530.5</v>
      </c>
      <c r="L2" s="11">
        <v>1</v>
      </c>
    </row>
    <row r="3" spans="1:12" ht="18.75">
      <c r="A3" s="10">
        <v>2</v>
      </c>
      <c r="B3" s="10" t="s">
        <v>80</v>
      </c>
      <c r="C3" s="10" t="s"/>
      <c r="D3" s="10" t="s"/>
      <c r="E3" s="10">
        <v>96</v>
      </c>
      <c r="F3" s="10">
        <v>135</v>
      </c>
      <c r="G3" s="10">
        <v>71</v>
      </c>
      <c r="H3" s="10">
        <v>84</v>
      </c>
      <c r="I3" s="10">
        <v>75</v>
      </c>
      <c r="J3" s="10">
        <v>67</v>
      </c>
      <c r="K3" s="11">
        <v>528</v>
      </c>
      <c r="L3" s="11">
        <v>2</v>
      </c>
    </row>
    <row r="4" spans="1:12" ht="18.75">
      <c r="A4" s="10">
        <v>3</v>
      </c>
      <c r="B4" s="10" t="s">
        <v>81</v>
      </c>
      <c r="C4" s="10" t="s"/>
      <c r="D4" s="10" t="s"/>
      <c r="E4" s="10">
        <v>98</v>
      </c>
      <c r="F4" s="10">
        <v>95</v>
      </c>
      <c r="G4" s="10">
        <v>83</v>
      </c>
      <c r="H4" s="10">
        <v>84</v>
      </c>
      <c r="I4" s="10">
        <v>86</v>
      </c>
      <c r="J4" s="10">
        <v>80</v>
      </c>
      <c r="K4" s="11">
        <v>526</v>
      </c>
      <c r="L4" s="11">
        <v>3</v>
      </c>
    </row>
    <row r="5" spans="1:12" ht="18.75">
      <c r="A5" s="10">
        <v>4</v>
      </c>
      <c r="B5" s="10" t="s">
        <v>82</v>
      </c>
      <c r="C5" s="10" t="s"/>
      <c r="D5" s="10" t="s"/>
      <c r="E5" s="10">
        <v>104</v>
      </c>
      <c r="F5" s="10">
        <v>130</v>
      </c>
      <c r="G5" s="10">
        <v>81</v>
      </c>
      <c r="H5" s="10">
        <v>50</v>
      </c>
      <c r="I5" s="10">
        <v>85</v>
      </c>
      <c r="J5" s="10">
        <v>50</v>
      </c>
      <c r="K5" s="11">
        <v>500</v>
      </c>
      <c r="L5" s="11">
        <v>4</v>
      </c>
    </row>
    <row r="6" spans="1:12" ht="18.75">
      <c r="A6" s="10">
        <v>5</v>
      </c>
      <c r="B6" s="10" t="s">
        <v>83</v>
      </c>
      <c r="C6" s="10" t="s"/>
      <c r="D6" s="10" t="s"/>
      <c r="E6" s="10">
        <v>97</v>
      </c>
      <c r="F6" s="10">
        <v>109</v>
      </c>
      <c r="G6" s="10">
        <v>64</v>
      </c>
      <c r="H6" s="10">
        <v>65</v>
      </c>
      <c r="I6" s="10">
        <v>81</v>
      </c>
      <c r="J6" s="10">
        <v>80</v>
      </c>
      <c r="K6" s="11">
        <v>496</v>
      </c>
      <c r="L6" s="11">
        <v>5</v>
      </c>
    </row>
    <row r="7" spans="1:12" ht="18.75">
      <c r="A7" s="10">
        <v>6</v>
      </c>
      <c r="B7" s="10" t="s">
        <v>84</v>
      </c>
      <c r="C7" s="10" t="s"/>
      <c r="D7" s="10" t="s"/>
      <c r="E7" s="10">
        <v>88</v>
      </c>
      <c r="F7" s="10">
        <v>82</v>
      </c>
      <c r="G7" s="10">
        <v>70</v>
      </c>
      <c r="H7" s="10">
        <v>71</v>
      </c>
      <c r="I7" s="10">
        <v>92</v>
      </c>
      <c r="J7" s="10">
        <v>71</v>
      </c>
      <c r="K7" s="11">
        <v>474</v>
      </c>
      <c r="L7" s="11">
        <v>6</v>
      </c>
    </row>
    <row r="8" spans="1:12" ht="18.75">
      <c r="A8" s="10">
        <v>7</v>
      </c>
      <c r="B8" s="10" t="s">
        <v>85</v>
      </c>
      <c r="C8" s="10" t="s"/>
      <c r="D8" s="10" t="s"/>
      <c r="E8" s="10">
        <v>96</v>
      </c>
      <c r="F8" s="10">
        <v>124</v>
      </c>
      <c r="G8" s="10">
        <v>64</v>
      </c>
      <c r="H8" s="10">
        <v>60</v>
      </c>
      <c r="I8" s="10">
        <v>61</v>
      </c>
      <c r="J8" s="10">
        <v>61</v>
      </c>
      <c r="K8" s="11">
        <v>466</v>
      </c>
      <c r="L8" s="11">
        <v>7</v>
      </c>
    </row>
    <row r="9" spans="1:12" ht="18.75">
      <c r="A9" s="10">
        <v>8</v>
      </c>
      <c r="B9" s="10" t="s">
        <v>86</v>
      </c>
      <c r="C9" s="10" t="s"/>
      <c r="D9" s="10" t="s"/>
      <c r="E9" s="10">
        <v>93</v>
      </c>
      <c r="F9" s="10">
        <v>74</v>
      </c>
      <c r="G9" s="10">
        <v>56</v>
      </c>
      <c r="H9" s="10">
        <v>66</v>
      </c>
      <c r="I9" s="10">
        <v>71</v>
      </c>
      <c r="J9" s="10">
        <v>56</v>
      </c>
      <c r="K9" s="11">
        <v>416</v>
      </c>
      <c r="L9" s="11">
        <v>8</v>
      </c>
    </row>
    <row r="10" spans="1:12" ht="18.75">
      <c r="A10" s="10">
        <v>9</v>
      </c>
      <c r="B10" s="10" t="s">
        <v>87</v>
      </c>
      <c r="C10" s="10" t="s"/>
      <c r="D10" s="10" t="s"/>
      <c r="E10" s="10">
        <v>83</v>
      </c>
      <c r="F10" s="10">
        <v>82</v>
      </c>
      <c r="G10" s="10">
        <v>52.5</v>
      </c>
      <c r="H10" s="10">
        <v>62</v>
      </c>
      <c r="I10" s="10">
        <v>63</v>
      </c>
      <c r="J10" s="10">
        <v>44</v>
      </c>
      <c r="K10" s="11">
        <v>386.5</v>
      </c>
      <c r="L10" s="11">
        <v>9</v>
      </c>
    </row>
    <row r="11" spans="1:12" ht="18.75">
      <c r="A11" s="10">
        <v>10</v>
      </c>
      <c r="B11" s="10" t="s">
        <v>88</v>
      </c>
      <c r="C11" s="10" t="s"/>
      <c r="D11" s="10" t="s"/>
      <c r="E11" s="10">
        <v>91</v>
      </c>
      <c r="F11" s="10">
        <v>67</v>
      </c>
      <c r="G11" s="10">
        <v>46.5</v>
      </c>
      <c r="H11" s="10">
        <v>53</v>
      </c>
      <c r="I11" s="10">
        <v>55</v>
      </c>
      <c r="J11" s="10">
        <v>60</v>
      </c>
      <c r="K11" s="11">
        <v>372.5</v>
      </c>
      <c r="L11" s="11">
        <v>10</v>
      </c>
    </row>
    <row r="12" spans="1:12" ht="18.75">
      <c r="A12" s="10">
        <v>11</v>
      </c>
      <c r="B12" s="10" t="s">
        <v>89</v>
      </c>
      <c r="C12" s="10" t="s"/>
      <c r="D12" s="10" t="s"/>
      <c r="E12" s="10">
        <v>90</v>
      </c>
      <c r="F12" s="10">
        <v>49</v>
      </c>
      <c r="G12" s="10">
        <v>41</v>
      </c>
      <c r="H12" s="10">
        <v>60</v>
      </c>
      <c r="I12" s="10">
        <v>81</v>
      </c>
      <c r="J12" s="10">
        <v>35</v>
      </c>
      <c r="K12" s="11">
        <v>356</v>
      </c>
      <c r="L12" s="11">
        <v>11</v>
      </c>
    </row>
    <row r="13" spans="1:12" ht="18.75">
      <c r="A13" s="10">
        <v>12</v>
      </c>
      <c r="B13" s="10" t="s">
        <v>90</v>
      </c>
      <c r="C13" s="10" t="s"/>
      <c r="D13" s="10" t="s"/>
      <c r="E13" s="10">
        <v>81</v>
      </c>
      <c r="F13" s="10">
        <v>41</v>
      </c>
      <c r="G13" s="10">
        <v>45</v>
      </c>
      <c r="H13" s="10">
        <v>56</v>
      </c>
      <c r="I13" s="10">
        <v>61</v>
      </c>
      <c r="J13" s="10">
        <v>52</v>
      </c>
      <c r="K13" s="11">
        <v>336</v>
      </c>
      <c r="L13" s="11">
        <v>12</v>
      </c>
    </row>
    <row r="14" spans="1:12" ht="18.75">
      <c r="A14" s="10">
        <v>13</v>
      </c>
      <c r="B14" s="10" t="s">
        <v>91</v>
      </c>
      <c r="C14" s="10" t="s"/>
      <c r="D14" s="10" t="s"/>
      <c r="E14" s="10">
        <v>93</v>
      </c>
      <c r="F14" s="10">
        <v>44</v>
      </c>
      <c r="G14" s="10">
        <v>35.5</v>
      </c>
      <c r="H14" s="10">
        <v>40</v>
      </c>
      <c r="I14" s="10">
        <v>68</v>
      </c>
      <c r="J14" s="10">
        <v>46</v>
      </c>
      <c r="K14" s="11">
        <v>326.5</v>
      </c>
      <c r="L14" s="11">
        <v>13</v>
      </c>
    </row>
    <row r="15" spans="1:12" ht="18.75">
      <c r="A15" s="10">
        <v>14</v>
      </c>
      <c r="B15" s="10" t="s">
        <v>92</v>
      </c>
      <c r="C15" s="10" t="s"/>
      <c r="D15" s="10" t="s"/>
      <c r="E15" s="10">
        <v>65</v>
      </c>
      <c r="F15" s="10">
        <v>52</v>
      </c>
      <c r="G15" s="10">
        <v>47</v>
      </c>
      <c r="H15" s="10">
        <v>55</v>
      </c>
      <c r="I15" s="10">
        <v>71</v>
      </c>
      <c r="J15" s="10">
        <v>36</v>
      </c>
      <c r="K15" s="11">
        <v>326</v>
      </c>
      <c r="L15" s="11">
        <v>14</v>
      </c>
    </row>
    <row r="16" spans="1:12" ht="18.75">
      <c r="A16" s="10">
        <v>15</v>
      </c>
      <c r="B16" s="10" t="s">
        <v>93</v>
      </c>
      <c r="C16" s="10" t="s"/>
      <c r="D16" s="10" t="s"/>
      <c r="E16" s="10">
        <v>91</v>
      </c>
      <c r="F16" s="10">
        <v>40</v>
      </c>
      <c r="G16" s="10">
        <v>56.5</v>
      </c>
      <c r="H16" s="10">
        <v>34</v>
      </c>
      <c r="I16" s="10">
        <v>54</v>
      </c>
      <c r="J16" s="10">
        <v>50</v>
      </c>
      <c r="K16" s="11">
        <v>325.5</v>
      </c>
      <c r="L16" s="11">
        <v>15</v>
      </c>
    </row>
    <row r="17" spans="1:12" ht="18.75">
      <c r="A17" s="10">
        <v>16</v>
      </c>
      <c r="B17" s="10" t="s">
        <v>94</v>
      </c>
      <c r="C17" s="10" t="s"/>
      <c r="D17" s="10" t="s"/>
      <c r="E17" s="10">
        <v>87</v>
      </c>
      <c r="F17" s="10">
        <v>42</v>
      </c>
      <c r="G17" s="10">
        <v>42</v>
      </c>
      <c r="H17" s="10">
        <v>41</v>
      </c>
      <c r="I17" s="10">
        <v>61</v>
      </c>
      <c r="J17" s="10">
        <v>50</v>
      </c>
      <c r="K17" s="11">
        <v>323</v>
      </c>
      <c r="L17" s="11">
        <v>16</v>
      </c>
    </row>
    <row r="18" spans="1:12" ht="18.75">
      <c r="A18" s="10">
        <v>17</v>
      </c>
      <c r="B18" s="10" t="s">
        <v>95</v>
      </c>
      <c r="C18" s="10" t="s"/>
      <c r="D18" s="10" t="s"/>
      <c r="E18" s="10">
        <v>83</v>
      </c>
      <c r="F18" s="10">
        <v>20</v>
      </c>
      <c r="G18" s="10">
        <v>53.5</v>
      </c>
      <c r="H18" s="10">
        <v>62</v>
      </c>
      <c r="I18" s="10">
        <v>54</v>
      </c>
      <c r="J18" s="10">
        <v>49</v>
      </c>
      <c r="K18" s="11">
        <v>321.5</v>
      </c>
      <c r="L18" s="11">
        <v>17</v>
      </c>
    </row>
    <row r="19" spans="1:12" ht="18.75">
      <c r="A19" s="10">
        <v>18</v>
      </c>
      <c r="B19" s="10" t="s">
        <v>96</v>
      </c>
      <c r="C19" s="10" t="s"/>
      <c r="D19" s="10" t="s"/>
      <c r="E19" s="10">
        <v>72</v>
      </c>
      <c r="F19" s="10">
        <v>63</v>
      </c>
      <c r="G19" s="10">
        <v>51</v>
      </c>
      <c r="H19" s="10">
        <v>53</v>
      </c>
      <c r="I19" s="10">
        <v>42</v>
      </c>
      <c r="J19" s="10">
        <v>34</v>
      </c>
      <c r="K19" s="11">
        <v>315</v>
      </c>
      <c r="L19" s="11">
        <v>18</v>
      </c>
    </row>
    <row r="20" spans="1:12" ht="18.75">
      <c r="A20" s="10">
        <v>19</v>
      </c>
      <c r="B20" s="10" t="s">
        <v>97</v>
      </c>
      <c r="C20" s="10" t="s"/>
      <c r="D20" s="10" t="s"/>
      <c r="E20" s="10">
        <v>93</v>
      </c>
      <c r="F20" s="10">
        <v>41</v>
      </c>
      <c r="G20" s="10">
        <v>36</v>
      </c>
      <c r="H20" s="10">
        <v>50</v>
      </c>
      <c r="I20" s="10">
        <v>46</v>
      </c>
      <c r="J20" s="10">
        <v>47</v>
      </c>
      <c r="K20" s="11">
        <v>313</v>
      </c>
      <c r="L20" s="11">
        <v>19</v>
      </c>
    </row>
    <row r="21" spans="1:12" ht="18.75">
      <c r="A21" s="10">
        <v>20</v>
      </c>
      <c r="B21" s="10" t="s">
        <v>98</v>
      </c>
      <c r="C21" s="10" t="s"/>
      <c r="D21" s="10" t="s"/>
      <c r="E21" s="10">
        <v>76</v>
      </c>
      <c r="F21" s="10">
        <v>32</v>
      </c>
      <c r="G21" s="10">
        <v>32</v>
      </c>
      <c r="H21" s="10">
        <v>41</v>
      </c>
      <c r="I21" s="10">
        <v>57</v>
      </c>
      <c r="J21" s="10">
        <v>43</v>
      </c>
      <c r="K21" s="11">
        <v>281</v>
      </c>
      <c r="L21" s="11">
        <v>20</v>
      </c>
    </row>
    <row r="22" spans="1:12" ht="18.75">
      <c r="A22" s="10">
        <v>21</v>
      </c>
      <c r="B22" s="10" t="s">
        <v>99</v>
      </c>
      <c r="C22" s="10" t="s"/>
      <c r="D22" s="10" t="s"/>
      <c r="E22" s="10">
        <v>72</v>
      </c>
      <c r="F22" s="10">
        <v>24</v>
      </c>
      <c r="G22" s="10">
        <v>62</v>
      </c>
      <c r="H22" s="10">
        <v>26</v>
      </c>
      <c r="I22" s="10">
        <v>50</v>
      </c>
      <c r="J22" s="10">
        <v>44</v>
      </c>
      <c r="K22" s="11">
        <v>278</v>
      </c>
      <c r="L22" s="11">
        <v>21</v>
      </c>
    </row>
    <row r="23" spans="1:12" ht="18.75">
      <c r="A23" s="10">
        <v>22</v>
      </c>
      <c r="B23" s="10" t="s">
        <v>100</v>
      </c>
      <c r="C23" s="10" t="s"/>
      <c r="D23" s="10" t="s"/>
      <c r="E23" s="10">
        <v>83</v>
      </c>
      <c r="F23" s="10">
        <v>20</v>
      </c>
      <c r="G23" s="10">
        <v>29.5</v>
      </c>
      <c r="H23" s="10">
        <v>56</v>
      </c>
      <c r="I23" s="10">
        <v>47</v>
      </c>
      <c r="J23" s="10">
        <v>39</v>
      </c>
      <c r="K23" s="11">
        <v>274.5</v>
      </c>
      <c r="L23" s="11">
        <v>22</v>
      </c>
    </row>
    <row r="24" spans="1:12" ht="18.75">
      <c r="A24" s="10">
        <v>23</v>
      </c>
      <c r="B24" s="10" t="s">
        <v>101</v>
      </c>
      <c r="C24" s="10" t="s"/>
      <c r="D24" s="10" t="s"/>
      <c r="E24" s="10">
        <v>56</v>
      </c>
      <c r="F24" s="10">
        <v>41</v>
      </c>
      <c r="G24" s="10">
        <v>41</v>
      </c>
      <c r="H24" s="10">
        <v>49</v>
      </c>
      <c r="I24" s="10">
        <v>33</v>
      </c>
      <c r="J24" s="10">
        <v>44</v>
      </c>
      <c r="K24" s="11">
        <v>264</v>
      </c>
      <c r="L24" s="11">
        <v>23</v>
      </c>
    </row>
    <row r="25" spans="1:12" ht="18.75">
      <c r="A25" s="10">
        <v>24</v>
      </c>
      <c r="B25" s="10" t="s">
        <v>102</v>
      </c>
      <c r="C25" s="10" t="s"/>
      <c r="D25" s="10" t="s"/>
      <c r="E25" s="10">
        <v>61</v>
      </c>
      <c r="F25" s="10">
        <v>24</v>
      </c>
      <c r="G25" s="10">
        <v>30.5</v>
      </c>
      <c r="H25" s="10">
        <v>40</v>
      </c>
      <c r="I25" s="10">
        <v>36</v>
      </c>
      <c r="J25" s="10">
        <v>30</v>
      </c>
      <c r="K25" s="11">
        <v>221.5</v>
      </c>
      <c r="L25" s="11">
        <v>24</v>
      </c>
    </row>
    <row r="26" spans="1:12" ht="18.75">
      <c r="A26" s="10">
        <v>25</v>
      </c>
      <c r="B26" s="10" t="s">
        <v>103</v>
      </c>
      <c r="C26" s="10" t="s"/>
      <c r="D26" s="10" t="s"/>
      <c r="E26" s="10">
        <v>41</v>
      </c>
      <c r="F26" s="10">
        <v>16</v>
      </c>
      <c r="G26" s="10">
        <v>43.5</v>
      </c>
      <c r="H26" s="10">
        <v>30</v>
      </c>
      <c r="I26" s="10">
        <v>41</v>
      </c>
      <c r="J26" s="10">
        <v>23</v>
      </c>
      <c r="K26" s="11">
        <v>194.5</v>
      </c>
      <c r="L26" s="11">
        <v>25</v>
      </c>
    </row>
    <row r="27" spans="1:12" ht="18.75">
      <c r="A27" s="10">
        <v>26</v>
      </c>
      <c r="B27" s="10" t="s">
        <v>104</v>
      </c>
      <c r="C27" s="10" t="s"/>
      <c r="D27" s="10" t="s"/>
      <c r="E27" s="10" t="s">
        <v>105</v>
      </c>
      <c r="F27" s="10" t="s">
        <v>105</v>
      </c>
      <c r="G27" s="10" t="s">
        <v>105</v>
      </c>
      <c r="H27" s="10" t="s">
        <v>105</v>
      </c>
      <c r="I27" s="10" t="s">
        <v>105</v>
      </c>
      <c r="J27" s="10" t="s">
        <v>105</v>
      </c>
      <c r="K27" s="11">
        <v>0</v>
      </c>
      <c r="L27" s="11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/>
  <dimension ref="J19"/>
  <sheetViews>
    <sheetView showGridLines="1" topLeftCell="A11" workbookViewId="0"/>
  </sheetViews>
  <sheetFormatPr defaultColWidth="8.75" defaultRowHeight="14.25"/>
  <cols>
    <col min="1" max="1" width="8.75" style="122"/>
    <col min="2" max="2" width="9.5" style="123"/>
    <col min="3" max="3" width="0" style="123" customWidth="1"/>
    <col min="4" max="4" width="17.375" style="123" customWidth="1"/>
    <col min="5" max="7" width="8.75" style="123"/>
    <col min="8" max="8" width="18" style="123" customWidth="1"/>
    <col min="9" max="9" width="13.5" style="123" customWidth="1"/>
    <col min="10" max="10" width="20" style="123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106</v>
      </c>
      <c r="I1" s="4" t="s">
        <v>107</v>
      </c>
      <c r="J1" s="4" t="s">
        <v>108</v>
      </c>
      <c r="K1" s="5" t="s">
        <v>11</v>
      </c>
      <c r="L1" s="5" t="s">
        <v>12</v>
      </c>
    </row>
    <row r="2" spans="1:12" ht="18.75">
      <c r="A2" s="4">
        <v>1</v>
      </c>
      <c r="B2" s="4" t="s">
        <v>109</v>
      </c>
      <c r="C2" s="4">
        <v>1142</v>
      </c>
      <c r="D2" s="4" t="str">
        <f>=VLOOKUP(B2,[1]在校生综合信息查询!$A$68:$C$88,2,0)</f>
        <v>25q740101068</v>
      </c>
      <c r="E2" s="12">
        <v>59</v>
      </c>
      <c r="F2" s="12">
        <v>12</v>
      </c>
      <c r="G2" s="12">
        <v>21</v>
      </c>
      <c r="H2" s="12">
        <v>52</v>
      </c>
      <c r="I2" s="12">
        <v>70</v>
      </c>
      <c r="J2" s="12">
        <v>44</v>
      </c>
      <c r="K2" s="5" t="s"/>
      <c r="L2" s="5" t="s"/>
    </row>
    <row r="3" spans="1:12" ht="18.75">
      <c r="A3" s="4">
        <v>2</v>
      </c>
      <c r="B3" s="4" t="s">
        <v>111</v>
      </c>
      <c r="C3" s="4">
        <v>1133</v>
      </c>
      <c r="D3" s="4" t="str">
        <f>=VLOOKUP(B3,[1]在校生综合信息查询!$A$68:$C$88,2,0)</f>
        <v>25q740101055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5" t="s"/>
      <c r="L3" s="5" t="s"/>
    </row>
    <row r="4" spans="1:12" ht="18.75">
      <c r="A4" s="4">
        <v>3</v>
      </c>
      <c r="B4" s="4" t="s">
        <v>113</v>
      </c>
      <c r="C4" s="4">
        <v>1138</v>
      </c>
      <c r="D4" s="4" t="str">
        <f>=VLOOKUP(B4,[1]在校生综合信息查询!$A$68:$C$88,2,0)</f>
        <v>25q740101064</v>
      </c>
      <c r="E4" s="12">
        <v>63</v>
      </c>
      <c r="F4" s="12">
        <v>20</v>
      </c>
      <c r="G4" s="12">
        <v>30</v>
      </c>
      <c r="H4" s="12">
        <v>38.5</v>
      </c>
      <c r="I4" s="12">
        <v>62</v>
      </c>
      <c r="J4" s="12">
        <v>39.5</v>
      </c>
      <c r="K4" s="5" t="s"/>
      <c r="L4" s="5" t="s"/>
    </row>
    <row r="5" spans="1:12" ht="18.75">
      <c r="A5" s="4">
        <v>4</v>
      </c>
      <c r="B5" s="4" t="s">
        <v>115</v>
      </c>
      <c r="C5" s="4">
        <v>1144</v>
      </c>
      <c r="D5" s="4" t="str">
        <f>=VLOOKUP(B5,[1]在校生综合信息查询!$A$68:$C$88,2,0)</f>
        <v>25q710103205</v>
      </c>
      <c r="E5" s="12">
        <v>26</v>
      </c>
      <c r="F5" s="12">
        <v>24</v>
      </c>
      <c r="G5" s="12">
        <v>13.5</v>
      </c>
      <c r="H5" s="12">
        <v>58</v>
      </c>
      <c r="I5" s="12">
        <v>55</v>
      </c>
      <c r="J5" s="12">
        <v>45.5</v>
      </c>
      <c r="K5" s="5" t="s"/>
      <c r="L5" s="5" t="s"/>
    </row>
    <row r="6" spans="1:12" ht="18.75">
      <c r="A6" s="4">
        <v>5</v>
      </c>
      <c r="B6" s="4" t="s">
        <v>117</v>
      </c>
      <c r="C6" s="4">
        <v>1131</v>
      </c>
      <c r="D6" s="4" t="str">
        <f>=VLOOKUP(B6,[1]在校生综合信息查询!$A$68:$C$88,2,0)</f>
        <v>25q740101049</v>
      </c>
      <c r="E6" s="12">
        <v>46</v>
      </c>
      <c r="F6" s="12">
        <v>12</v>
      </c>
      <c r="G6" s="12">
        <v>30.5</v>
      </c>
      <c r="H6" s="12">
        <v>44.5</v>
      </c>
      <c r="I6" s="12">
        <v>76</v>
      </c>
      <c r="J6" s="12">
        <v>25</v>
      </c>
      <c r="K6" s="5" t="s"/>
      <c r="L6" s="5" t="s"/>
    </row>
    <row r="7" spans="1:12" ht="18.75">
      <c r="A7" s="4">
        <v>6</v>
      </c>
      <c r="B7" s="4" t="s">
        <v>119</v>
      </c>
      <c r="C7" s="4">
        <v>1140</v>
      </c>
      <c r="D7" s="4" t="str">
        <f>=VLOOKUP(B7,[1]在校生综合信息查询!$A$68:$C$88,2,0)</f>
        <v>25q740101066</v>
      </c>
      <c r="E7" s="12">
        <v>37</v>
      </c>
      <c r="F7" s="12">
        <v>16</v>
      </c>
      <c r="G7" s="12">
        <v>30</v>
      </c>
      <c r="H7" s="12">
        <v>48.5</v>
      </c>
      <c r="I7" s="12">
        <v>68</v>
      </c>
      <c r="J7" s="12">
        <v>37</v>
      </c>
      <c r="K7" s="5" t="s"/>
      <c r="L7" s="5" t="s"/>
    </row>
    <row r="8" spans="1:12" ht="18.75">
      <c r="A8" s="4">
        <v>7</v>
      </c>
      <c r="B8" s="4" t="s">
        <v>121</v>
      </c>
      <c r="C8" s="4">
        <v>1132</v>
      </c>
      <c r="D8" s="4" t="str">
        <f>=VLOOKUP(B8,[1]在校生综合信息查询!$A$68:$C$88,2,0)</f>
        <v>25q740101050</v>
      </c>
      <c r="E8" s="12">
        <v>81</v>
      </c>
      <c r="F8" s="12">
        <v>12</v>
      </c>
      <c r="G8" s="12">
        <v>37.5</v>
      </c>
      <c r="H8" s="12">
        <v>18</v>
      </c>
      <c r="I8" s="12">
        <v>88</v>
      </c>
      <c r="J8" s="12">
        <v>41.5</v>
      </c>
      <c r="K8" s="5" t="s"/>
      <c r="L8" s="5" t="s"/>
    </row>
    <row r="9" spans="1:12" ht="18.75">
      <c r="A9" s="4">
        <v>8</v>
      </c>
      <c r="B9" s="4" t="s">
        <v>123</v>
      </c>
      <c r="C9" s="4">
        <v>1136</v>
      </c>
      <c r="D9" s="4" t="str">
        <f>=VLOOKUP(B9,[1]在校生综合信息查询!$A$68:$C$88,2,0)</f>
        <v>25q740101058</v>
      </c>
      <c r="E9" s="12">
        <v>57</v>
      </c>
      <c r="F9" s="12">
        <v>12</v>
      </c>
      <c r="G9" s="12">
        <v>30.5</v>
      </c>
      <c r="H9" s="12">
        <v>54</v>
      </c>
      <c r="I9" s="12">
        <v>40</v>
      </c>
      <c r="J9" s="12">
        <v>54</v>
      </c>
      <c r="K9" s="5" t="s"/>
      <c r="L9" s="5" t="s"/>
    </row>
    <row r="10" spans="1:12" ht="18.75">
      <c r="A10" s="4">
        <v>9</v>
      </c>
      <c r="B10" s="4" t="s">
        <v>125</v>
      </c>
      <c r="C10" s="4">
        <v>1143</v>
      </c>
      <c r="D10" s="4" t="e">
        <f>=VLOOKUP(B10,[1]在校生综合信息查询!$A$68:$C$88,2,0)</f>
        <v>#N/A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5" t="s"/>
      <c r="L10" s="5" t="s"/>
    </row>
    <row r="11" spans="1:12" ht="18.75">
      <c r="A11" s="4">
        <v>10</v>
      </c>
      <c r="B11" s="4" t="s">
        <v>126</v>
      </c>
      <c r="C11" s="4">
        <v>1129</v>
      </c>
      <c r="D11" s="4" t="str">
        <f>=VLOOKUP(B11,[1]在校生综合信息查询!$A$68:$C$88,2,0)</f>
        <v>25q740101002</v>
      </c>
      <c r="E11" s="12">
        <v>23</v>
      </c>
      <c r="F11" s="12">
        <v>12</v>
      </c>
      <c r="G11" s="12">
        <v>20</v>
      </c>
      <c r="H11" s="12">
        <v>28.5</v>
      </c>
      <c r="I11" s="12">
        <v>25</v>
      </c>
      <c r="J11" s="12">
        <v>35</v>
      </c>
      <c r="K11" s="5" t="s"/>
      <c r="L11" s="5" t="s"/>
    </row>
    <row r="12" spans="1:12" ht="18.75">
      <c r="A12" s="4">
        <v>11</v>
      </c>
      <c r="B12" s="4" t="s">
        <v>128</v>
      </c>
      <c r="C12" s="4">
        <v>1130</v>
      </c>
      <c r="D12" s="4" t="str">
        <f>=VLOOKUP(B12,[1]在校生综合信息查询!$A$68:$C$88,2,0)</f>
        <v>25q740101004</v>
      </c>
      <c r="E12" s="12">
        <v>28</v>
      </c>
      <c r="F12" s="12">
        <v>8</v>
      </c>
      <c r="G12" s="12">
        <v>22</v>
      </c>
      <c r="H12" s="12">
        <v>39</v>
      </c>
      <c r="I12" s="12">
        <v>60</v>
      </c>
      <c r="J12" s="12">
        <v>41.5</v>
      </c>
      <c r="K12" s="5" t="s"/>
      <c r="L12" s="5" t="s"/>
    </row>
    <row r="13" spans="1:12" ht="18.75">
      <c r="A13" s="4">
        <v>12</v>
      </c>
      <c r="B13" s="4" t="s">
        <v>130</v>
      </c>
      <c r="C13" s="4">
        <v>1141</v>
      </c>
      <c r="D13" s="4" t="str">
        <f>=VLOOKUP(B13,[1]在校生综合信息查询!$A$68:$C$88,2,0)</f>
        <v>25q740101067</v>
      </c>
      <c r="E13" s="12">
        <v>17</v>
      </c>
      <c r="F13" s="12">
        <v>16</v>
      </c>
      <c r="G13" s="12">
        <v>22</v>
      </c>
      <c r="H13" s="12">
        <v>31</v>
      </c>
      <c r="I13" s="12">
        <v>45</v>
      </c>
      <c r="J13" s="12">
        <v>36</v>
      </c>
      <c r="K13" s="5" t="s"/>
      <c r="L13" s="5" t="s"/>
    </row>
    <row r="14" spans="1:12" ht="18.75">
      <c r="A14" s="4">
        <v>13</v>
      </c>
      <c r="B14" s="4" t="s">
        <v>132</v>
      </c>
      <c r="C14" s="4">
        <v>1135</v>
      </c>
      <c r="D14" s="4" t="str">
        <f>=VLOOKUP(B14,[1]在校生综合信息查询!$A$68:$C$88,2,0)</f>
        <v>25q740101057</v>
      </c>
      <c r="E14" s="12">
        <v>62</v>
      </c>
      <c r="F14" s="12">
        <v>24</v>
      </c>
      <c r="G14" s="12">
        <v>17.5</v>
      </c>
      <c r="H14" s="12">
        <v>79.5</v>
      </c>
      <c r="I14" s="12">
        <v>94</v>
      </c>
      <c r="J14" s="12">
        <v>34.5</v>
      </c>
      <c r="K14" s="5" t="s"/>
      <c r="L14" s="5" t="s"/>
    </row>
    <row r="15" spans="1:12" ht="18.75">
      <c r="A15" s="4">
        <v>14</v>
      </c>
      <c r="B15" s="4" t="s">
        <v>134</v>
      </c>
      <c r="C15" s="4">
        <v>1137</v>
      </c>
      <c r="D15" s="4" t="str">
        <f>=VLOOKUP(B15,[1]在校生综合信息查询!$A$68:$C$88,2,0)</f>
        <v>25q740101060</v>
      </c>
      <c r="E15" s="12">
        <v>49</v>
      </c>
      <c r="F15" s="12">
        <v>20</v>
      </c>
      <c r="G15" s="12">
        <v>22.5</v>
      </c>
      <c r="H15" s="12">
        <v>38.5</v>
      </c>
      <c r="I15" s="12">
        <v>48</v>
      </c>
      <c r="J15" s="12">
        <v>28.5</v>
      </c>
      <c r="K15" s="5" t="s"/>
      <c r="L15" s="5" t="s"/>
    </row>
    <row r="16" spans="1:12" ht="18.75">
      <c r="A16" s="4">
        <v>15</v>
      </c>
      <c r="B16" s="4" t="s">
        <v>136</v>
      </c>
      <c r="C16" s="4">
        <v>1134</v>
      </c>
      <c r="D16" s="4" t="str">
        <f>=VLOOKUP(B16,[1]在校生综合信息查询!$A$68:$C$88,2,0)</f>
        <v>25q740101056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4" t="s"/>
      <c r="K16" s="5" t="s"/>
      <c r="L16" s="5" t="s"/>
    </row>
    <row r="17" spans="1:12" ht="18.75">
      <c r="A17" s="4">
        <v>16</v>
      </c>
      <c r="B17" s="4" t="s">
        <v>138</v>
      </c>
      <c r="C17" s="4">
        <v>1128</v>
      </c>
      <c r="D17" s="4" t="str">
        <f>=VLOOKUP(B17,[1]在校生综合信息查询!$A$68:$C$88,2,0)</f>
        <v>25q710103355</v>
      </c>
      <c r="E17" s="12">
        <v>56</v>
      </c>
      <c r="F17" s="12">
        <v>20</v>
      </c>
      <c r="G17" s="12">
        <v>21</v>
      </c>
      <c r="H17" s="12">
        <v>57</v>
      </c>
      <c r="I17" s="12">
        <v>66</v>
      </c>
      <c r="J17" s="12">
        <v>42.5</v>
      </c>
      <c r="K17" s="5" t="s"/>
      <c r="L17" s="5" t="s"/>
    </row>
    <row r="18" spans="1:12" ht="18.75">
      <c r="A18" s="4">
        <v>17</v>
      </c>
      <c r="B18" s="4" t="s">
        <v>140</v>
      </c>
      <c r="C18" s="4">
        <v>1139</v>
      </c>
      <c r="D18" s="4" t="str">
        <f>=VLOOKUP(B18,[1]在校生综合信息查询!$A$68:$C$88,2,0)</f>
        <v>25q740101065</v>
      </c>
      <c r="E18" s="12">
        <v>48</v>
      </c>
      <c r="F18" s="12">
        <v>8</v>
      </c>
      <c r="G18" s="12">
        <v>19</v>
      </c>
      <c r="H18" s="12">
        <v>64</v>
      </c>
      <c r="I18" s="12">
        <v>75</v>
      </c>
      <c r="J18" s="12">
        <v>40</v>
      </c>
      <c r="K18" s="5" t="s"/>
      <c r="L18" s="5" t="s"/>
    </row>
    <row r="19" spans="1:10">
      <c r="A19" s="13">
        <v>18</v>
      </c>
      <c r="B19" s="8" t="s">
        <v>142</v>
      </c>
      <c r="H19" s="14">
        <v>52</v>
      </c>
      <c r="I19" s="14">
        <v>55</v>
      </c>
      <c r="J19" s="14">
        <v>38.5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/>
  <dimension ref="J56"/>
  <sheetViews>
    <sheetView showGridLines="1" topLeftCell="A49" workbookViewId="0"/>
  </sheetViews>
  <sheetFormatPr defaultColWidth="8.75" defaultRowHeight="14.25"/>
  <cols>
    <col min="1" max="1" width="8.75" style="122"/>
    <col min="2" max="2" width="9.5" style="123"/>
    <col min="3" max="3" width="14.75" style="123" customWidth="1"/>
    <col min="4" max="4" width="17.375" style="123" customWidth="1"/>
    <col min="8" max="8" width="30.25" customWidth="1"/>
    <col min="9" max="9" width="30" customWidth="1"/>
    <col min="10" max="10" width="21.37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143</v>
      </c>
      <c r="I1" s="5" t="s">
        <v>144</v>
      </c>
      <c r="J1" s="5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146</v>
      </c>
      <c r="C2" s="4">
        <v>1369</v>
      </c>
      <c r="D2" s="4" t="str">
        <f>=VLOOKUP(B2,[1]在校生综合信息查询!$A$294:$C$348,2,0)</f>
        <v>25q710103111</v>
      </c>
      <c r="E2" s="6">
        <v>30</v>
      </c>
      <c r="F2" s="6">
        <v>20</v>
      </c>
      <c r="G2" s="6">
        <v>22</v>
      </c>
      <c r="H2" s="6">
        <v>18</v>
      </c>
      <c r="I2" s="6">
        <v>18</v>
      </c>
      <c r="J2" s="6">
        <v>15</v>
      </c>
      <c r="K2" s="5" t="s"/>
      <c r="L2" s="5" t="s"/>
    </row>
    <row r="3" spans="1:12" ht="18.75">
      <c r="A3" s="4">
        <v>2</v>
      </c>
      <c r="B3" s="4" t="s">
        <v>148</v>
      </c>
      <c r="C3" s="4">
        <v>1349</v>
      </c>
      <c r="D3" s="4" t="str">
        <f>=VLOOKUP(B3,[1]在校生综合信息查询!$A$294:$C$348,2,0)</f>
        <v>25q710103089</v>
      </c>
      <c r="E3" s="6">
        <v>22</v>
      </c>
      <c r="F3" s="6">
        <v>12</v>
      </c>
      <c r="G3" s="6">
        <v>23</v>
      </c>
      <c r="H3" s="6">
        <v>50</v>
      </c>
      <c r="I3" s="6">
        <v>12</v>
      </c>
      <c r="J3" s="6">
        <v>15</v>
      </c>
      <c r="K3" s="5" t="s"/>
      <c r="L3" s="5" t="s"/>
    </row>
    <row r="4" spans="1:12" ht="18.75" hidden="1">
      <c r="A4" s="4">
        <v>3</v>
      </c>
      <c r="B4" s="4" t="s">
        <v>150</v>
      </c>
      <c r="C4" s="4">
        <v>1325</v>
      </c>
      <c r="D4" s="4" t="str">
        <f>=VLOOKUP(B4,[1]在校生综合信息查询!$A$294:$C$348,2,0)</f>
        <v>25q710103093</v>
      </c>
      <c r="E4" s="6">
        <v>15</v>
      </c>
      <c r="F4" s="6">
        <v>20</v>
      </c>
      <c r="G4" s="6">
        <v>17</v>
      </c>
      <c r="H4" s="6">
        <v>16</v>
      </c>
      <c r="I4" s="6">
        <v>10</v>
      </c>
      <c r="J4" s="5" t="s"/>
      <c r="K4" s="5" t="s"/>
      <c r="L4" s="5" t="s"/>
    </row>
    <row r="5" spans="1:12" ht="18.75" hidden="1">
      <c r="A5" s="4">
        <v>4</v>
      </c>
      <c r="B5" s="4" t="s">
        <v>152</v>
      </c>
      <c r="C5" s="4">
        <v>1347</v>
      </c>
      <c r="D5" s="4" t="str">
        <f>=VLOOKUP(B5,[1]在校生综合信息查询!$A$294:$C$348,2,0)</f>
        <v>25q710103087</v>
      </c>
      <c r="E5" s="6">
        <v>0</v>
      </c>
      <c r="F5" s="6">
        <v>0</v>
      </c>
      <c r="G5" s="6" t="s">
        <v>105</v>
      </c>
      <c r="H5" s="5" t="s"/>
      <c r="I5" s="5" t="s"/>
      <c r="J5" s="5" t="s"/>
      <c r="K5" s="5" t="s"/>
      <c r="L5" s="5" t="s"/>
    </row>
    <row r="6" spans="1:12" ht="18.75">
      <c r="A6" s="4">
        <v>5</v>
      </c>
      <c r="B6" s="4" t="s">
        <v>154</v>
      </c>
      <c r="C6" s="4">
        <v>1367</v>
      </c>
      <c r="D6" s="4" t="str">
        <f>=VLOOKUP(B6,[1]在校生综合信息查询!$A$294:$C$348,2,0)</f>
        <v>25q710103109</v>
      </c>
      <c r="E6" s="6">
        <v>24</v>
      </c>
      <c r="F6" s="6">
        <v>28</v>
      </c>
      <c r="G6" s="6">
        <v>11</v>
      </c>
      <c r="H6" s="6">
        <v>18</v>
      </c>
      <c r="I6" s="6">
        <v>14</v>
      </c>
      <c r="J6" s="6">
        <v>29</v>
      </c>
      <c r="K6" s="5" t="s"/>
      <c r="L6" s="5" t="s"/>
    </row>
    <row r="7" spans="1:12" ht="18.75" hidden="1">
      <c r="A7" s="4">
        <v>6</v>
      </c>
      <c r="B7" s="4" t="s">
        <v>156</v>
      </c>
      <c r="C7" s="4">
        <v>1351</v>
      </c>
      <c r="D7" s="4" t="str">
        <f>=VLOOKUP(B7,[1]在校生综合信息查询!$A$294:$C$348,2,0)</f>
        <v>25q710103091</v>
      </c>
      <c r="E7" s="6">
        <v>6</v>
      </c>
      <c r="F7" s="6">
        <v>32</v>
      </c>
      <c r="G7" s="6">
        <v>22.5</v>
      </c>
      <c r="H7" s="6">
        <v>16</v>
      </c>
      <c r="I7" s="6">
        <v>18</v>
      </c>
      <c r="J7" s="6">
        <v>33</v>
      </c>
      <c r="K7" s="5" t="s"/>
      <c r="L7" s="5" t="s"/>
    </row>
    <row r="8" spans="1:12" ht="18.75" hidden="1">
      <c r="A8" s="4">
        <v>7</v>
      </c>
      <c r="B8" s="4" t="s">
        <v>158</v>
      </c>
      <c r="C8" s="4">
        <v>1340</v>
      </c>
      <c r="D8" s="4" t="str">
        <f>=VLOOKUP(B8,[1]在校生综合信息查询!$A$294:$C$348,2,0)</f>
        <v>25q710103080</v>
      </c>
      <c r="E8" s="6">
        <v>0</v>
      </c>
      <c r="F8" s="6">
        <v>0</v>
      </c>
      <c r="G8" s="6">
        <v>0</v>
      </c>
      <c r="H8" s="5" t="s"/>
      <c r="I8" s="5" t="s"/>
      <c r="J8" s="5" t="s"/>
      <c r="K8" s="5" t="s"/>
      <c r="L8" s="5" t="s"/>
    </row>
    <row r="9" spans="1:12" ht="18.75" hidden="1">
      <c r="A9" s="4">
        <v>8</v>
      </c>
      <c r="B9" s="4" t="s">
        <v>160</v>
      </c>
      <c r="C9" s="4">
        <v>1375</v>
      </c>
      <c r="D9" s="4" t="e">
        <f>=VLOOKUP(B9,[1]在校生综合信息查询!$A$294:$C$348,2,0)</f>
        <v>#N/A</v>
      </c>
      <c r="E9" s="6">
        <v>17</v>
      </c>
      <c r="F9" s="6">
        <v>24</v>
      </c>
      <c r="G9" s="6">
        <v>23.5</v>
      </c>
      <c r="H9" s="6">
        <v>20</v>
      </c>
      <c r="I9" s="6">
        <v>16</v>
      </c>
      <c r="J9" s="6">
        <v>21</v>
      </c>
      <c r="K9" s="5" t="s"/>
      <c r="L9" s="5" t="s"/>
    </row>
    <row r="10" spans="1:12" ht="18.75" hidden="1">
      <c r="A10" s="4">
        <v>9</v>
      </c>
      <c r="B10" s="4" t="s">
        <v>161</v>
      </c>
      <c r="C10" s="4">
        <v>1330</v>
      </c>
      <c r="D10" s="4" t="str">
        <f>=VLOOKUP(B10,[1]在校生综合信息查询!$A$294:$C$348,2,0)</f>
        <v>25q710103068</v>
      </c>
      <c r="E10" s="6">
        <v>19</v>
      </c>
      <c r="F10" s="6">
        <v>36</v>
      </c>
      <c r="G10" s="6">
        <v>13.5</v>
      </c>
      <c r="H10" s="6">
        <v>16</v>
      </c>
      <c r="I10" s="6">
        <v>25</v>
      </c>
      <c r="J10" s="6">
        <v>26</v>
      </c>
      <c r="K10" s="5" t="s"/>
      <c r="L10" s="5" t="s"/>
    </row>
    <row r="11" spans="1:12" ht="18.75" hidden="1">
      <c r="A11" s="4">
        <v>10</v>
      </c>
      <c r="B11" s="4" t="s">
        <v>163</v>
      </c>
      <c r="C11" s="4">
        <v>1366</v>
      </c>
      <c r="D11" s="4" t="str">
        <f>=VLOOKUP(B11,[1]在校生综合信息查询!$A$294:$C$348,2,0)</f>
        <v>25q710103108</v>
      </c>
      <c r="E11" s="6">
        <v>6</v>
      </c>
      <c r="F11" s="6">
        <v>24</v>
      </c>
      <c r="G11" s="6">
        <v>23</v>
      </c>
      <c r="H11" s="6">
        <v>22</v>
      </c>
      <c r="I11" s="6">
        <v>18</v>
      </c>
      <c r="J11" s="6">
        <v>12</v>
      </c>
      <c r="K11" s="5" t="s"/>
      <c r="L11" s="5" t="s"/>
    </row>
    <row r="12" spans="1:12" ht="18.75" hidden="1">
      <c r="A12" s="4">
        <v>11</v>
      </c>
      <c r="B12" s="4" t="s">
        <v>165</v>
      </c>
      <c r="C12" s="4">
        <v>1336</v>
      </c>
      <c r="D12" s="4" t="str">
        <f>=VLOOKUP(B12,[1]在校生综合信息查询!$A$294:$C$348,2,0)</f>
        <v>25q710103075</v>
      </c>
      <c r="E12" s="6">
        <v>6</v>
      </c>
      <c r="F12" s="6">
        <v>28</v>
      </c>
      <c r="G12" s="6">
        <v>24.5</v>
      </c>
      <c r="H12" s="6">
        <v>16</v>
      </c>
      <c r="I12" s="6">
        <v>20</v>
      </c>
      <c r="J12" s="6">
        <v>18</v>
      </c>
      <c r="K12" s="5" t="s"/>
      <c r="L12" s="5" t="s"/>
    </row>
    <row r="13" spans="1:12" ht="18.75" hidden="1">
      <c r="A13" s="4">
        <v>12</v>
      </c>
      <c r="B13" s="4" t="s">
        <v>167</v>
      </c>
      <c r="C13" s="4">
        <v>1372</v>
      </c>
      <c r="D13" s="4" t="str">
        <f>=VLOOKUP(B13,[1]在校生综合信息查询!$A$294:$C$348,2,0)</f>
        <v>25q710103115</v>
      </c>
      <c r="E13" s="6">
        <v>11</v>
      </c>
      <c r="F13" s="6">
        <v>16</v>
      </c>
      <c r="G13" s="6">
        <v>12</v>
      </c>
      <c r="H13" s="6">
        <v>16</v>
      </c>
      <c r="I13" s="6">
        <v>10</v>
      </c>
      <c r="J13" s="6">
        <v>33</v>
      </c>
      <c r="K13" s="5" t="s"/>
      <c r="L13" s="5" t="s"/>
    </row>
    <row r="14" spans="1:12" ht="18.75" hidden="1">
      <c r="A14" s="4">
        <v>13</v>
      </c>
      <c r="B14" s="4" t="s">
        <v>169</v>
      </c>
      <c r="C14" s="4">
        <v>1368</v>
      </c>
      <c r="D14" s="4" t="str">
        <f>=VLOOKUP(B14,[1]在校生综合信息查询!$A$294:$C$348,2,0)</f>
        <v>25q710103110</v>
      </c>
      <c r="E14" s="6">
        <v>15</v>
      </c>
      <c r="F14" s="6">
        <v>12</v>
      </c>
      <c r="G14" s="6">
        <v>18.5</v>
      </c>
      <c r="H14" s="6">
        <v>18</v>
      </c>
      <c r="I14" s="6">
        <v>18</v>
      </c>
      <c r="J14" s="5" t="s"/>
      <c r="K14" s="5" t="s"/>
      <c r="L14" s="5" t="s"/>
    </row>
    <row r="15" spans="1:12" ht="18.75" hidden="1">
      <c r="A15" s="4">
        <v>14</v>
      </c>
      <c r="B15" s="4" t="s">
        <v>171</v>
      </c>
      <c r="C15" s="4">
        <v>1331</v>
      </c>
      <c r="D15" s="4" t="str">
        <f>=VLOOKUP(B15,[1]在校生综合信息查询!$A$294:$C$348,2,0)</f>
        <v>25q710103069</v>
      </c>
      <c r="E15" s="6">
        <v>11</v>
      </c>
      <c r="F15" s="6">
        <v>24</v>
      </c>
      <c r="G15" s="6">
        <v>19</v>
      </c>
      <c r="H15" s="6">
        <v>30</v>
      </c>
      <c r="I15" s="6">
        <v>23</v>
      </c>
      <c r="J15" s="6">
        <v>29</v>
      </c>
      <c r="K15" s="5" t="s"/>
      <c r="L15" s="5" t="s"/>
    </row>
    <row r="16" spans="1:12" ht="18.75">
      <c r="A16" s="4">
        <v>15</v>
      </c>
      <c r="B16" s="4" t="s">
        <v>173</v>
      </c>
      <c r="C16" s="4">
        <v>1348</v>
      </c>
      <c r="D16" s="4" t="str">
        <f>=VLOOKUP(B16,[1]在校生综合信息查询!$A$294:$C$348,2,0)</f>
        <v>25q710103088</v>
      </c>
      <c r="E16" s="6">
        <v>35</v>
      </c>
      <c r="F16" s="6">
        <v>16</v>
      </c>
      <c r="G16" s="6">
        <v>25</v>
      </c>
      <c r="H16" s="6">
        <v>22</v>
      </c>
      <c r="I16" s="6">
        <v>12</v>
      </c>
      <c r="J16" s="6">
        <v>27</v>
      </c>
      <c r="K16" s="5" t="s"/>
      <c r="L16" s="5" t="s"/>
    </row>
    <row r="17" spans="1:12" ht="18.75" hidden="1">
      <c r="A17" s="4">
        <v>16</v>
      </c>
      <c r="B17" s="4" t="s">
        <v>175</v>
      </c>
      <c r="C17" s="4">
        <v>1350</v>
      </c>
      <c r="D17" s="4" t="str">
        <f>=VLOOKUP(B17,[1]在校生综合信息查询!$A$294:$C$348,2,0)</f>
        <v>25q710103090</v>
      </c>
      <c r="E17" s="6">
        <v>12</v>
      </c>
      <c r="F17" s="6">
        <v>20</v>
      </c>
      <c r="G17" s="6">
        <v>16.5</v>
      </c>
      <c r="H17" s="6">
        <v>18</v>
      </c>
      <c r="I17" s="6">
        <v>16</v>
      </c>
      <c r="J17" s="6">
        <v>21</v>
      </c>
      <c r="K17" s="5" t="s"/>
      <c r="L17" s="5" t="s"/>
    </row>
    <row r="18" spans="1:12" ht="18.75" hidden="1">
      <c r="A18" s="4">
        <v>17</v>
      </c>
      <c r="B18" s="4" t="s">
        <v>177</v>
      </c>
      <c r="C18" s="4">
        <v>1370</v>
      </c>
      <c r="D18" s="4" t="str">
        <f>=VLOOKUP(B18,[1]在校生综合信息查询!$A$294:$C$348,2,0)</f>
        <v>25q710103112</v>
      </c>
      <c r="E18" s="6">
        <v>6</v>
      </c>
      <c r="F18" s="6">
        <v>32</v>
      </c>
      <c r="G18" s="6">
        <v>19.5</v>
      </c>
      <c r="H18" s="6">
        <v>18</v>
      </c>
      <c r="I18" s="6">
        <v>14</v>
      </c>
      <c r="J18" s="6">
        <v>12</v>
      </c>
      <c r="K18" s="5" t="s"/>
      <c r="L18" s="5" t="s"/>
    </row>
    <row r="19" spans="1:12" ht="18.75" hidden="1">
      <c r="A19" s="4">
        <v>18</v>
      </c>
      <c r="B19" s="4" t="s">
        <v>179</v>
      </c>
      <c r="C19" s="4">
        <v>1364</v>
      </c>
      <c r="D19" s="4" t="str">
        <f>=VLOOKUP(B19,[1]在校生综合信息查询!$A$294:$C$348,2,0)</f>
        <v>25q710103106</v>
      </c>
      <c r="E19" s="6">
        <v>9</v>
      </c>
      <c r="F19" s="6">
        <v>16</v>
      </c>
      <c r="G19" s="6">
        <v>23.5</v>
      </c>
      <c r="H19" s="6">
        <v>28</v>
      </c>
      <c r="I19" s="6">
        <v>26</v>
      </c>
      <c r="J19" s="6">
        <v>28</v>
      </c>
      <c r="K19" s="5" t="s"/>
      <c r="L19" s="5" t="s"/>
    </row>
    <row r="20" spans="1:12" ht="18.75" hidden="1">
      <c r="A20" s="4">
        <v>19</v>
      </c>
      <c r="B20" s="4" t="s">
        <v>181</v>
      </c>
      <c r="C20" s="4">
        <v>1371</v>
      </c>
      <c r="D20" s="4" t="str">
        <f>=VLOOKUP(B20,[1]在校生综合信息查询!$A$294:$C$348,2,0)</f>
        <v>25q710103113</v>
      </c>
      <c r="E20" s="6">
        <v>9</v>
      </c>
      <c r="F20" s="6">
        <v>24</v>
      </c>
      <c r="G20" s="6">
        <v>23</v>
      </c>
      <c r="H20" s="6">
        <v>14</v>
      </c>
      <c r="I20" s="6">
        <v>0</v>
      </c>
      <c r="J20" s="5" t="s"/>
      <c r="K20" s="5" t="s"/>
      <c r="L20" s="5" t="s"/>
    </row>
    <row r="21" spans="1:12" ht="18.75" hidden="1">
      <c r="A21" s="4">
        <v>20</v>
      </c>
      <c r="B21" s="4" t="s">
        <v>183</v>
      </c>
      <c r="C21" s="4">
        <v>1332</v>
      </c>
      <c r="D21" s="4" t="str">
        <f>=VLOOKUP(B21,[1]在校生综合信息查询!$A$294:$C$348,2,0)</f>
        <v>25q710103070</v>
      </c>
      <c r="E21" s="6">
        <v>15</v>
      </c>
      <c r="F21" s="6">
        <v>12</v>
      </c>
      <c r="G21" s="6">
        <v>14</v>
      </c>
      <c r="H21" s="6">
        <v>12</v>
      </c>
      <c r="I21" s="6">
        <v>16</v>
      </c>
      <c r="J21" s="6">
        <v>34.5</v>
      </c>
      <c r="K21" s="5" t="s"/>
      <c r="L21" s="5" t="s"/>
    </row>
    <row r="22" spans="1:12" ht="18.75">
      <c r="A22" s="4">
        <v>21</v>
      </c>
      <c r="B22" s="4" t="s">
        <v>185</v>
      </c>
      <c r="C22" s="4">
        <v>1346</v>
      </c>
      <c r="D22" s="4" t="str">
        <f>=VLOOKUP(B22,[1]在校生综合信息查询!$A$294:$C$348,2,0)</f>
        <v>25q710103086</v>
      </c>
      <c r="E22" s="6">
        <v>20</v>
      </c>
      <c r="F22" s="6">
        <v>28</v>
      </c>
      <c r="G22" s="6">
        <v>19</v>
      </c>
      <c r="H22" s="6">
        <v>34</v>
      </c>
      <c r="I22" s="6">
        <v>15</v>
      </c>
      <c r="J22" s="6">
        <v>30</v>
      </c>
      <c r="K22" s="5" t="s"/>
      <c r="L22" s="5" t="s"/>
    </row>
    <row r="23" spans="1:12" ht="18.75" hidden="1">
      <c r="A23" s="4">
        <v>22</v>
      </c>
      <c r="B23" s="4" t="s">
        <v>187</v>
      </c>
      <c r="C23" s="4">
        <v>1360</v>
      </c>
      <c r="D23" s="4" t="str">
        <f>=VLOOKUP(B23,[1]在校生综合信息查询!$A$294:$C$348,2,0)</f>
        <v>25q710103102</v>
      </c>
      <c r="E23" s="6">
        <v>9</v>
      </c>
      <c r="F23" s="6" t="s">
        <v>189</v>
      </c>
      <c r="G23" s="6">
        <v>22</v>
      </c>
      <c r="H23" s="6">
        <v>14</v>
      </c>
      <c r="I23" s="6">
        <v>14</v>
      </c>
      <c r="J23" s="6">
        <v>30</v>
      </c>
      <c r="K23" s="5" t="s"/>
      <c r="L23" s="5" t="s"/>
    </row>
    <row r="24" spans="1:12" ht="18.75">
      <c r="A24" s="4">
        <v>23</v>
      </c>
      <c r="B24" s="4" t="s">
        <v>190</v>
      </c>
      <c r="C24" s="4">
        <v>1365</v>
      </c>
      <c r="D24" s="4" t="str">
        <f>=VLOOKUP(B24,[1]在校生综合信息查询!$A$294:$C$348,2,0)</f>
        <v>25q710103107</v>
      </c>
      <c r="E24" s="6">
        <v>23</v>
      </c>
      <c r="F24" s="6">
        <v>51</v>
      </c>
      <c r="G24" s="6">
        <v>29.5</v>
      </c>
      <c r="H24" s="6">
        <v>24</v>
      </c>
      <c r="I24" s="6">
        <v>20</v>
      </c>
      <c r="J24" s="6">
        <v>52.5</v>
      </c>
      <c r="K24" s="5" t="s"/>
      <c r="L24" s="5" t="s"/>
    </row>
    <row r="25" spans="1:12" ht="18.75" hidden="1">
      <c r="A25" s="4">
        <v>24</v>
      </c>
      <c r="B25" s="4" t="s">
        <v>192</v>
      </c>
      <c r="C25" s="4">
        <v>1352</v>
      </c>
      <c r="D25" s="4" t="str">
        <f>=VLOOKUP(B25,[1]在校生综合信息查询!$A$294:$C$348,2,0)</f>
        <v>25q710103092</v>
      </c>
      <c r="E25" s="6">
        <v>12</v>
      </c>
      <c r="F25" s="6">
        <v>24</v>
      </c>
      <c r="G25" s="6">
        <v>18.5</v>
      </c>
      <c r="H25" s="6">
        <v>24</v>
      </c>
      <c r="I25" s="6">
        <v>18</v>
      </c>
      <c r="J25" s="6">
        <v>15</v>
      </c>
      <c r="K25" s="5" t="s"/>
      <c r="L25" s="5" t="s"/>
    </row>
    <row r="26" spans="1:12" ht="18.75" hidden="1">
      <c r="A26" s="4">
        <v>25</v>
      </c>
      <c r="B26" s="4" t="s">
        <v>194</v>
      </c>
      <c r="C26" s="4">
        <v>1354</v>
      </c>
      <c r="D26" s="4" t="str">
        <f>=VLOOKUP(B26,[1]在校生综合信息查询!$A$294:$C$348,2,0)</f>
        <v>25q710103095</v>
      </c>
      <c r="E26" s="6">
        <v>11</v>
      </c>
      <c r="F26" s="6">
        <v>4</v>
      </c>
      <c r="G26" s="6">
        <v>36</v>
      </c>
      <c r="H26" s="6">
        <v>18</v>
      </c>
      <c r="I26" s="6">
        <v>16</v>
      </c>
      <c r="J26" s="6">
        <v>27</v>
      </c>
      <c r="K26" s="5" t="s"/>
      <c r="L26" s="5" t="s"/>
    </row>
    <row r="27" spans="1:12" ht="18.75" hidden="1">
      <c r="A27" s="4">
        <v>26</v>
      </c>
      <c r="B27" s="4" t="s">
        <v>196</v>
      </c>
      <c r="C27" s="4">
        <v>1343</v>
      </c>
      <c r="D27" s="4" t="str">
        <f>=VLOOKUP(B27,[1]在校生综合信息查询!$A$294:$C$348,2,0)</f>
        <v>25q710103083</v>
      </c>
      <c r="E27" s="6">
        <v>13</v>
      </c>
      <c r="F27" s="6">
        <v>32</v>
      </c>
      <c r="G27" s="6">
        <v>26</v>
      </c>
      <c r="H27" s="6">
        <v>18</v>
      </c>
      <c r="I27" s="6">
        <v>15</v>
      </c>
      <c r="J27" s="6">
        <v>27</v>
      </c>
      <c r="K27" s="5" t="s"/>
      <c r="L27" s="5" t="s"/>
    </row>
    <row r="28" spans="1:12" ht="18.75" hidden="1">
      <c r="A28" s="4">
        <v>27</v>
      </c>
      <c r="B28" s="4" t="s">
        <v>198</v>
      </c>
      <c r="C28" s="4">
        <v>1345</v>
      </c>
      <c r="D28" s="4" t="str">
        <f>=VLOOKUP(B28,[1]在校生综合信息查询!$A$294:$C$348,2,0)</f>
        <v>25q710103085</v>
      </c>
      <c r="E28" s="6">
        <v>9</v>
      </c>
      <c r="F28" s="6">
        <v>8</v>
      </c>
      <c r="G28" s="6">
        <v>16</v>
      </c>
      <c r="H28" s="6">
        <v>12</v>
      </c>
      <c r="I28" s="6">
        <v>16</v>
      </c>
      <c r="J28" s="5" t="s"/>
      <c r="K28" s="5" t="s"/>
      <c r="L28" s="5" t="s"/>
    </row>
    <row r="29" spans="1:12" ht="18.75" hidden="1">
      <c r="A29" s="4">
        <v>28</v>
      </c>
      <c r="B29" s="4" t="s">
        <v>200</v>
      </c>
      <c r="C29" s="4">
        <v>1334</v>
      </c>
      <c r="D29" s="4" t="str">
        <f>=VLOOKUP(B29,[1]在校生综合信息查询!$A$294:$C$348,2,0)</f>
        <v>25q710103072</v>
      </c>
      <c r="E29" s="6">
        <v>15</v>
      </c>
      <c r="F29" s="6">
        <v>8</v>
      </c>
      <c r="G29" s="6">
        <v>29</v>
      </c>
      <c r="H29" s="6">
        <v>20</v>
      </c>
      <c r="I29" s="6">
        <v>18</v>
      </c>
      <c r="J29" s="6">
        <v>11.5</v>
      </c>
      <c r="K29" s="5" t="s"/>
      <c r="L29" s="5" t="s"/>
    </row>
    <row r="30" spans="1:12" ht="18.75" hidden="1">
      <c r="A30" s="4">
        <v>29</v>
      </c>
      <c r="B30" s="4" t="s">
        <v>202</v>
      </c>
      <c r="C30" s="4">
        <v>1359</v>
      </c>
      <c r="D30" s="4" t="str">
        <f>=VLOOKUP(B30,[1]在校生综合信息查询!$A$294:$C$348,2,0)</f>
        <v>25q710103101</v>
      </c>
      <c r="E30" s="6" t="s">
        <v>189</v>
      </c>
      <c r="F30" s="6">
        <v>20</v>
      </c>
      <c r="G30" s="6">
        <v>27</v>
      </c>
      <c r="H30" s="6">
        <v>20</v>
      </c>
      <c r="I30" s="6">
        <v>6</v>
      </c>
      <c r="J30" s="6">
        <v>30</v>
      </c>
      <c r="K30" s="5" t="s"/>
      <c r="L30" s="5" t="s"/>
    </row>
    <row r="31" spans="1:12" ht="18.75">
      <c r="A31" s="4">
        <v>30</v>
      </c>
      <c r="B31" s="4" t="s">
        <v>204</v>
      </c>
      <c r="C31" s="4">
        <v>1357</v>
      </c>
      <c r="D31" s="4" t="str">
        <f>=VLOOKUP(B31,[1]在校生综合信息查询!$A$294:$C$348,2,0)</f>
        <v>25q710103099</v>
      </c>
      <c r="E31" s="6">
        <v>29</v>
      </c>
      <c r="F31" s="6">
        <v>30</v>
      </c>
      <c r="G31" s="6">
        <v>19</v>
      </c>
      <c r="H31" s="6">
        <v>27</v>
      </c>
      <c r="I31" s="6">
        <v>16</v>
      </c>
      <c r="J31" s="6">
        <v>29</v>
      </c>
      <c r="K31" s="5" t="s"/>
      <c r="L31" s="5" t="s"/>
    </row>
    <row r="32" spans="1:12" ht="18.75" hidden="1">
      <c r="A32" s="4">
        <v>31</v>
      </c>
      <c r="B32" s="4" t="s">
        <v>206</v>
      </c>
      <c r="C32" s="4">
        <v>1373</v>
      </c>
      <c r="D32" s="4" t="str">
        <f>=VLOOKUP(B32,[1]在校生综合信息查询!$A$294:$C$348,2,0)</f>
        <v>25q710103116</v>
      </c>
      <c r="E32" s="6">
        <v>0</v>
      </c>
      <c r="F32" s="6">
        <v>0</v>
      </c>
      <c r="G32" s="6">
        <v>0</v>
      </c>
      <c r="H32" s="5" t="s"/>
      <c r="I32" s="5" t="s"/>
      <c r="J32" s="5" t="s"/>
      <c r="K32" s="5" t="s"/>
      <c r="L32" s="5" t="s"/>
    </row>
    <row r="33" spans="1:12" ht="18.75" hidden="1">
      <c r="A33" s="4">
        <v>32</v>
      </c>
      <c r="B33" s="4" t="s">
        <v>208</v>
      </c>
      <c r="C33" s="4">
        <v>1363</v>
      </c>
      <c r="D33" s="4" t="str">
        <f>=VLOOKUP(B33,[1]在校生综合信息查询!$A$294:$C$348,2,0)</f>
        <v>25q710103105</v>
      </c>
      <c r="E33" s="6">
        <v>6</v>
      </c>
      <c r="F33" s="6">
        <v>16</v>
      </c>
      <c r="G33" s="6">
        <v>25.5</v>
      </c>
      <c r="H33" s="6">
        <v>20</v>
      </c>
      <c r="I33" s="6">
        <v>16</v>
      </c>
      <c r="J33" s="6">
        <v>15</v>
      </c>
      <c r="K33" s="5" t="s"/>
      <c r="L33" s="5" t="s"/>
    </row>
    <row r="34" spans="1:12" ht="18.75" hidden="1">
      <c r="A34" s="4">
        <v>33</v>
      </c>
      <c r="B34" s="4" t="s">
        <v>210</v>
      </c>
      <c r="C34" s="4">
        <v>1341</v>
      </c>
      <c r="D34" s="4" t="str">
        <f>=VLOOKUP(B34,[1]在校生综合信息查询!$A$294:$C$348,2,0)</f>
        <v>25q710103081</v>
      </c>
      <c r="E34" s="6">
        <v>6</v>
      </c>
      <c r="F34" s="6">
        <v>16</v>
      </c>
      <c r="G34" s="6">
        <v>13.5</v>
      </c>
      <c r="H34" s="6">
        <v>8</v>
      </c>
      <c r="I34" s="6">
        <v>14</v>
      </c>
      <c r="J34" s="6">
        <v>30</v>
      </c>
      <c r="K34" s="5" t="s"/>
      <c r="L34" s="5" t="s"/>
    </row>
    <row r="35" spans="1:12" ht="18.75">
      <c r="A35" s="4">
        <v>34</v>
      </c>
      <c r="B35" s="4" t="s">
        <v>212</v>
      </c>
      <c r="C35" s="4">
        <v>1356</v>
      </c>
      <c r="D35" s="4" t="str">
        <f>=VLOOKUP(B35,[1]在校生综合信息查询!$A$294:$C$348,2,0)</f>
        <v>25q710103097</v>
      </c>
      <c r="E35" s="6">
        <v>46</v>
      </c>
      <c r="F35" s="6">
        <v>12</v>
      </c>
      <c r="G35" s="6">
        <v>18.5</v>
      </c>
      <c r="H35" s="6">
        <v>40</v>
      </c>
      <c r="I35" s="6">
        <v>16</v>
      </c>
      <c r="J35" s="6">
        <v>21</v>
      </c>
      <c r="K35" s="5" t="s"/>
      <c r="L35" s="5" t="s"/>
    </row>
    <row r="36" spans="1:10" ht="18.75">
      <c r="A36" s="4">
        <v>35</v>
      </c>
      <c r="B36" s="15" t="s">
        <v>214</v>
      </c>
      <c r="C36" s="4">
        <v>1324</v>
      </c>
      <c r="D36" s="4" t="str">
        <f>=VLOOKUP(B36,[1]在校生综合信息查询!$A$294:$C$348,2,0)</f>
        <v>25q710103067</v>
      </c>
      <c r="E36" s="6">
        <v>32</v>
      </c>
      <c r="F36" s="6">
        <v>32</v>
      </c>
      <c r="G36" s="6">
        <v>25.5</v>
      </c>
      <c r="H36" s="6">
        <v>30</v>
      </c>
      <c r="I36" s="6">
        <v>23</v>
      </c>
      <c r="J36" s="6">
        <v>51</v>
      </c>
    </row>
    <row r="37" spans="1:10" ht="18.75" hidden="1">
      <c r="A37" s="4">
        <v>36</v>
      </c>
      <c r="B37" s="15" t="s">
        <v>216</v>
      </c>
      <c r="C37" s="4">
        <v>1377</v>
      </c>
      <c r="D37" s="4" t="str">
        <f>=VLOOKUP(B37,[1]在校生综合信息查询!$A$294:$C$348,2,0)</f>
        <v>25q710103077</v>
      </c>
      <c r="E37" s="6">
        <v>9</v>
      </c>
      <c r="F37" s="6">
        <v>24</v>
      </c>
      <c r="G37" s="6">
        <v>20.5</v>
      </c>
      <c r="H37" s="6">
        <v>16</v>
      </c>
      <c r="I37" s="6">
        <v>12</v>
      </c>
      <c r="J37" s="6">
        <v>15</v>
      </c>
    </row>
    <row r="38" spans="1:10" ht="18.75" hidden="1">
      <c r="A38" s="4">
        <v>37</v>
      </c>
      <c r="B38" s="15" t="s">
        <v>218</v>
      </c>
      <c r="C38" s="4">
        <v>1326</v>
      </c>
      <c r="D38" s="4" t="str">
        <f>=VLOOKUP(B38,[1]在校生综合信息查询!$A$294:$C$348,2,0)</f>
        <v>25q710103100</v>
      </c>
      <c r="E38" s="6">
        <v>14</v>
      </c>
      <c r="F38" s="6">
        <v>12</v>
      </c>
      <c r="G38" s="6">
        <v>20.5</v>
      </c>
      <c r="H38" s="6">
        <v>22</v>
      </c>
      <c r="I38" s="6">
        <v>8</v>
      </c>
      <c r="J38" s="6">
        <v>21</v>
      </c>
    </row>
    <row r="39" spans="1:10" ht="18.75" hidden="1">
      <c r="A39" s="4">
        <v>38</v>
      </c>
      <c r="B39" s="15" t="s">
        <v>220</v>
      </c>
      <c r="C39" s="4">
        <v>1361</v>
      </c>
      <c r="D39" s="4" t="str">
        <f>=VLOOKUP(B39,[1]在校生综合信息查询!$A$294:$C$348,2,0)</f>
        <v>25q710103071</v>
      </c>
      <c r="E39" s="6">
        <v>3</v>
      </c>
      <c r="F39" s="6">
        <v>8</v>
      </c>
      <c r="G39" s="6">
        <v>14.5</v>
      </c>
      <c r="H39" s="6">
        <v>6</v>
      </c>
      <c r="I39" s="6">
        <v>12</v>
      </c>
      <c r="J39" s="5" t="s"/>
    </row>
    <row r="40" spans="1:10" ht="18.75" hidden="1">
      <c r="A40" s="4">
        <v>39</v>
      </c>
      <c r="B40" s="15" t="s">
        <v>222</v>
      </c>
      <c r="C40" s="4">
        <v>1353</v>
      </c>
      <c r="D40" s="4" t="str">
        <f>=VLOOKUP(B40,[1]在校生综合信息查询!$A$294:$C$348,2,0)</f>
        <v>25q710103114</v>
      </c>
      <c r="E40" s="6">
        <v>11</v>
      </c>
      <c r="F40" s="6">
        <v>4</v>
      </c>
      <c r="G40" s="6">
        <v>16</v>
      </c>
      <c r="H40" s="6">
        <v>16</v>
      </c>
      <c r="I40" s="6">
        <v>16</v>
      </c>
      <c r="J40" s="6">
        <v>27</v>
      </c>
    </row>
    <row r="41" spans="1:10" ht="18.75" hidden="1">
      <c r="A41" s="4">
        <v>40</v>
      </c>
      <c r="B41" s="15" t="s">
        <v>224</v>
      </c>
      <c r="C41" s="4">
        <v>1378</v>
      </c>
      <c r="D41" s="4" t="str">
        <f>=VLOOKUP(B41,[1]在校生综合信息查询!$A$294:$C$348,2,0)</f>
        <v>25q710103079</v>
      </c>
      <c r="E41" s="6">
        <v>0</v>
      </c>
      <c r="F41" s="6">
        <v>0</v>
      </c>
      <c r="G41" s="6">
        <v>0</v>
      </c>
      <c r="H41" s="5" t="s"/>
      <c r="I41" s="5" t="s"/>
      <c r="J41" s="5" t="s"/>
    </row>
    <row r="42" spans="1:10" ht="18.75">
      <c r="A42" s="4">
        <v>41</v>
      </c>
      <c r="B42" s="15" t="s">
        <v>226</v>
      </c>
      <c r="C42" s="4">
        <v>1376</v>
      </c>
      <c r="D42" s="4" t="str">
        <f>=VLOOKUP(B42,[1]在校生综合信息查询!$A$294:$C$348,2,0)</f>
        <v>25q710103078</v>
      </c>
      <c r="E42" s="6">
        <v>46</v>
      </c>
      <c r="F42" s="6">
        <v>31</v>
      </c>
      <c r="G42" s="6">
        <v>27.5</v>
      </c>
      <c r="H42" s="6">
        <v>24</v>
      </c>
      <c r="I42" s="6">
        <v>10</v>
      </c>
      <c r="J42" s="6">
        <v>48</v>
      </c>
    </row>
    <row r="43" spans="1:10" ht="18.75" hidden="1">
      <c r="A43" s="4">
        <v>42</v>
      </c>
      <c r="B43" s="4" t="s">
        <v>228</v>
      </c>
      <c r="C43" s="4">
        <v>1362</v>
      </c>
      <c r="D43" s="4" t="str">
        <f>=VLOOKUP(B43,[1]在校生综合信息查询!$A$294:$C$348,2,0)</f>
        <v>25q710103082</v>
      </c>
      <c r="E43" s="6">
        <v>7</v>
      </c>
      <c r="F43" s="6">
        <v>16</v>
      </c>
      <c r="G43" s="6">
        <v>23.5</v>
      </c>
      <c r="H43" s="6">
        <v>16</v>
      </c>
      <c r="I43" s="6">
        <v>22</v>
      </c>
      <c r="J43" s="6">
        <v>24</v>
      </c>
    </row>
    <row r="44" spans="1:10" ht="18.75">
      <c r="A44" s="4">
        <v>43</v>
      </c>
      <c r="B44" s="4" t="s">
        <v>230</v>
      </c>
      <c r="C44" s="4">
        <v>1344</v>
      </c>
      <c r="D44" s="4" t="str">
        <f>=VLOOKUP(B44,[1]在校生综合信息查询!$A$294:$C$348,2,0)</f>
        <v>25q710103074</v>
      </c>
      <c r="E44" s="6">
        <v>20</v>
      </c>
      <c r="F44" s="6">
        <v>20</v>
      </c>
      <c r="G44" s="6">
        <v>17</v>
      </c>
      <c r="H44" s="6">
        <v>20</v>
      </c>
      <c r="I44" s="6">
        <v>12</v>
      </c>
      <c r="J44" s="6">
        <v>30</v>
      </c>
    </row>
    <row r="45" spans="1:10" ht="18.75">
      <c r="A45" s="4">
        <v>44</v>
      </c>
      <c r="B45" s="4" t="s">
        <v>232</v>
      </c>
      <c r="C45" s="4">
        <v>1328</v>
      </c>
      <c r="D45" s="4" t="str">
        <f>=VLOOKUP(B45,[1]在校生综合信息查询!$A$294:$C$348,2,0)</f>
        <v>25q710103076</v>
      </c>
      <c r="E45" s="6">
        <v>41</v>
      </c>
      <c r="F45" s="6">
        <v>24</v>
      </c>
      <c r="G45" s="6">
        <v>10.5</v>
      </c>
      <c r="H45" s="6">
        <v>12</v>
      </c>
      <c r="I45" s="6">
        <v>19</v>
      </c>
      <c r="J45" s="6">
        <v>23</v>
      </c>
    </row>
    <row r="46" spans="1:10" ht="18.75">
      <c r="A46" s="4">
        <v>45</v>
      </c>
      <c r="B46" s="4" t="s">
        <v>234</v>
      </c>
      <c r="C46" s="4">
        <v>1374</v>
      </c>
      <c r="D46" s="4" t="e">
        <f>=VLOOKUP(B46,[1]在校生综合信息查询!$A$294:$C$348,2,0)</f>
        <v>#N/A</v>
      </c>
      <c r="E46" s="6">
        <v>22</v>
      </c>
      <c r="F46" s="6">
        <v>16</v>
      </c>
      <c r="G46" s="6">
        <v>23</v>
      </c>
      <c r="H46" s="6">
        <v>14</v>
      </c>
      <c r="I46" s="6">
        <v>10</v>
      </c>
      <c r="J46" s="6">
        <v>27</v>
      </c>
    </row>
    <row r="47" spans="1:10" ht="18.75" hidden="1">
      <c r="A47" s="4">
        <v>46</v>
      </c>
      <c r="B47" s="4" t="s">
        <v>235</v>
      </c>
      <c r="C47" s="4">
        <v>1355</v>
      </c>
      <c r="D47" s="4" t="str">
        <f>=VLOOKUP(B47,[1]在校生综合信息查询!$A$294:$C$348,2,0)</f>
        <v>25q710103098</v>
      </c>
      <c r="E47" s="6">
        <v>12</v>
      </c>
      <c r="F47" s="6">
        <v>32</v>
      </c>
      <c r="G47" s="6">
        <v>18.5</v>
      </c>
      <c r="H47" s="6">
        <v>16</v>
      </c>
      <c r="I47" s="6">
        <v>20</v>
      </c>
      <c r="J47" s="6">
        <v>21</v>
      </c>
    </row>
    <row r="48" spans="1:10" ht="18.75">
      <c r="A48" s="4">
        <v>47</v>
      </c>
      <c r="B48" s="4" t="s">
        <v>237</v>
      </c>
      <c r="C48" s="4" t="s"/>
      <c r="D48" s="4" t="str">
        <f>=VLOOKUP(B48,[1]在校生综合信息查询!$A$294:$C$348,2,0)</f>
        <v>25q710103103</v>
      </c>
      <c r="E48" s="16">
        <v>24</v>
      </c>
      <c r="F48" s="16">
        <v>0</v>
      </c>
      <c r="G48" s="16">
        <v>20</v>
      </c>
      <c r="H48" s="16">
        <v>22</v>
      </c>
      <c r="I48" s="16">
        <v>10</v>
      </c>
      <c r="J48" s="16">
        <v>15</v>
      </c>
    </row>
    <row r="49" spans="1:10" ht="18.75" hidden="1">
      <c r="A49" s="4">
        <v>48</v>
      </c>
      <c r="B49" s="4" t="s">
        <v>239</v>
      </c>
      <c r="C49" s="4" t="s"/>
      <c r="D49" s="4" t="str">
        <f>=VLOOKUP(B49,[1]在校生综合信息查询!$A$294:$C$348,2,0)</f>
        <v>25q710103094</v>
      </c>
      <c r="E49" s="16">
        <v>6</v>
      </c>
      <c r="F49" s="16">
        <v>12</v>
      </c>
      <c r="G49" s="16">
        <v>12.5</v>
      </c>
      <c r="H49" s="16">
        <v>16</v>
      </c>
      <c r="I49" s="16">
        <v>18</v>
      </c>
      <c r="J49" s="16">
        <v>27</v>
      </c>
    </row>
    <row r="50" spans="1:10" ht="18.75" hidden="1">
      <c r="A50" s="4">
        <v>49</v>
      </c>
      <c r="B50" s="4" t="s">
        <v>241</v>
      </c>
      <c r="C50" s="4" t="s"/>
      <c r="D50" s="4" t="e">
        <f>=VLOOKUP(B50,[1]在校生综合信息查询!$A$294:$C$348,2,0)</f>
        <v>#N/A</v>
      </c>
      <c r="E50" s="16">
        <v>8</v>
      </c>
      <c r="F50" s="16">
        <v>20</v>
      </c>
      <c r="G50" s="16">
        <v>17.5</v>
      </c>
      <c r="H50" s="16">
        <v>10</v>
      </c>
      <c r="I50" s="17" t="s">
        <v>189</v>
      </c>
      <c r="J50" s="16">
        <v>27</v>
      </c>
    </row>
    <row r="51" spans="1:10" ht="18.75" hidden="1">
      <c r="A51" s="4">
        <v>50</v>
      </c>
      <c r="B51" s="4" t="s">
        <v>242</v>
      </c>
      <c r="C51" s="4" t="s"/>
      <c r="D51" s="4" t="str">
        <f>=VLOOKUP(B51,[1]在校生综合信息查询!$A$294:$C$348,2,0)</f>
        <v>25q770303017</v>
      </c>
      <c r="E51" s="16">
        <v>0</v>
      </c>
      <c r="F51" s="16">
        <v>0</v>
      </c>
      <c r="G51" s="16">
        <v>0</v>
      </c>
      <c r="H51" s="18" t="s"/>
      <c r="I51" s="18" t="s"/>
      <c r="J51" s="18" t="s"/>
    </row>
    <row r="52" spans="1:10" ht="18.75">
      <c r="A52" s="4">
        <v>51</v>
      </c>
      <c r="B52" s="4" t="s">
        <v>244</v>
      </c>
      <c r="C52" s="4" t="s"/>
      <c r="D52" s="4" t="str">
        <f>=VLOOKUP(B52,[1]在校生综合信息查询!$A$294:$C$348,2,0)</f>
        <v>25q710103104</v>
      </c>
      <c r="E52" s="16">
        <v>57</v>
      </c>
      <c r="F52" s="16">
        <v>16</v>
      </c>
      <c r="G52" s="16">
        <v>22.5</v>
      </c>
      <c r="H52" s="16">
        <v>30</v>
      </c>
      <c r="I52" s="16">
        <v>8</v>
      </c>
      <c r="J52" s="16">
        <v>42.5</v>
      </c>
    </row>
    <row r="53" spans="1:10" ht="18.75" hidden="1">
      <c r="A53" s="4">
        <v>52</v>
      </c>
      <c r="B53" s="4" t="s">
        <v>246</v>
      </c>
      <c r="C53" s="4" t="s"/>
      <c r="D53" s="4" t="str">
        <f>=VLOOKUP(B53,[1]在校生综合信息查询!$A$294:$C$348,2,0)</f>
        <v>25q710103084</v>
      </c>
      <c r="E53" s="16">
        <v>17</v>
      </c>
      <c r="F53" s="16">
        <v>24</v>
      </c>
      <c r="G53" s="16">
        <v>20.5</v>
      </c>
      <c r="H53" s="16">
        <v>16</v>
      </c>
      <c r="I53" s="16">
        <v>22</v>
      </c>
      <c r="J53" s="16">
        <v>24</v>
      </c>
    </row>
    <row r="54" spans="1:10" ht="18.75" hidden="1">
      <c r="A54" s="4">
        <v>53</v>
      </c>
      <c r="B54" s="4" t="s">
        <v>248</v>
      </c>
      <c r="C54" s="4" t="s"/>
      <c r="D54" s="4" t="str">
        <f>=VLOOKUP(B54,[1]在校生综合信息查询!$A$294:$C$348,2,0)</f>
        <v>25q710103066</v>
      </c>
      <c r="E54" s="16">
        <v>14</v>
      </c>
      <c r="F54" s="16">
        <v>20</v>
      </c>
      <c r="G54" s="16">
        <v>21</v>
      </c>
      <c r="H54" s="16">
        <v>22</v>
      </c>
      <c r="I54" s="16">
        <v>21</v>
      </c>
      <c r="J54" s="16">
        <v>24.5</v>
      </c>
    </row>
    <row r="55" spans="1:10" ht="18.75" hidden="1">
      <c r="A55" s="4">
        <v>54</v>
      </c>
      <c r="B55" s="4" t="s">
        <v>250</v>
      </c>
      <c r="C55" s="4" t="s"/>
      <c r="D55" s="4" t="str">
        <f>=VLOOKUP(B55,[1]在校生综合信息查询!$A$294:$C$348,2,0)</f>
        <v>25q710103117</v>
      </c>
      <c r="E55" s="16">
        <v>0</v>
      </c>
      <c r="F55" s="16">
        <v>24</v>
      </c>
      <c r="G55" s="16">
        <v>20</v>
      </c>
      <c r="H55" s="16">
        <v>12</v>
      </c>
      <c r="I55" s="16">
        <v>12</v>
      </c>
      <c r="J55" s="16">
        <v>21</v>
      </c>
    </row>
    <row r="56" spans="1:10" ht="18.75">
      <c r="A56" s="4">
        <v>55</v>
      </c>
      <c r="B56" s="4" t="s">
        <v>252</v>
      </c>
      <c r="C56" s="4" t="s"/>
      <c r="D56" s="4" t="str">
        <f>=VLOOKUP(B56,[1]在校生综合信息查询!$A$294:$C$348,2,0)</f>
        <v>25q710103096</v>
      </c>
      <c r="E56" s="16">
        <v>58</v>
      </c>
      <c r="F56" s="16">
        <v>20</v>
      </c>
      <c r="G56" s="16">
        <v>27.5</v>
      </c>
      <c r="H56" s="16">
        <v>18</v>
      </c>
      <c r="I56" s="16">
        <v>14</v>
      </c>
      <c r="J56" s="16">
        <v>39.5</v>
      </c>
    </row>
  </sheetData>
  <autoFilter ref="E1:E56">
    <filterColumn colId="0">
      <top10 val="15"/>
    </filterColumn>
    <sortState ref="E2:E56"/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/>
  <dimension ref="J71"/>
  <sheetViews>
    <sheetView showGridLines="1" topLeftCell="A61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8" max="8" width="30.25" customWidth="1"/>
    <col min="9" max="9" width="30" customWidth="1"/>
    <col min="10" max="10" width="21.37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143</v>
      </c>
      <c r="I1" s="5" t="s">
        <v>144</v>
      </c>
      <c r="J1" s="5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254</v>
      </c>
      <c r="C2" s="4">
        <v>1949</v>
      </c>
      <c r="D2" s="4" t="str">
        <f>=VLOOKUP(B2,[1]在校生综合信息查询!$A$89:$C$156,2,0)</f>
        <v>25q710103340</v>
      </c>
      <c r="E2" s="6">
        <v>0</v>
      </c>
      <c r="F2" s="6">
        <v>32</v>
      </c>
      <c r="G2" s="6">
        <v>20.5</v>
      </c>
      <c r="H2" s="6">
        <v>0</v>
      </c>
      <c r="I2" s="6">
        <v>0</v>
      </c>
      <c r="J2" s="6">
        <v>0</v>
      </c>
      <c r="K2" s="5" t="s"/>
      <c r="L2" s="5" t="s"/>
    </row>
    <row r="3" spans="1:12" ht="18.75">
      <c r="A3" s="4">
        <v>2</v>
      </c>
      <c r="B3" s="4" t="s">
        <v>256</v>
      </c>
      <c r="C3" s="4">
        <v>1941</v>
      </c>
      <c r="D3" s="4" t="str">
        <f>=VLOOKUP(B3,[1]在校生综合信息查询!$A$89:$C$156,2,0)</f>
        <v>25q710103331</v>
      </c>
      <c r="E3" s="6">
        <v>15</v>
      </c>
      <c r="F3" s="6">
        <v>20</v>
      </c>
      <c r="G3" s="6">
        <v>15</v>
      </c>
      <c r="H3" s="6">
        <v>12</v>
      </c>
      <c r="I3" s="6">
        <v>14</v>
      </c>
      <c r="J3" s="6">
        <v>33</v>
      </c>
      <c r="K3" s="5" t="s"/>
      <c r="L3" s="5" t="s"/>
    </row>
    <row r="4" spans="1:12" ht="18.75">
      <c r="A4" s="4">
        <v>3</v>
      </c>
      <c r="B4" s="4" t="s">
        <v>258</v>
      </c>
      <c r="C4" s="4">
        <v>1937</v>
      </c>
      <c r="D4" s="4" t="str">
        <f>=VLOOKUP(B4,[1]在校生综合信息查询!$A$89:$C$156,2,0)</f>
        <v>25q710103326</v>
      </c>
      <c r="E4" s="6">
        <v>53</v>
      </c>
      <c r="F4" s="6">
        <v>35</v>
      </c>
      <c r="G4" s="6">
        <v>24</v>
      </c>
      <c r="H4" s="6">
        <v>24</v>
      </c>
      <c r="I4" s="6">
        <v>20</v>
      </c>
      <c r="J4" s="6">
        <v>50.5</v>
      </c>
      <c r="K4" s="5" t="s"/>
      <c r="L4" s="5" t="s"/>
    </row>
    <row r="5" spans="1:12" ht="18.75">
      <c r="A5" s="4">
        <v>4</v>
      </c>
      <c r="B5" s="4" t="s">
        <v>260</v>
      </c>
      <c r="C5" s="4">
        <v>1960</v>
      </c>
      <c r="D5" s="4" t="str">
        <f>=VLOOKUP(B5,[1]在校生综合信息查询!$A$89:$C$156,2,0)</f>
        <v>25q770303042</v>
      </c>
      <c r="E5" s="5" t="s"/>
      <c r="F5" s="5" t="s"/>
      <c r="G5" s="5" t="s"/>
      <c r="H5" s="5" t="s"/>
      <c r="I5" s="5" t="s"/>
      <c r="J5" s="5" t="s"/>
      <c r="K5" s="5" t="s"/>
      <c r="L5" s="5" t="s"/>
    </row>
    <row r="6" spans="1:12" ht="18.75">
      <c r="A6" s="4">
        <v>5</v>
      </c>
      <c r="B6" s="4" t="s">
        <v>262</v>
      </c>
      <c r="C6" s="4">
        <v>1974</v>
      </c>
      <c r="D6" s="4" t="e">
        <f>=VLOOKUP(B6,[1]在校生综合信息查询!$A$89:$C$156,2,0)</f>
        <v>#N/A</v>
      </c>
      <c r="E6" s="5" t="s"/>
      <c r="F6" s="5" t="s"/>
      <c r="G6" s="5" t="s"/>
      <c r="H6" s="5" t="s"/>
      <c r="I6" s="5" t="s"/>
      <c r="J6" s="5" t="s"/>
      <c r="K6" s="5" t="s"/>
      <c r="L6" s="5" t="s"/>
    </row>
    <row r="7" spans="1:12" ht="18.75">
      <c r="A7" s="4">
        <v>6</v>
      </c>
      <c r="B7" s="4" t="s">
        <v>263</v>
      </c>
      <c r="C7" s="4">
        <v>1943</v>
      </c>
      <c r="D7" s="4" t="str">
        <f>=VLOOKUP(B7,[1]在校生综合信息查询!$A$89:$C$156,2,0)</f>
        <v>25q710103333</v>
      </c>
      <c r="E7" s="6">
        <v>35</v>
      </c>
      <c r="F7" s="6">
        <v>12</v>
      </c>
      <c r="G7" s="6">
        <v>19.5</v>
      </c>
      <c r="H7" s="6">
        <v>28</v>
      </c>
      <c r="I7" s="6">
        <v>12</v>
      </c>
      <c r="J7" s="6">
        <v>24</v>
      </c>
      <c r="K7" s="5" t="s"/>
      <c r="L7" s="5" t="s"/>
    </row>
    <row r="8" spans="1:12" ht="18.75">
      <c r="A8" s="4">
        <v>7</v>
      </c>
      <c r="B8" s="4" t="s">
        <v>265</v>
      </c>
      <c r="C8" s="4">
        <v>1958</v>
      </c>
      <c r="D8" s="4" t="str">
        <f>=VLOOKUP(B8,[1]在校生综合信息查询!$A$89:$C$156,2,0)</f>
        <v>25q770303019</v>
      </c>
      <c r="E8" s="6">
        <v>38</v>
      </c>
      <c r="F8" s="6">
        <v>20</v>
      </c>
      <c r="G8" s="6">
        <v>18</v>
      </c>
      <c r="H8" s="6">
        <v>28</v>
      </c>
      <c r="I8" s="6">
        <v>22</v>
      </c>
      <c r="J8" s="6">
        <v>14.5</v>
      </c>
      <c r="K8" s="5" t="s"/>
      <c r="L8" s="5" t="s"/>
    </row>
    <row r="9" spans="1:12" ht="18.75">
      <c r="A9" s="4">
        <v>8</v>
      </c>
      <c r="B9" s="4" t="s">
        <v>267</v>
      </c>
      <c r="C9" s="4">
        <v>1963</v>
      </c>
      <c r="D9" s="4" t="str">
        <f>=VLOOKUP(B9,[1]在校生综合信息查询!$A$89:$C$156,2,0)</f>
        <v>25q710201250</v>
      </c>
      <c r="E9" s="6">
        <v>19</v>
      </c>
      <c r="F9" s="6">
        <v>28</v>
      </c>
      <c r="G9" s="6">
        <v>24</v>
      </c>
      <c r="H9" s="6">
        <v>14</v>
      </c>
      <c r="I9" s="6">
        <v>18</v>
      </c>
      <c r="J9" s="6">
        <v>24</v>
      </c>
      <c r="K9" s="5" t="s"/>
      <c r="L9" s="5" t="s"/>
    </row>
    <row r="10" spans="1:12" ht="18.75">
      <c r="A10" s="4">
        <v>9</v>
      </c>
      <c r="B10" s="4" t="s">
        <v>269</v>
      </c>
      <c r="C10" s="4">
        <v>1959</v>
      </c>
      <c r="D10" s="4" t="str">
        <f>=VLOOKUP(B10,[1]在校生综合信息查询!$A$89:$C$156,2,0)</f>
        <v>25q770303012</v>
      </c>
      <c r="E10" s="5" t="s"/>
      <c r="F10" s="5" t="s"/>
      <c r="G10" s="5" t="s"/>
      <c r="H10" s="6">
        <v>18</v>
      </c>
      <c r="I10" s="6">
        <v>20</v>
      </c>
      <c r="J10" s="6">
        <v>21</v>
      </c>
      <c r="K10" s="5" t="s"/>
      <c r="L10" s="5" t="s"/>
    </row>
    <row r="11" spans="1:12" ht="18.75">
      <c r="A11" s="4">
        <v>10</v>
      </c>
      <c r="B11" s="4" t="s">
        <v>271</v>
      </c>
      <c r="C11" s="4">
        <v>1914</v>
      </c>
      <c r="D11" s="4" t="str">
        <f>=VLOOKUP(B11,[1]在校生综合信息查询!$A$89:$C$156,2,0)</f>
        <v>25q710103299</v>
      </c>
      <c r="E11" s="6">
        <v>63</v>
      </c>
      <c r="F11" s="6">
        <v>32</v>
      </c>
      <c r="G11" s="6">
        <v>19.5</v>
      </c>
      <c r="H11" s="6">
        <v>18</v>
      </c>
      <c r="I11" s="6">
        <v>14</v>
      </c>
      <c r="J11" s="6">
        <v>27</v>
      </c>
      <c r="K11" s="5" t="s"/>
      <c r="L11" s="5" t="s"/>
    </row>
    <row r="12" spans="1:12" ht="18.75">
      <c r="A12" s="4">
        <v>11</v>
      </c>
      <c r="B12" s="4" t="s">
        <v>273</v>
      </c>
      <c r="C12" s="4">
        <v>1970</v>
      </c>
      <c r="D12" s="4" t="str">
        <f>=VLOOKUP(B12,[1]在校生综合信息查询!$A$89:$C$156,2,0)</f>
        <v>25q710103283</v>
      </c>
      <c r="E12" s="6">
        <v>3</v>
      </c>
      <c r="F12" s="6">
        <v>20</v>
      </c>
      <c r="G12" s="6">
        <v>32</v>
      </c>
      <c r="H12" s="6">
        <v>22</v>
      </c>
      <c r="I12" s="6">
        <v>16</v>
      </c>
      <c r="J12" s="6">
        <v>15</v>
      </c>
      <c r="K12" s="5" t="s"/>
      <c r="L12" s="5" t="s"/>
    </row>
    <row r="13" spans="1:12" ht="18.75">
      <c r="A13" s="4">
        <v>12</v>
      </c>
      <c r="B13" s="4" t="s">
        <v>275</v>
      </c>
      <c r="C13" s="4">
        <v>1916</v>
      </c>
      <c r="D13" s="4" t="str">
        <f>=VLOOKUP(B13,[1]在校生综合信息查询!$A$89:$C$156,2,0)</f>
        <v>25q710103301</v>
      </c>
      <c r="E13" s="6">
        <v>3</v>
      </c>
      <c r="F13" s="6">
        <v>8</v>
      </c>
      <c r="G13" s="6">
        <v>13</v>
      </c>
      <c r="H13" s="6">
        <v>14</v>
      </c>
      <c r="I13" s="6">
        <v>18</v>
      </c>
      <c r="J13" s="6">
        <v>27</v>
      </c>
      <c r="K13" s="5" t="s"/>
      <c r="L13" s="5" t="s"/>
    </row>
    <row r="14" spans="1:12" ht="18.75">
      <c r="A14" s="4">
        <v>13</v>
      </c>
      <c r="B14" s="4" t="s">
        <v>277</v>
      </c>
      <c r="C14" s="4">
        <v>1944</v>
      </c>
      <c r="D14" s="4" t="str">
        <f>=VLOOKUP(B14,[1]在校生综合信息查询!$A$89:$C$156,2,0)</f>
        <v>25q710103334</v>
      </c>
      <c r="E14" s="6">
        <v>51</v>
      </c>
      <c r="F14" s="6">
        <v>28</v>
      </c>
      <c r="G14" s="6">
        <v>14.5</v>
      </c>
      <c r="H14" s="6">
        <v>12</v>
      </c>
      <c r="I14" s="6">
        <v>16</v>
      </c>
      <c r="J14" s="6">
        <v>36</v>
      </c>
      <c r="K14" s="5" t="s"/>
      <c r="L14" s="5" t="s"/>
    </row>
    <row r="15" spans="1:12" ht="18.75">
      <c r="A15" s="4">
        <v>14</v>
      </c>
      <c r="B15" s="4" t="s">
        <v>279</v>
      </c>
      <c r="C15" s="4">
        <v>1955</v>
      </c>
      <c r="D15" s="4" t="str">
        <f>=VLOOKUP(B15,[1]在校生综合信息查询!$A$89:$C$156,2,0)</f>
        <v>25q710103350</v>
      </c>
      <c r="E15" s="6">
        <v>22</v>
      </c>
      <c r="F15" s="6">
        <v>12</v>
      </c>
      <c r="G15" s="6">
        <v>19</v>
      </c>
      <c r="H15" s="6">
        <v>28</v>
      </c>
      <c r="I15" s="6">
        <v>14</v>
      </c>
      <c r="J15" s="6">
        <v>18</v>
      </c>
      <c r="K15" s="5" t="s"/>
      <c r="L15" s="5" t="s"/>
    </row>
    <row r="16" spans="1:12" ht="18.75">
      <c r="A16" s="4">
        <v>15</v>
      </c>
      <c r="B16" s="4" t="s">
        <v>281</v>
      </c>
      <c r="C16" s="4">
        <v>1948</v>
      </c>
      <c r="D16" s="4" t="e">
        <f>=VLOOKUP(B16,[1]在校生综合信息查询!$A$89:$C$156,2,0)</f>
        <v>#N/A</v>
      </c>
      <c r="E16" s="6">
        <v>3</v>
      </c>
      <c r="F16" s="6">
        <v>24</v>
      </c>
      <c r="G16" s="6">
        <v>22</v>
      </c>
      <c r="H16" s="6">
        <v>0</v>
      </c>
      <c r="I16" s="6">
        <v>6</v>
      </c>
      <c r="J16" s="6">
        <v>21</v>
      </c>
      <c r="K16" s="5" t="s"/>
      <c r="L16" s="5" t="s"/>
    </row>
    <row r="17" spans="1:12" ht="18.75">
      <c r="A17" s="4">
        <v>16</v>
      </c>
      <c r="B17" s="4" t="s">
        <v>282</v>
      </c>
      <c r="C17" s="4">
        <v>1925</v>
      </c>
      <c r="D17" s="4" t="str">
        <f>=VLOOKUP(B17,[1]在校生综合信息查询!$A$89:$C$156,2,0)</f>
        <v>25q710103313</v>
      </c>
      <c r="E17" s="6">
        <v>22</v>
      </c>
      <c r="F17" s="6">
        <v>24</v>
      </c>
      <c r="G17" s="6">
        <v>15</v>
      </c>
      <c r="H17" s="6">
        <v>22</v>
      </c>
      <c r="I17" s="6">
        <v>16</v>
      </c>
      <c r="J17" s="6">
        <v>30</v>
      </c>
      <c r="K17" s="5" t="s"/>
      <c r="L17" s="5" t="s"/>
    </row>
    <row r="18" spans="1:12" ht="18.75">
      <c r="A18" s="4">
        <v>17</v>
      </c>
      <c r="B18" s="4" t="s">
        <v>284</v>
      </c>
      <c r="C18" s="4">
        <v>1920</v>
      </c>
      <c r="D18" s="4" t="str">
        <f>=VLOOKUP(B18,[1]在校生综合信息查询!$A$89:$C$156,2,0)</f>
        <v>25q710103307</v>
      </c>
      <c r="E18" s="6" t="s"/>
      <c r="F18" s="5" t="s"/>
      <c r="G18" s="5" t="s"/>
      <c r="H18" s="6">
        <v>0</v>
      </c>
      <c r="I18" s="6">
        <v>0</v>
      </c>
      <c r="J18" s="6">
        <v>0</v>
      </c>
      <c r="K18" s="5" t="s"/>
      <c r="L18" s="5" t="s"/>
    </row>
    <row r="19" spans="1:12" ht="18.75">
      <c r="A19" s="4">
        <v>18</v>
      </c>
      <c r="B19" s="4" t="s">
        <v>286</v>
      </c>
      <c r="C19" s="4">
        <v>1966</v>
      </c>
      <c r="D19" s="4" t="str">
        <f>=VLOOKUP(B19,[1]在校生综合信息查询!$A$89:$C$156,2,0)</f>
        <v>25q710103269</v>
      </c>
      <c r="E19" s="6">
        <v>33</v>
      </c>
      <c r="F19" s="6">
        <v>32</v>
      </c>
      <c r="G19" s="6">
        <v>23</v>
      </c>
      <c r="H19" s="6">
        <v>30</v>
      </c>
      <c r="I19" s="6">
        <v>20</v>
      </c>
      <c r="J19" s="6">
        <v>44</v>
      </c>
      <c r="K19" s="5" t="s"/>
      <c r="L19" s="5" t="s"/>
    </row>
    <row r="20" spans="1:12" ht="18.75">
      <c r="A20" s="4">
        <v>19</v>
      </c>
      <c r="B20" s="4" t="s">
        <v>288</v>
      </c>
      <c r="C20" s="4">
        <v>1905</v>
      </c>
      <c r="D20" s="4" t="str">
        <f>=VLOOKUP(B20,[1]在校生综合信息查询!$A$89:$C$156,2,0)</f>
        <v>25q660103116</v>
      </c>
      <c r="E20" s="6">
        <v>13</v>
      </c>
      <c r="F20" s="6">
        <v>8</v>
      </c>
      <c r="G20" s="6">
        <v>19.5</v>
      </c>
      <c r="H20" s="6">
        <v>18</v>
      </c>
      <c r="I20" s="6">
        <v>20</v>
      </c>
      <c r="J20" s="6">
        <v>21</v>
      </c>
      <c r="K20" s="5" t="s"/>
      <c r="L20" s="5" t="s"/>
    </row>
    <row r="21" spans="1:12" ht="18.75">
      <c r="A21" s="4">
        <v>20</v>
      </c>
      <c r="B21" s="4" t="s">
        <v>290</v>
      </c>
      <c r="C21" s="4">
        <v>1973</v>
      </c>
      <c r="D21" s="4" t="str">
        <f>=VLOOKUP(B21,[1]在校生综合信息查询!$A$89:$C$156,2,0)</f>
        <v>25q710201563</v>
      </c>
      <c r="E21" s="6">
        <v>15</v>
      </c>
      <c r="F21" s="6">
        <v>24</v>
      </c>
      <c r="G21" s="6">
        <v>22.5</v>
      </c>
      <c r="H21" s="6">
        <v>18</v>
      </c>
      <c r="I21" s="6">
        <v>24</v>
      </c>
      <c r="J21" s="6">
        <v>24</v>
      </c>
      <c r="K21" s="5" t="s"/>
      <c r="L21" s="5" t="s"/>
    </row>
    <row r="22" spans="1:12" ht="18.75">
      <c r="A22" s="4">
        <v>21</v>
      </c>
      <c r="B22" s="4" t="s">
        <v>292</v>
      </c>
      <c r="C22" s="4">
        <v>1933</v>
      </c>
      <c r="D22" s="4" t="str">
        <f>=VLOOKUP(B22,[1]在校生综合信息查询!$A$89:$C$156,2,0)</f>
        <v>25q710103321</v>
      </c>
      <c r="E22" s="6">
        <v>21</v>
      </c>
      <c r="F22" s="6">
        <v>16</v>
      </c>
      <c r="G22" s="6">
        <v>23</v>
      </c>
      <c r="H22" s="6">
        <v>12</v>
      </c>
      <c r="I22" s="6">
        <v>15</v>
      </c>
      <c r="J22" s="6">
        <v>16</v>
      </c>
      <c r="K22" s="5" t="s"/>
      <c r="L22" s="5" t="s"/>
    </row>
    <row r="23" spans="1:12" ht="18.75">
      <c r="A23" s="4">
        <v>22</v>
      </c>
      <c r="B23" s="4" t="s">
        <v>294</v>
      </c>
      <c r="C23" s="4">
        <v>1961</v>
      </c>
      <c r="D23" s="4" t="str">
        <f>=VLOOKUP(B23,[1]在校生综合信息查询!$A$89:$C$156,2,0)</f>
        <v>25q770101002</v>
      </c>
      <c r="E23" s="6">
        <v>35</v>
      </c>
      <c r="F23" s="6">
        <v>44</v>
      </c>
      <c r="G23" s="6">
        <v>25.5</v>
      </c>
      <c r="H23" s="6">
        <v>20</v>
      </c>
      <c r="I23" s="6">
        <v>6</v>
      </c>
      <c r="J23" s="6">
        <v>43</v>
      </c>
      <c r="K23" s="5" t="s"/>
      <c r="L23" s="5" t="s"/>
    </row>
    <row r="24" spans="1:12" ht="18.75">
      <c r="A24" s="4">
        <v>23</v>
      </c>
      <c r="B24" s="4" t="s">
        <v>296</v>
      </c>
      <c r="C24" s="4">
        <v>1926</v>
      </c>
      <c r="D24" s="4" t="str">
        <f>=VLOOKUP(B24,[1]在校生综合信息查询!$A$89:$C$156,2,0)</f>
        <v>25q710103314</v>
      </c>
      <c r="E24" s="6">
        <v>13</v>
      </c>
      <c r="F24" s="6">
        <v>8</v>
      </c>
      <c r="G24" s="6">
        <v>16</v>
      </c>
      <c r="H24" s="6">
        <v>18</v>
      </c>
      <c r="I24" s="6">
        <v>16</v>
      </c>
      <c r="J24" s="6">
        <v>18</v>
      </c>
      <c r="K24" s="5" t="s"/>
      <c r="L24" s="5" t="s"/>
    </row>
    <row r="25" spans="1:12" ht="18.75">
      <c r="A25" s="4">
        <v>24</v>
      </c>
      <c r="B25" s="4" t="s">
        <v>298</v>
      </c>
      <c r="C25" s="4">
        <v>1940</v>
      </c>
      <c r="D25" s="4" t="str">
        <f>=VLOOKUP(B25,[1]在校生综合信息查询!$A$89:$C$156,2,0)</f>
        <v>25q710103330</v>
      </c>
      <c r="E25" s="5" t="s"/>
      <c r="F25" s="5" t="s"/>
      <c r="G25" s="5" t="s"/>
      <c r="H25" s="5" t="s"/>
      <c r="I25" s="5" t="s"/>
      <c r="J25" s="5" t="s"/>
      <c r="K25" s="5" t="s"/>
      <c r="L25" s="5" t="s"/>
    </row>
    <row r="26" spans="1:12" ht="18.75">
      <c r="A26" s="4">
        <v>25</v>
      </c>
      <c r="B26" s="4" t="s">
        <v>300</v>
      </c>
      <c r="C26" s="4">
        <v>1928</v>
      </c>
      <c r="D26" s="4" t="str">
        <f>=VLOOKUP(B26,[1]在校生综合信息查询!$A$89:$C$156,2,0)</f>
        <v>25q710103316</v>
      </c>
      <c r="E26" s="6">
        <v>16</v>
      </c>
      <c r="F26" s="6">
        <v>16</v>
      </c>
      <c r="G26" s="6">
        <v>21</v>
      </c>
      <c r="H26" s="6">
        <v>14</v>
      </c>
      <c r="I26" s="6">
        <v>12</v>
      </c>
      <c r="J26" s="6">
        <v>9</v>
      </c>
      <c r="K26" s="5" t="s"/>
      <c r="L26" s="5" t="s"/>
    </row>
    <row r="27" spans="1:12" ht="18.75">
      <c r="A27" s="4">
        <v>26</v>
      </c>
      <c r="B27" s="4" t="s">
        <v>302</v>
      </c>
      <c r="C27" s="4">
        <v>1906</v>
      </c>
      <c r="D27" s="4" t="str">
        <f>=VLOOKUP(B27,[1]在校生综合信息查询!$A$89:$C$156,2,0)</f>
        <v>25q660103118</v>
      </c>
      <c r="E27" s="6">
        <v>9</v>
      </c>
      <c r="F27" s="6">
        <v>12</v>
      </c>
      <c r="G27" s="6">
        <v>18</v>
      </c>
      <c r="H27" s="6">
        <v>24</v>
      </c>
      <c r="I27" s="6">
        <v>18</v>
      </c>
      <c r="J27" s="6">
        <v>12</v>
      </c>
      <c r="K27" s="5" t="s"/>
      <c r="L27" s="5" t="s"/>
    </row>
    <row r="28" spans="1:12" ht="18.75">
      <c r="A28" s="4">
        <v>27</v>
      </c>
      <c r="B28" s="4" t="s">
        <v>304</v>
      </c>
      <c r="C28" s="4">
        <v>1954</v>
      </c>
      <c r="D28" s="4" t="str">
        <f>=VLOOKUP(B28,[1]在校生综合信息查询!$A$89:$C$156,2,0)</f>
        <v>25q710103347</v>
      </c>
      <c r="E28" s="6">
        <v>31</v>
      </c>
      <c r="F28" s="6">
        <v>24</v>
      </c>
      <c r="G28" s="6">
        <v>16</v>
      </c>
      <c r="H28" s="6">
        <v>16</v>
      </c>
      <c r="I28" s="6">
        <v>14</v>
      </c>
      <c r="J28" s="6">
        <v>33</v>
      </c>
      <c r="K28" s="5" t="s"/>
      <c r="L28" s="5" t="s"/>
    </row>
    <row r="29" spans="1:12" ht="18.75">
      <c r="A29" s="4">
        <v>28</v>
      </c>
      <c r="B29" s="4" t="s">
        <v>306</v>
      </c>
      <c r="C29" s="4">
        <v>1930</v>
      </c>
      <c r="D29" s="4" t="str">
        <f>=VLOOKUP(B29,[1]在校生综合信息查询!$A$89:$C$156,2,0)</f>
        <v>25q710103318</v>
      </c>
      <c r="E29" s="6">
        <v>9</v>
      </c>
      <c r="F29" s="6">
        <v>16</v>
      </c>
      <c r="G29" s="6">
        <v>16</v>
      </c>
      <c r="H29" s="6">
        <v>16</v>
      </c>
      <c r="I29" s="6">
        <v>14</v>
      </c>
      <c r="J29" s="6">
        <v>30</v>
      </c>
      <c r="K29" s="5" t="s"/>
      <c r="L29" s="5" t="s"/>
    </row>
    <row r="30" spans="1:12" ht="18.75">
      <c r="A30" s="4">
        <v>29</v>
      </c>
      <c r="B30" s="4" t="s">
        <v>308</v>
      </c>
      <c r="C30" s="4">
        <v>1946</v>
      </c>
      <c r="D30" s="4" t="str">
        <f>=VLOOKUP(B30,[1]在校生综合信息查询!$A$89:$C$156,2,0)</f>
        <v>25q710103336</v>
      </c>
      <c r="E30" s="5" t="s"/>
      <c r="F30" s="5" t="s"/>
      <c r="G30" s="5" t="s"/>
      <c r="H30" s="5" t="s"/>
      <c r="I30" s="5" t="s"/>
      <c r="J30" s="5" t="s"/>
      <c r="K30" s="5" t="s"/>
      <c r="L30" s="5" t="s"/>
    </row>
    <row r="31" spans="1:12" ht="18.75">
      <c r="A31" s="4">
        <v>30</v>
      </c>
      <c r="B31" s="4" t="s">
        <v>310</v>
      </c>
      <c r="C31" s="4">
        <v>1950</v>
      </c>
      <c r="D31" s="4" t="str">
        <f>=VLOOKUP(B31,[1]在校生综合信息查询!$A$89:$C$156,2,0)</f>
        <v>25q710103341</v>
      </c>
      <c r="E31" s="5" t="s"/>
      <c r="F31" s="5" t="s"/>
      <c r="G31" s="5" t="s"/>
      <c r="H31" s="5" t="s"/>
      <c r="I31" s="5" t="s"/>
      <c r="J31" s="5" t="s"/>
      <c r="K31" s="5" t="s"/>
      <c r="L31" s="5" t="s"/>
    </row>
    <row r="32" spans="1:12" ht="18.75">
      <c r="A32" s="4">
        <v>31</v>
      </c>
      <c r="B32" s="4" t="s">
        <v>312</v>
      </c>
      <c r="C32" s="4">
        <v>1935</v>
      </c>
      <c r="D32" s="4" t="str">
        <f>=VLOOKUP(B32,[1]在校生综合信息查询!$A$89:$C$156,2,0)</f>
        <v>25q710103324</v>
      </c>
      <c r="E32" s="6">
        <v>6</v>
      </c>
      <c r="F32" s="6">
        <v>16</v>
      </c>
      <c r="G32" s="6">
        <v>24.5</v>
      </c>
      <c r="H32" s="6">
        <v>20</v>
      </c>
      <c r="I32" s="6">
        <v>19</v>
      </c>
      <c r="J32" s="6">
        <v>24</v>
      </c>
      <c r="K32" s="5" t="s"/>
      <c r="L32" s="5" t="s"/>
    </row>
    <row r="33" spans="1:12" ht="18.75">
      <c r="A33" s="4">
        <v>32</v>
      </c>
      <c r="B33" s="4" t="s">
        <v>314</v>
      </c>
      <c r="C33" s="4">
        <v>1922</v>
      </c>
      <c r="D33" s="4" t="str">
        <f>=VLOOKUP(B33,[1]在校生综合信息查询!$A$89:$C$156,2,0)</f>
        <v>25q710103310</v>
      </c>
      <c r="E33" s="6">
        <v>49</v>
      </c>
      <c r="F33" s="6">
        <v>12</v>
      </c>
      <c r="G33" s="6">
        <v>20.5</v>
      </c>
      <c r="H33" s="6">
        <v>18</v>
      </c>
      <c r="I33" s="6">
        <v>20</v>
      </c>
      <c r="J33" s="6">
        <v>21</v>
      </c>
      <c r="K33" s="5" t="s"/>
      <c r="L33" s="5" t="s"/>
    </row>
    <row r="34" spans="1:12" ht="18.75">
      <c r="A34" s="4">
        <v>33</v>
      </c>
      <c r="B34" s="4" t="s">
        <v>316</v>
      </c>
      <c r="C34" s="4">
        <v>1910</v>
      </c>
      <c r="D34" s="4" t="str">
        <f>=VLOOKUP(B34,[1]在校生综合信息查询!$A$89:$C$156,2,0)</f>
        <v>25q710103295</v>
      </c>
      <c r="E34" s="6">
        <v>63</v>
      </c>
      <c r="F34" s="6">
        <v>31</v>
      </c>
      <c r="G34" s="6">
        <v>61.5</v>
      </c>
      <c r="H34" s="6">
        <v>20</v>
      </c>
      <c r="I34" s="6">
        <v>18</v>
      </c>
      <c r="J34" s="6">
        <v>37</v>
      </c>
      <c r="K34" s="5" t="s"/>
      <c r="L34" s="5" t="s"/>
    </row>
    <row r="35" spans="1:12" ht="18.75">
      <c r="A35" s="4">
        <v>34</v>
      </c>
      <c r="B35" s="4" t="s">
        <v>318</v>
      </c>
      <c r="C35" s="4">
        <v>1942</v>
      </c>
      <c r="D35" s="4" t="str">
        <f>=VLOOKUP(B35,[1]在校生综合信息查询!$A$89:$C$156,2,0)</f>
        <v>25q710103332</v>
      </c>
      <c r="E35" s="6">
        <v>12</v>
      </c>
      <c r="F35" s="6">
        <v>32</v>
      </c>
      <c r="G35" s="6">
        <v>22.5</v>
      </c>
      <c r="H35" s="6">
        <v>8</v>
      </c>
      <c r="I35" s="6" t="s"/>
      <c r="J35" s="6">
        <v>24</v>
      </c>
      <c r="K35" s="5" t="s"/>
      <c r="L35" s="5" t="s"/>
    </row>
    <row r="36" spans="1:10" ht="18.75">
      <c r="A36" s="4">
        <v>35</v>
      </c>
      <c r="B36" s="15" t="s">
        <v>320</v>
      </c>
      <c r="C36" s="4">
        <v>1934</v>
      </c>
      <c r="D36" s="4" t="str">
        <f>=VLOOKUP(B36,[1]在校生综合信息查询!$A$89:$C$156,2,0)</f>
        <v>25q710103271</v>
      </c>
      <c r="E36" s="6">
        <v>51</v>
      </c>
      <c r="F36" s="6">
        <v>20</v>
      </c>
      <c r="G36" s="6">
        <v>18.5</v>
      </c>
      <c r="H36" s="6">
        <v>27</v>
      </c>
      <c r="I36" s="6">
        <v>16</v>
      </c>
      <c r="J36" s="6">
        <v>27</v>
      </c>
    </row>
    <row r="37" spans="1:10" ht="18.75">
      <c r="A37" s="4">
        <v>36</v>
      </c>
      <c r="B37" s="15" t="s">
        <v>322</v>
      </c>
      <c r="C37" s="4">
        <v>1952</v>
      </c>
      <c r="D37" s="4" t="str">
        <f>=VLOOKUP(B37,[1]在校生综合信息查询!$A$89:$C$156,2,0)</f>
        <v>25q710103317</v>
      </c>
      <c r="E37" s="6">
        <v>3</v>
      </c>
      <c r="F37" s="6">
        <v>8</v>
      </c>
      <c r="G37" s="6">
        <v>21.5</v>
      </c>
      <c r="H37" s="6">
        <v>0</v>
      </c>
      <c r="I37" s="6">
        <v>8</v>
      </c>
      <c r="J37" s="6">
        <v>27</v>
      </c>
    </row>
    <row r="38" spans="1:10" ht="18.75">
      <c r="A38" s="4">
        <v>37</v>
      </c>
      <c r="B38" s="15" t="s">
        <v>324</v>
      </c>
      <c r="C38" s="4">
        <v>1938</v>
      </c>
      <c r="D38" s="4" t="str">
        <f>=VLOOKUP(B38,[1]在校生综合信息查询!$A$89:$C$156,2,0)</f>
        <v>25q710103280</v>
      </c>
      <c r="E38" s="5" t="s"/>
      <c r="F38" s="5" t="s"/>
      <c r="G38" s="5" t="s"/>
      <c r="H38" s="5" t="s"/>
      <c r="I38" s="5" t="s"/>
      <c r="J38" s="5" t="s"/>
    </row>
    <row r="39" spans="1:10" ht="18.75">
      <c r="A39" s="4">
        <v>38</v>
      </c>
      <c r="B39" s="15" t="s">
        <v>326</v>
      </c>
      <c r="C39" s="4">
        <v>1927</v>
      </c>
      <c r="D39" s="4" t="str">
        <f>=VLOOKUP(B39,[1]在校生综合信息查询!$A$89:$C$156,2,0)</f>
        <v>25q710103300</v>
      </c>
      <c r="E39" s="6">
        <v>8</v>
      </c>
      <c r="F39" s="6">
        <v>20</v>
      </c>
      <c r="G39" s="6">
        <v>20.5</v>
      </c>
      <c r="H39" s="6">
        <v>16</v>
      </c>
      <c r="I39" s="6">
        <v>18</v>
      </c>
      <c r="J39" s="6">
        <v>18</v>
      </c>
    </row>
    <row r="40" spans="1:10" ht="18.75">
      <c r="A40" s="4">
        <v>39</v>
      </c>
      <c r="B40" s="15" t="s">
        <v>328</v>
      </c>
      <c r="C40" s="4">
        <v>1953</v>
      </c>
      <c r="D40" s="4" t="str">
        <f>=VLOOKUP(B40,[1]在校生综合信息查询!$A$89:$C$156,2,0)</f>
        <v>25q710103319</v>
      </c>
      <c r="E40" s="6">
        <v>6</v>
      </c>
      <c r="F40" s="6">
        <v>24</v>
      </c>
      <c r="G40" s="6">
        <v>22</v>
      </c>
      <c r="H40" s="6">
        <v>12</v>
      </c>
      <c r="I40" s="6">
        <v>4</v>
      </c>
      <c r="J40" s="6">
        <v>42</v>
      </c>
    </row>
    <row r="41" spans="1:10" ht="18.75">
      <c r="A41" s="4">
        <v>40</v>
      </c>
      <c r="B41" s="15" t="s">
        <v>330</v>
      </c>
      <c r="C41" s="4">
        <v>1965</v>
      </c>
      <c r="D41" s="4" t="str">
        <f>=VLOOKUP(B41,[1]在校生综合信息查询!$A$89:$C$156,2,0)</f>
        <v>25q710103342</v>
      </c>
      <c r="E41" s="6">
        <v>16</v>
      </c>
      <c r="F41" s="6">
        <v>16</v>
      </c>
      <c r="G41" s="6">
        <v>23.5</v>
      </c>
      <c r="H41" s="6">
        <v>18</v>
      </c>
      <c r="I41" s="6">
        <v>22</v>
      </c>
      <c r="J41" s="6">
        <v>18</v>
      </c>
    </row>
    <row r="42" spans="1:10" ht="18.75">
      <c r="A42" s="4">
        <v>41</v>
      </c>
      <c r="B42" s="15" t="s">
        <v>332</v>
      </c>
      <c r="C42" s="4">
        <v>1921</v>
      </c>
      <c r="D42" s="4" t="str">
        <f>=VLOOKUP(B42,[1]在校生综合信息查询!$A$89:$C$156,2,0)</f>
        <v>25q710103349</v>
      </c>
      <c r="E42" s="6">
        <v>9</v>
      </c>
      <c r="F42" s="6">
        <v>8</v>
      </c>
      <c r="G42" s="6">
        <v>19.5</v>
      </c>
      <c r="H42" s="6">
        <v>14</v>
      </c>
      <c r="I42" s="6">
        <v>12</v>
      </c>
      <c r="J42" s="6">
        <v>33</v>
      </c>
    </row>
    <row r="43" spans="1:10" ht="18.75">
      <c r="A43" s="4">
        <v>42</v>
      </c>
      <c r="B43" s="15" t="s">
        <v>334</v>
      </c>
      <c r="C43" s="4">
        <v>1924</v>
      </c>
      <c r="D43" s="4" t="str">
        <f>=VLOOKUP(B43,[1]在校生综合信息查询!$A$89:$C$156,2,0)</f>
        <v>25q710103320</v>
      </c>
      <c r="E43" s="6">
        <v>45</v>
      </c>
      <c r="F43" s="6">
        <v>20</v>
      </c>
      <c r="G43" s="6">
        <v>14</v>
      </c>
      <c r="H43" s="6">
        <v>20</v>
      </c>
      <c r="I43" s="6">
        <v>10</v>
      </c>
      <c r="J43" s="6">
        <v>9</v>
      </c>
    </row>
    <row r="44" spans="1:10" ht="18.75">
      <c r="A44" s="4">
        <v>43</v>
      </c>
      <c r="B44" s="15" t="s">
        <v>336</v>
      </c>
      <c r="C44" s="4">
        <v>1912</v>
      </c>
      <c r="D44" s="4" t="str">
        <f>=VLOOKUP(B44,[1]在校生综合信息查询!$A$89:$C$156,2,0)</f>
        <v>25q710201564</v>
      </c>
      <c r="E44" s="6">
        <v>6</v>
      </c>
      <c r="F44" s="6">
        <v>12</v>
      </c>
      <c r="G44" s="6">
        <v>14</v>
      </c>
      <c r="H44" s="6">
        <v>20</v>
      </c>
      <c r="I44" s="6">
        <v>16</v>
      </c>
      <c r="J44" s="6">
        <v>18.5</v>
      </c>
    </row>
    <row r="45" spans="1:10" ht="18.75">
      <c r="A45" s="4">
        <v>44</v>
      </c>
      <c r="B45" s="15" t="s">
        <v>338</v>
      </c>
      <c r="C45" s="4">
        <v>1918</v>
      </c>
      <c r="D45" s="4" t="str">
        <f>=VLOOKUP(B45,[1]在校生综合信息查询!$A$89:$C$156,2,0)</f>
        <v>25q710103323</v>
      </c>
      <c r="E45" s="5" t="s"/>
      <c r="F45" s="5" t="s"/>
      <c r="G45" s="5" t="s"/>
      <c r="H45" s="6">
        <v>0</v>
      </c>
      <c r="I45" s="6">
        <v>0</v>
      </c>
      <c r="J45" s="6">
        <v>0</v>
      </c>
    </row>
    <row r="46" spans="1:10" ht="18.75">
      <c r="A46" s="4">
        <v>45</v>
      </c>
      <c r="B46" s="15" t="s">
        <v>340</v>
      </c>
      <c r="C46" s="4">
        <v>1907</v>
      </c>
      <c r="D46" s="4" t="str">
        <f>=VLOOKUP(B46,[1]在校生综合信息查询!$A$89:$C$156,2,0)</f>
        <v>25q710103343</v>
      </c>
      <c r="E46" s="6">
        <v>0</v>
      </c>
      <c r="F46" s="6">
        <v>24</v>
      </c>
      <c r="G46" s="6">
        <v>26.5</v>
      </c>
      <c r="H46" s="6">
        <v>10</v>
      </c>
      <c r="I46" s="6">
        <v>14</v>
      </c>
      <c r="J46" s="6">
        <v>27</v>
      </c>
    </row>
    <row r="47" spans="1:10" ht="18.75">
      <c r="A47" s="4">
        <v>46</v>
      </c>
      <c r="B47" s="15" t="s">
        <v>342</v>
      </c>
      <c r="C47" s="4">
        <v>1923</v>
      </c>
      <c r="D47" s="4" t="str">
        <f>=VLOOKUP(B47,[1]在校生综合信息查询!$A$89:$C$156,2,0)</f>
        <v>25q710103328</v>
      </c>
      <c r="E47" s="5" t="s"/>
      <c r="F47" s="5" t="s"/>
      <c r="G47" s="5" t="s"/>
      <c r="H47" s="6">
        <v>0</v>
      </c>
      <c r="I47" s="6">
        <v>0</v>
      </c>
      <c r="J47" s="6">
        <v>0</v>
      </c>
    </row>
    <row r="48" spans="1:10" ht="18.75">
      <c r="A48" s="4">
        <v>47</v>
      </c>
      <c r="B48" s="15" t="s">
        <v>344</v>
      </c>
      <c r="C48" s="4">
        <v>1917</v>
      </c>
      <c r="D48" s="4" t="str">
        <f>=VLOOKUP(B48,[1]在校生综合信息查询!$A$89:$C$156,2,0)</f>
        <v>25q710103315</v>
      </c>
      <c r="E48" s="6">
        <v>0</v>
      </c>
      <c r="F48" s="6">
        <v>4</v>
      </c>
      <c r="G48" s="6">
        <v>18.5</v>
      </c>
      <c r="H48" s="6">
        <v>0</v>
      </c>
      <c r="I48" s="6">
        <v>0</v>
      </c>
      <c r="J48" s="6">
        <v>0</v>
      </c>
    </row>
    <row r="49" spans="1:10" ht="18.75">
      <c r="A49" s="4">
        <v>48</v>
      </c>
      <c r="B49" s="15" t="s">
        <v>346</v>
      </c>
      <c r="C49" s="4">
        <v>1957</v>
      </c>
      <c r="D49" s="4" t="str">
        <f>=VLOOKUP(B49,[1]在校生综合信息查询!$A$89:$C$156,2,0)</f>
        <v>25q710103344</v>
      </c>
      <c r="E49" s="6">
        <v>3</v>
      </c>
      <c r="F49" s="6">
        <v>12</v>
      </c>
      <c r="G49" s="6">
        <v>18</v>
      </c>
      <c r="H49" s="6">
        <v>14</v>
      </c>
      <c r="I49" s="6">
        <v>10</v>
      </c>
      <c r="J49" s="6">
        <v>30</v>
      </c>
    </row>
    <row r="50" spans="1:10" ht="18.75">
      <c r="A50" s="4">
        <v>49</v>
      </c>
      <c r="B50" s="15" t="s">
        <v>348</v>
      </c>
      <c r="C50" s="4">
        <v>1913</v>
      </c>
      <c r="D50" s="4" t="str">
        <f>=VLOOKUP(B50,[1]在校生综合信息查询!$A$89:$C$156,2,0)</f>
        <v>25q710103262</v>
      </c>
      <c r="E50" s="6">
        <v>38</v>
      </c>
      <c r="F50" s="6">
        <v>41</v>
      </c>
      <c r="G50" s="6">
        <v>24.5</v>
      </c>
      <c r="H50" s="6">
        <v>30</v>
      </c>
      <c r="I50" s="6">
        <v>18</v>
      </c>
      <c r="J50" s="6">
        <v>37</v>
      </c>
    </row>
    <row r="51" spans="1:10" ht="18.75">
      <c r="A51" s="4">
        <v>50</v>
      </c>
      <c r="B51" s="15" t="s">
        <v>350</v>
      </c>
      <c r="C51" s="4">
        <v>1956</v>
      </c>
      <c r="D51" s="4" t="str">
        <f>=VLOOKUP(B51,[1]在校生综合信息查询!$A$89:$C$156,2,0)</f>
        <v>25q710103309</v>
      </c>
      <c r="E51" s="6">
        <v>7</v>
      </c>
      <c r="F51" s="6">
        <v>8</v>
      </c>
      <c r="G51" s="6">
        <v>22.5</v>
      </c>
      <c r="H51" s="6">
        <v>18</v>
      </c>
      <c r="I51" s="6">
        <v>18</v>
      </c>
      <c r="J51" s="6">
        <v>18</v>
      </c>
    </row>
    <row r="52" spans="1:10" ht="18.75">
      <c r="A52" s="4">
        <v>51</v>
      </c>
      <c r="B52" s="15" t="s">
        <v>352</v>
      </c>
      <c r="C52" s="4">
        <v>1971</v>
      </c>
      <c r="D52" s="4" t="str">
        <f>=VLOOKUP(B52,[1]在校生综合信息查询!$A$89:$C$156,2,0)</f>
        <v>25q710103312</v>
      </c>
      <c r="E52" s="6">
        <v>9</v>
      </c>
      <c r="F52" s="6">
        <v>12</v>
      </c>
      <c r="G52" s="6">
        <v>24</v>
      </c>
      <c r="H52" s="6">
        <v>24</v>
      </c>
      <c r="I52" s="6">
        <v>14</v>
      </c>
      <c r="J52" s="6">
        <v>15</v>
      </c>
    </row>
    <row r="53" spans="1:10" ht="18.75">
      <c r="A53" s="4">
        <v>52</v>
      </c>
      <c r="B53" s="15" t="s">
        <v>354</v>
      </c>
      <c r="C53" s="4">
        <v>1968</v>
      </c>
      <c r="D53" s="4" t="str">
        <f>=VLOOKUP(B53,[1]在校生综合信息查询!$A$89:$C$156,2,0)</f>
        <v>25q710103296</v>
      </c>
      <c r="E53" s="6">
        <v>19</v>
      </c>
      <c r="F53" s="6">
        <v>52</v>
      </c>
      <c r="G53" s="6">
        <v>16.5</v>
      </c>
      <c r="H53" s="6">
        <v>22</v>
      </c>
      <c r="I53" s="6">
        <v>12</v>
      </c>
      <c r="J53" s="6">
        <v>29</v>
      </c>
    </row>
    <row r="54" spans="1:10" ht="18.75">
      <c r="A54" s="4">
        <v>53</v>
      </c>
      <c r="B54" s="15" t="s">
        <v>356</v>
      </c>
      <c r="C54" s="4">
        <v>1945</v>
      </c>
      <c r="D54" s="4" t="str">
        <f>=VLOOKUP(B54,[1]在校生综合信息查询!$A$89:$C$156,2,0)</f>
        <v>25q710103303</v>
      </c>
      <c r="E54" s="6">
        <v>10</v>
      </c>
      <c r="F54" s="6">
        <v>20</v>
      </c>
      <c r="G54" s="6">
        <v>22</v>
      </c>
      <c r="H54" s="6">
        <v>22</v>
      </c>
      <c r="I54" s="6">
        <v>26</v>
      </c>
      <c r="J54" s="6">
        <v>27</v>
      </c>
    </row>
    <row r="55" spans="1:10" ht="18.75">
      <c r="A55" s="4">
        <v>54</v>
      </c>
      <c r="B55" s="15" t="s">
        <v>358</v>
      </c>
      <c r="C55" s="4">
        <v>1962</v>
      </c>
      <c r="D55" s="4" t="str">
        <f>=VLOOKUP(B55,[1]在校生综合信息查询!$A$89:$C$156,2,0)</f>
        <v>25q710103298</v>
      </c>
      <c r="E55" s="6">
        <v>19</v>
      </c>
      <c r="F55" s="6">
        <v>16</v>
      </c>
      <c r="G55" s="6">
        <v>34.5</v>
      </c>
      <c r="H55" s="6">
        <v>26</v>
      </c>
      <c r="I55" s="6">
        <v>24</v>
      </c>
      <c r="J55" s="6">
        <v>27</v>
      </c>
    </row>
    <row r="56" spans="1:10" ht="18.75">
      <c r="A56" s="4">
        <v>55</v>
      </c>
      <c r="B56" s="15" t="s">
        <v>360</v>
      </c>
      <c r="C56" s="4">
        <v>1947</v>
      </c>
      <c r="D56" s="4" t="str">
        <f>=VLOOKUP(B56,[1]在校生综合信息查询!$A$89:$C$156,2,0)</f>
        <v>25q710103311</v>
      </c>
      <c r="E56" s="6">
        <v>6</v>
      </c>
      <c r="F56" s="6">
        <v>4</v>
      </c>
      <c r="G56" s="6">
        <v>21.5</v>
      </c>
      <c r="H56" s="6">
        <v>16</v>
      </c>
      <c r="I56" s="6">
        <v>24</v>
      </c>
      <c r="J56" s="6">
        <v>27</v>
      </c>
    </row>
    <row r="57" spans="1:10" ht="18.75">
      <c r="A57" s="4">
        <v>56</v>
      </c>
      <c r="B57" s="15" t="s">
        <v>362</v>
      </c>
      <c r="C57" s="4">
        <v>1911</v>
      </c>
      <c r="D57" s="4" t="str">
        <f>=VLOOKUP(B57,[1]在校生综合信息查询!$A$89:$C$156,2,0)</f>
        <v>25q710103302</v>
      </c>
      <c r="E57" s="6">
        <v>49</v>
      </c>
      <c r="F57" s="6">
        <v>32</v>
      </c>
      <c r="G57" s="6">
        <v>26.5</v>
      </c>
      <c r="H57" s="6">
        <v>14</v>
      </c>
      <c r="I57" s="6">
        <v>12</v>
      </c>
      <c r="J57" s="6">
        <v>38</v>
      </c>
    </row>
    <row r="58" spans="1:10" ht="18.75">
      <c r="A58" s="4">
        <v>57</v>
      </c>
      <c r="B58" s="15" t="s">
        <v>364</v>
      </c>
      <c r="C58" s="4">
        <v>1919</v>
      </c>
      <c r="D58" s="4" t="str">
        <f>=VLOOKUP(B58,[1]在校生综合信息查询!$A$89:$C$156,2,0)</f>
        <v>25q770303018</v>
      </c>
      <c r="E58" s="6">
        <v>11</v>
      </c>
      <c r="F58" s="6">
        <v>8</v>
      </c>
      <c r="G58" s="6">
        <v>23.5</v>
      </c>
      <c r="H58" s="6">
        <v>14</v>
      </c>
      <c r="I58" s="6">
        <v>14</v>
      </c>
      <c r="J58" s="6">
        <v>31</v>
      </c>
    </row>
    <row r="59" spans="1:10" ht="18.75">
      <c r="A59" s="4">
        <v>58</v>
      </c>
      <c r="B59" s="15" t="s">
        <v>366</v>
      </c>
      <c r="C59" s="4">
        <v>1964</v>
      </c>
      <c r="D59" s="4" t="str">
        <f>=VLOOKUP(B59,[1]在校生综合信息查询!$A$89:$C$156,2,0)</f>
        <v>25q710103297</v>
      </c>
      <c r="E59" s="6">
        <v>65</v>
      </c>
      <c r="F59" s="6">
        <v>16</v>
      </c>
      <c r="G59" s="6">
        <v>21</v>
      </c>
      <c r="H59" s="6">
        <v>21</v>
      </c>
      <c r="I59" s="6">
        <v>13</v>
      </c>
      <c r="J59" s="6">
        <v>37.5</v>
      </c>
    </row>
    <row r="60" spans="1:10" ht="18.75">
      <c r="A60" s="4">
        <v>59</v>
      </c>
      <c r="B60" s="15" t="s">
        <v>368</v>
      </c>
      <c r="C60" s="4">
        <v>1936</v>
      </c>
      <c r="D60" s="4" t="str">
        <f>=VLOOKUP(B60,[1]在校生综合信息查询!$A$89:$C$156,2,0)</f>
        <v>25q710103322</v>
      </c>
      <c r="E60" s="6">
        <v>70</v>
      </c>
      <c r="F60" s="6">
        <v>42</v>
      </c>
      <c r="G60" s="6">
        <v>22</v>
      </c>
      <c r="H60" s="6">
        <v>18</v>
      </c>
      <c r="I60" s="6">
        <v>18</v>
      </c>
      <c r="J60" s="6">
        <v>32</v>
      </c>
    </row>
    <row r="61" spans="1:10" ht="18.75">
      <c r="A61" s="4">
        <v>60</v>
      </c>
      <c r="B61" s="15" t="s">
        <v>370</v>
      </c>
      <c r="C61" s="4">
        <v>1908</v>
      </c>
      <c r="D61" s="4" t="str">
        <f>=VLOOKUP(B61,[1]在校生综合信息查询!$A$89:$C$156,2,0)</f>
        <v>25q710103282</v>
      </c>
      <c r="E61" s="6">
        <v>9</v>
      </c>
      <c r="F61" s="6">
        <v>16</v>
      </c>
      <c r="G61" s="6">
        <v>18</v>
      </c>
      <c r="H61" s="6">
        <v>18</v>
      </c>
      <c r="I61" s="6">
        <v>12</v>
      </c>
      <c r="J61" s="6">
        <v>25</v>
      </c>
    </row>
    <row r="62" spans="1:10" ht="18.75">
      <c r="A62" s="4">
        <v>61</v>
      </c>
      <c r="B62" s="4" t="s">
        <v>372</v>
      </c>
      <c r="C62" s="4">
        <v>1939</v>
      </c>
      <c r="D62" s="4" t="str">
        <f>=VLOOKUP(B62,[1]在校生综合信息查询!$A$89:$C$156,2,0)</f>
        <v>25q710103276</v>
      </c>
      <c r="E62" s="6">
        <v>50</v>
      </c>
      <c r="F62" s="6">
        <v>20</v>
      </c>
      <c r="G62" s="6">
        <v>15.5</v>
      </c>
      <c r="H62" s="6">
        <v>24</v>
      </c>
      <c r="I62" s="6">
        <v>18</v>
      </c>
      <c r="J62" s="6">
        <v>36</v>
      </c>
    </row>
    <row r="63" spans="1:10" ht="18.75">
      <c r="A63" s="4">
        <v>62</v>
      </c>
      <c r="B63" s="4" t="s">
        <v>374</v>
      </c>
      <c r="C63" s="4" t="s"/>
      <c r="D63" s="4" t="str">
        <f>=VLOOKUP(B63,[1]在校生综合信息查询!$A$89:$C$156,2,0)</f>
        <v>25q710103335</v>
      </c>
      <c r="E63" s="5" t="s"/>
      <c r="F63" s="5" t="s"/>
      <c r="G63" s="5" t="s"/>
      <c r="H63" s="5" t="s"/>
      <c r="I63" s="5" t="s"/>
      <c r="J63" s="5" t="s"/>
    </row>
    <row r="64" spans="1:10" ht="18.75">
      <c r="A64" s="4">
        <v>63</v>
      </c>
      <c r="B64" s="4" t="s">
        <v>376</v>
      </c>
      <c r="C64" s="4" t="s"/>
      <c r="D64" s="4" t="e">
        <f>=VLOOKUP(B64,[1]在校生综合信息查询!$A$89:$C$156,2,0)</f>
        <v>#N/A</v>
      </c>
      <c r="E64" s="5" t="s"/>
      <c r="F64" s="5" t="s"/>
      <c r="G64" s="5" t="s"/>
      <c r="H64" s="5" t="s"/>
      <c r="I64" s="5" t="s"/>
      <c r="J64" s="5" t="s"/>
    </row>
    <row r="65" spans="1:10" ht="18.75">
      <c r="A65" s="4">
        <v>64</v>
      </c>
      <c r="B65" s="4" t="s">
        <v>377</v>
      </c>
      <c r="C65" s="4" t="s"/>
      <c r="D65" s="4" t="str">
        <f>=VLOOKUP(B65,[1]在校生综合信息查询!$A$89:$C$156,2,0)</f>
        <v>25q710103337</v>
      </c>
      <c r="E65" s="6">
        <v>6</v>
      </c>
      <c r="F65" s="6">
        <v>20</v>
      </c>
      <c r="G65" s="6">
        <v>19.5</v>
      </c>
      <c r="H65" s="6">
        <v>4</v>
      </c>
      <c r="I65" s="6">
        <v>22</v>
      </c>
      <c r="J65" s="6">
        <v>33</v>
      </c>
    </row>
    <row r="66" spans="1:10" ht="18.75">
      <c r="A66" s="4">
        <v>65</v>
      </c>
      <c r="B66" s="4" t="s">
        <v>379</v>
      </c>
      <c r="C66" s="4" t="s"/>
      <c r="D66" s="4" t="str">
        <f>=VLOOKUP(B66,[1]在校生综合信息查询!$A$89:$C$156,2,0)</f>
        <v>25q710103348</v>
      </c>
      <c r="E66" s="6">
        <v>3</v>
      </c>
      <c r="F66" s="6">
        <v>24</v>
      </c>
      <c r="G66" s="6">
        <v>24</v>
      </c>
      <c r="H66" s="6">
        <v>20</v>
      </c>
      <c r="I66" s="6">
        <v>16</v>
      </c>
      <c r="J66" s="6">
        <v>15</v>
      </c>
    </row>
    <row r="67" spans="1:10" ht="18.75">
      <c r="A67" s="4">
        <v>66</v>
      </c>
      <c r="B67" s="4" t="s">
        <v>381</v>
      </c>
      <c r="C67" s="4" t="s"/>
      <c r="D67" s="4" t="str">
        <f>=VLOOKUP(B67,[1]在校生综合信息查询!$A$89:$C$156,2,0)</f>
        <v>25q710103306</v>
      </c>
      <c r="E67" s="5" t="s"/>
      <c r="F67" s="5" t="s"/>
      <c r="G67" s="5" t="s"/>
      <c r="H67" s="6">
        <v>0</v>
      </c>
      <c r="I67" s="6">
        <v>0</v>
      </c>
      <c r="J67" s="6">
        <v>0</v>
      </c>
    </row>
    <row r="68" spans="1:10" ht="18.75">
      <c r="A68" s="4">
        <v>67</v>
      </c>
      <c r="B68" s="4" t="s">
        <v>383</v>
      </c>
      <c r="C68" s="4" t="s"/>
      <c r="D68" s="4" t="str">
        <f>=VLOOKUP(B68,[1]在校生综合信息查询!$A$89:$C$156,2,0)</f>
        <v>25q770303005</v>
      </c>
      <c r="E68" s="6">
        <v>3</v>
      </c>
      <c r="F68" s="6">
        <v>12</v>
      </c>
      <c r="G68" s="6">
        <v>25.5</v>
      </c>
      <c r="H68" s="6">
        <v>26</v>
      </c>
      <c r="I68" s="6">
        <v>24</v>
      </c>
      <c r="J68" s="6">
        <v>27</v>
      </c>
    </row>
    <row r="69" spans="1:10" ht="18.75">
      <c r="A69" s="4">
        <v>68</v>
      </c>
      <c r="B69" s="4" t="s">
        <v>385</v>
      </c>
      <c r="C69" s="4" t="s"/>
      <c r="D69" s="4" t="str">
        <f>=VLOOKUP(B69,[1]在校生综合信息查询!$A$89:$C$156,2,0)</f>
        <v>25q710103325</v>
      </c>
      <c r="E69" s="6">
        <v>56</v>
      </c>
      <c r="F69" s="6">
        <v>16</v>
      </c>
      <c r="G69" s="6">
        <v>18</v>
      </c>
      <c r="H69" s="6">
        <v>18</v>
      </c>
      <c r="I69" s="6">
        <v>12</v>
      </c>
      <c r="J69" s="6">
        <v>22</v>
      </c>
    </row>
    <row r="70" spans="1:10" ht="18.75">
      <c r="A70" s="4">
        <v>69</v>
      </c>
      <c r="B70" s="4" t="s">
        <v>387</v>
      </c>
      <c r="C70" s="4" t="s"/>
      <c r="D70" s="4" t="str">
        <f>=VLOOKUP(B70,[1]在校生综合信息查询!$A$89:$C$156,2,0)</f>
        <v>25q710103305</v>
      </c>
      <c r="E70" s="6">
        <v>26</v>
      </c>
      <c r="F70" s="6">
        <v>16</v>
      </c>
      <c r="G70" s="6">
        <v>7</v>
      </c>
      <c r="H70" s="6">
        <v>22</v>
      </c>
      <c r="I70" s="6">
        <v>16</v>
      </c>
      <c r="J70" s="6">
        <v>15</v>
      </c>
    </row>
    <row r="71" spans="1:10" ht="18.75">
      <c r="A71" s="4">
        <v>70</v>
      </c>
      <c r="B71" s="4" t="s">
        <v>389</v>
      </c>
      <c r="C71" s="4" t="s"/>
      <c r="D71" s="4" t="str">
        <f>=VLOOKUP(B71,[1]在校生综合信息查询!$A$89:$C$156,2,0)</f>
        <v>25q710103329</v>
      </c>
      <c r="E71" s="5" t="s"/>
      <c r="F71" s="5" t="s"/>
      <c r="G71" s="5" t="s"/>
      <c r="H71" s="6">
        <v>0</v>
      </c>
      <c r="I71" s="6">
        <v>0</v>
      </c>
      <c r="J71" s="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/>
  <dimension ref="L66"/>
  <sheetViews>
    <sheetView showGridLines="1" topLeftCell="A52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8" max="8" width="30.25" customWidth="1"/>
    <col min="9" max="9" width="30" customWidth="1"/>
    <col min="10" max="10" width="21.37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143</v>
      </c>
      <c r="I1" s="5" t="s">
        <v>144</v>
      </c>
      <c r="J1" s="5" t="s">
        <v>145</v>
      </c>
      <c r="K1" s="5" t="s">
        <v>11</v>
      </c>
      <c r="L1" s="19" t="s">
        <v>12</v>
      </c>
    </row>
    <row r="2" spans="1:12" ht="18.75">
      <c r="A2" s="4">
        <v>1</v>
      </c>
      <c r="B2" s="4" t="s">
        <v>391</v>
      </c>
      <c r="C2" s="4">
        <v>1269</v>
      </c>
      <c r="D2" s="4" t="str">
        <f>=VLOOKUP(B2,[1]在校生综合信息查询!$A$157:$C$222,2,0)</f>
        <v>25q710103175</v>
      </c>
      <c r="E2" s="6">
        <v>6</v>
      </c>
      <c r="F2" s="6">
        <v>0</v>
      </c>
      <c r="G2" s="6">
        <v>18.5</v>
      </c>
      <c r="H2" s="20">
        <v>0</v>
      </c>
      <c r="I2" s="20">
        <v>0</v>
      </c>
      <c r="J2" s="20">
        <v>0</v>
      </c>
      <c r="K2" s="21">
        <f>=SUM(E2:J2)</f>
        <v>24.5</v>
      </c>
      <c r="L2" s="22">
        <f>=RANK(K2,$K$2:K$66)</f>
        <v>51</v>
      </c>
    </row>
    <row r="3" spans="1:12" ht="18.75">
      <c r="A3" s="4">
        <v>2</v>
      </c>
      <c r="B3" s="4" t="s">
        <v>393</v>
      </c>
      <c r="C3" s="4">
        <v>1277</v>
      </c>
      <c r="D3" s="4" t="str">
        <f>=VLOOKUP(B3,[1]在校生综合信息查询!$A$157:$C$222,2,0)</f>
        <v>25q710103189</v>
      </c>
      <c r="E3" s="6">
        <v>0</v>
      </c>
      <c r="F3" s="6">
        <v>0</v>
      </c>
      <c r="G3" s="6">
        <v>24</v>
      </c>
      <c r="H3" s="6">
        <v>14</v>
      </c>
      <c r="I3" s="6">
        <v>12</v>
      </c>
      <c r="J3" s="6">
        <v>18</v>
      </c>
      <c r="K3" s="21">
        <f>=SUM(E3:J3)</f>
        <v>68</v>
      </c>
      <c r="L3" s="22">
        <f>=RANK(K3,$K$2:K$66)</f>
        <v>49</v>
      </c>
    </row>
    <row r="4" spans="1:12" ht="18.75">
      <c r="A4" s="4">
        <v>3</v>
      </c>
      <c r="B4" s="4" t="s">
        <v>395</v>
      </c>
      <c r="C4" s="4">
        <v>1276</v>
      </c>
      <c r="D4" s="4" t="str">
        <f>=VLOOKUP(B4,[1]在校生综合信息查询!$A$157:$C$222,2,0)</f>
        <v>25q710103188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21">
        <f>=SUM(E4:J4)</f>
        <v>0</v>
      </c>
      <c r="L4" s="22">
        <f>=RANK(K4,$K$2:K$66)</f>
        <v>56</v>
      </c>
    </row>
    <row r="5" spans="1:12" ht="18.75">
      <c r="A5" s="4">
        <v>4</v>
      </c>
      <c r="B5" s="4" t="s">
        <v>397</v>
      </c>
      <c r="C5" s="4">
        <v>1284</v>
      </c>
      <c r="D5" s="4" t="str">
        <f>=VLOOKUP(B5,[1]在校生综合信息查询!$A$157:$C$222,2,0)</f>
        <v>25q710103197</v>
      </c>
      <c r="E5" s="6">
        <v>16</v>
      </c>
      <c r="F5" s="6">
        <v>16</v>
      </c>
      <c r="G5" s="6">
        <v>22</v>
      </c>
      <c r="H5" s="6">
        <v>0</v>
      </c>
      <c r="I5" s="6">
        <v>20</v>
      </c>
      <c r="J5" s="6">
        <v>37</v>
      </c>
      <c r="K5" s="21">
        <f>=SUM(E5:J5)</f>
        <v>111</v>
      </c>
      <c r="L5" s="22">
        <f>=RANK(K5,$K$2:K$66)</f>
        <v>26</v>
      </c>
    </row>
    <row r="6" spans="1:12" ht="18.75">
      <c r="A6" s="4">
        <v>5</v>
      </c>
      <c r="B6" s="4" t="s">
        <v>399</v>
      </c>
      <c r="C6" s="4">
        <v>1310</v>
      </c>
      <c r="D6" s="4" t="str">
        <f>=VLOOKUP(B6,[1]在校生综合信息查询!$A$157:$C$222,2,0)</f>
        <v>25q710103290</v>
      </c>
      <c r="E6" s="6">
        <v>57</v>
      </c>
      <c r="F6" s="6">
        <v>12</v>
      </c>
      <c r="G6" s="6">
        <v>0</v>
      </c>
      <c r="H6" s="6">
        <v>0</v>
      </c>
      <c r="I6" s="6">
        <v>0</v>
      </c>
      <c r="J6" s="6">
        <v>0</v>
      </c>
      <c r="K6" s="21">
        <f>=SUM(E6:J6)</f>
        <v>69</v>
      </c>
      <c r="L6" s="22">
        <f>=RANK(K6,$K$2:K$66)</f>
        <v>48</v>
      </c>
    </row>
    <row r="7" spans="1:12" ht="18.75">
      <c r="A7" s="4">
        <v>6</v>
      </c>
      <c r="B7" s="4" t="s">
        <v>401</v>
      </c>
      <c r="C7" s="4">
        <v>1303</v>
      </c>
      <c r="D7" s="4" t="str">
        <f>=VLOOKUP(B7,[1]在校生综合信息查询!$A$157:$C$222,2,0)</f>
        <v>25q710103185</v>
      </c>
      <c r="E7" s="6">
        <v>0</v>
      </c>
      <c r="F7" s="6">
        <v>0</v>
      </c>
      <c r="G7" s="6">
        <v>15.5</v>
      </c>
      <c r="H7" s="6">
        <v>0</v>
      </c>
      <c r="I7" s="6">
        <v>0</v>
      </c>
      <c r="J7" s="6">
        <v>0</v>
      </c>
      <c r="K7" s="21">
        <f>=SUM(E7:J7)</f>
        <v>15.5</v>
      </c>
      <c r="L7" s="22">
        <f>=RANK(K7,$K$2:K$66)</f>
        <v>53</v>
      </c>
    </row>
    <row r="8" spans="1:12" ht="18.75">
      <c r="A8" s="4">
        <v>7</v>
      </c>
      <c r="B8" s="4" t="s">
        <v>403</v>
      </c>
      <c r="C8" s="4">
        <v>1319</v>
      </c>
      <c r="D8" s="4" t="str">
        <f>=VLOOKUP(B8,[1]在校生综合信息查询!$A$157:$C$222,2,0)</f>
        <v>25q710103281</v>
      </c>
      <c r="E8" s="6">
        <v>47</v>
      </c>
      <c r="F8" s="6">
        <v>37</v>
      </c>
      <c r="G8" s="6">
        <v>14.5</v>
      </c>
      <c r="H8" s="6">
        <v>34</v>
      </c>
      <c r="I8" s="6">
        <v>16</v>
      </c>
      <c r="J8" s="6">
        <v>29</v>
      </c>
      <c r="K8" s="21">
        <f>=SUM(E8:J8)</f>
        <v>177.5</v>
      </c>
      <c r="L8" s="22">
        <f>=RANK(K8,$K$2:K$66)</f>
        <v>7</v>
      </c>
    </row>
    <row r="9" spans="1:12" ht="18.75">
      <c r="A9" s="4">
        <v>8</v>
      </c>
      <c r="B9" s="4" t="s">
        <v>405</v>
      </c>
      <c r="C9" s="4">
        <v>1321</v>
      </c>
      <c r="D9" s="4" t="e">
        <f>=VLOOKUP(B9,[1]在校生综合信息查询!$A$157:$C$222,2,0)</f>
        <v>#N/A</v>
      </c>
      <c r="E9" s="6">
        <v>3</v>
      </c>
      <c r="F9" s="6">
        <v>29</v>
      </c>
      <c r="G9" s="6">
        <v>21.5</v>
      </c>
      <c r="H9" s="6">
        <v>20</v>
      </c>
      <c r="I9" s="6">
        <v>18</v>
      </c>
      <c r="J9" s="6">
        <v>21</v>
      </c>
      <c r="K9" s="21">
        <f>=SUM(E9:J9)</f>
        <v>112.5</v>
      </c>
      <c r="L9" s="22">
        <f>=RANK(K9,$K$2:K$66)</f>
        <v>25</v>
      </c>
    </row>
    <row r="10" spans="1:12" ht="18.75">
      <c r="A10" s="4">
        <v>9</v>
      </c>
      <c r="B10" s="4" t="s">
        <v>406</v>
      </c>
      <c r="C10" s="4">
        <v>1264</v>
      </c>
      <c r="D10" s="4" t="str">
        <f>=VLOOKUP(B10,[1]在校生综合信息查询!$A$157:$C$222,2,0)</f>
        <v>25q710103170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21">
        <f>=SUM(E10:J10)</f>
        <v>0</v>
      </c>
      <c r="L10" s="22">
        <f>=RANK(K10,$K$2:K$66)</f>
        <v>56</v>
      </c>
    </row>
    <row r="11" spans="1:12" ht="18.75">
      <c r="A11" s="4">
        <v>10</v>
      </c>
      <c r="B11" s="4" t="s">
        <v>408</v>
      </c>
      <c r="C11" s="4">
        <v>1294</v>
      </c>
      <c r="D11" s="4" t="str">
        <f>=VLOOKUP(B11,[1]在校生综合信息查询!$A$157:$C$222,2,0)</f>
        <v>25q710103211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21">
        <f>=SUM(E11:J11)</f>
        <v>0</v>
      </c>
      <c r="L11" s="22">
        <f>=RANK(K11,$K$2:K$66)</f>
        <v>56</v>
      </c>
    </row>
    <row r="12" spans="1:12" ht="18.75">
      <c r="A12" s="4">
        <v>11</v>
      </c>
      <c r="B12" s="4" t="s">
        <v>410</v>
      </c>
      <c r="C12" s="4">
        <v>1262</v>
      </c>
      <c r="D12" s="4" t="str">
        <f>=VLOOKUP(B12,[1]在校生综合信息查询!$A$157:$C$222,2,0)</f>
        <v>25q710103168</v>
      </c>
      <c r="E12" s="6">
        <v>17</v>
      </c>
      <c r="F12" s="6">
        <v>20</v>
      </c>
      <c r="G12" s="6">
        <v>17</v>
      </c>
      <c r="H12" s="6">
        <v>18</v>
      </c>
      <c r="I12" s="6">
        <v>16</v>
      </c>
      <c r="J12" s="6">
        <v>43</v>
      </c>
      <c r="K12" s="21">
        <f>=SUM(E12:J12)</f>
        <v>131</v>
      </c>
      <c r="L12" s="22">
        <f>=RANK(K12,$K$2:K$66)</f>
        <v>19</v>
      </c>
    </row>
    <row r="13" spans="1:12" ht="18.75">
      <c r="A13" s="4">
        <v>12</v>
      </c>
      <c r="B13" s="4" t="s">
        <v>412</v>
      </c>
      <c r="C13" s="4">
        <v>1271</v>
      </c>
      <c r="D13" s="4" t="str">
        <f>=VLOOKUP(B13,[1]在校生综合信息查询!$A$157:$C$222,2,0)</f>
        <v>25q710103180</v>
      </c>
      <c r="E13" s="6">
        <v>6</v>
      </c>
      <c r="F13" s="6">
        <v>20</v>
      </c>
      <c r="G13" s="6">
        <v>18</v>
      </c>
      <c r="H13" s="6">
        <v>16</v>
      </c>
      <c r="I13" s="6">
        <v>16</v>
      </c>
      <c r="J13" s="6">
        <v>33</v>
      </c>
      <c r="K13" s="21">
        <f>=SUM(E13:J13)</f>
        <v>109</v>
      </c>
      <c r="L13" s="22">
        <f>=RANK(K13,$K$2:K$66)</f>
        <v>28</v>
      </c>
    </row>
    <row r="14" spans="1:12" ht="18.75">
      <c r="A14" s="4">
        <v>13</v>
      </c>
      <c r="B14" s="4" t="s">
        <v>414</v>
      </c>
      <c r="C14" s="4">
        <v>1308</v>
      </c>
      <c r="D14" s="4" t="str">
        <f>=VLOOKUP(B14,[1]在校生综合信息查询!$A$157:$C$222,2,0)</f>
        <v>25q710103356</v>
      </c>
      <c r="E14" s="6">
        <v>0</v>
      </c>
      <c r="F14" s="6">
        <v>20</v>
      </c>
      <c r="G14" s="6">
        <v>0</v>
      </c>
      <c r="H14" s="6">
        <v>18</v>
      </c>
      <c r="I14" s="6">
        <v>24</v>
      </c>
      <c r="J14" s="6">
        <v>18</v>
      </c>
      <c r="K14" s="21">
        <f>=SUM(E14:J14)</f>
        <v>80</v>
      </c>
      <c r="L14" s="22">
        <f>=RANK(K14,$K$2:K$66)</f>
        <v>44</v>
      </c>
    </row>
    <row r="15" spans="1:12" ht="18.75">
      <c r="A15" s="4">
        <v>14</v>
      </c>
      <c r="B15" s="4" t="s">
        <v>416</v>
      </c>
      <c r="C15" s="4">
        <v>1265</v>
      </c>
      <c r="D15" s="4" t="str">
        <f>=VLOOKUP(B15,[1]在校生综合信息查询!$A$157:$C$222,2,0)</f>
        <v>25q710103171</v>
      </c>
      <c r="E15" s="6">
        <v>38</v>
      </c>
      <c r="F15" s="6">
        <v>28</v>
      </c>
      <c r="G15" s="6">
        <v>20</v>
      </c>
      <c r="H15" s="6">
        <v>24</v>
      </c>
      <c r="I15" s="6">
        <v>10</v>
      </c>
      <c r="J15" s="6">
        <v>32</v>
      </c>
      <c r="K15" s="21">
        <f>=SUM(E15:J15)</f>
        <v>152</v>
      </c>
      <c r="L15" s="22">
        <f>=RANK(K15,$K$2:K$66)</f>
        <v>11</v>
      </c>
    </row>
    <row r="16" spans="1:12" ht="18.75">
      <c r="A16" s="4">
        <v>15</v>
      </c>
      <c r="B16" s="4" t="s">
        <v>418</v>
      </c>
      <c r="C16" s="4">
        <v>1272</v>
      </c>
      <c r="D16" s="4" t="str">
        <f>=VLOOKUP(B16,[1]在校生综合信息查询!$A$157:$C$222,2,0)</f>
        <v>25q710103181</v>
      </c>
      <c r="E16" s="6">
        <v>6</v>
      </c>
      <c r="F16" s="6">
        <v>17</v>
      </c>
      <c r="G16" s="6">
        <v>17</v>
      </c>
      <c r="H16" s="6">
        <v>24</v>
      </c>
      <c r="I16" s="6">
        <v>8</v>
      </c>
      <c r="J16" s="6">
        <v>50</v>
      </c>
      <c r="K16" s="21">
        <f>=SUM(E16:J16)</f>
        <v>122</v>
      </c>
      <c r="L16" s="22">
        <f>=RANK(K16,$K$2:K$66)</f>
        <v>21</v>
      </c>
    </row>
    <row r="17" spans="1:12" ht="18.75">
      <c r="A17" s="4">
        <v>16</v>
      </c>
      <c r="B17" s="4" t="s">
        <v>420</v>
      </c>
      <c r="C17" s="4">
        <v>1267</v>
      </c>
      <c r="D17" s="4" t="str">
        <f>=VLOOKUP(B17,[1]在校生综合信息查询!$A$157:$C$222,2,0)</f>
        <v>25q710103173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21">
        <f>=SUM(E17:J17)</f>
        <v>0</v>
      </c>
      <c r="L17" s="22">
        <f>=RANK(K17,$K$2:K$66)</f>
        <v>56</v>
      </c>
    </row>
    <row r="18" spans="1:12" ht="18.75">
      <c r="A18" s="4">
        <v>17</v>
      </c>
      <c r="B18" s="4" t="s">
        <v>422</v>
      </c>
      <c r="C18" s="4">
        <v>1286</v>
      </c>
      <c r="D18" s="4" t="str">
        <f>=VLOOKUP(B18,[1]在校生综合信息查询!$A$157:$C$222,2,0)</f>
        <v>25q710103199</v>
      </c>
      <c r="E18" s="6">
        <v>28</v>
      </c>
      <c r="F18" s="6">
        <v>20</v>
      </c>
      <c r="G18" s="6">
        <v>17</v>
      </c>
      <c r="H18" s="6">
        <v>32</v>
      </c>
      <c r="I18" s="6">
        <v>16</v>
      </c>
      <c r="J18" s="6">
        <v>37</v>
      </c>
      <c r="K18" s="21">
        <f>=SUM(E18:J18)</f>
        <v>150</v>
      </c>
      <c r="L18" s="22">
        <f>=RANK(K18,$K$2:K$66)</f>
        <v>13</v>
      </c>
    </row>
    <row r="19" spans="1:12" ht="18.75">
      <c r="A19" s="4">
        <v>18</v>
      </c>
      <c r="B19" s="4" t="s">
        <v>424</v>
      </c>
      <c r="C19" s="4">
        <v>1291</v>
      </c>
      <c r="D19" s="4" t="str">
        <f>=VLOOKUP(B19,[1]在校生综合信息查询!$A$157:$C$222,2,0)</f>
        <v>25q710103207</v>
      </c>
      <c r="E19" s="6">
        <v>9</v>
      </c>
      <c r="F19" s="6">
        <v>20</v>
      </c>
      <c r="G19" s="6">
        <v>17.5</v>
      </c>
      <c r="H19" s="6">
        <v>20</v>
      </c>
      <c r="I19" s="6">
        <v>20</v>
      </c>
      <c r="J19" s="6">
        <v>24</v>
      </c>
      <c r="K19" s="21">
        <f>=SUM(E19:J19)</f>
        <v>110.5</v>
      </c>
      <c r="L19" s="22">
        <f>=RANK(K19,$K$2:K$66)</f>
        <v>27</v>
      </c>
    </row>
    <row r="20" spans="1:12" ht="18.75">
      <c r="A20" s="4">
        <v>19</v>
      </c>
      <c r="B20" s="4" t="s">
        <v>426</v>
      </c>
      <c r="C20" s="4">
        <v>1293</v>
      </c>
      <c r="D20" s="4" t="str">
        <f>=VLOOKUP(B20,[1]在校生综合信息查询!$A$157:$C$222,2,0)</f>
        <v>25q710103209</v>
      </c>
      <c r="E20" s="6">
        <v>18</v>
      </c>
      <c r="F20" s="6">
        <v>12</v>
      </c>
      <c r="G20" s="6">
        <v>23</v>
      </c>
      <c r="H20" s="6">
        <v>20</v>
      </c>
      <c r="I20" s="6">
        <v>18</v>
      </c>
      <c r="J20" s="6">
        <v>9</v>
      </c>
      <c r="K20" s="21">
        <f>=SUM(E20:J20)</f>
        <v>100</v>
      </c>
      <c r="L20" s="22">
        <f>=RANK(K20,$K$2:K$66)</f>
        <v>33</v>
      </c>
    </row>
    <row r="21" spans="1:12" ht="18.75">
      <c r="A21" s="4">
        <v>20</v>
      </c>
      <c r="B21" s="4" t="s">
        <v>428</v>
      </c>
      <c r="C21" s="4">
        <v>1301</v>
      </c>
      <c r="D21" s="4" t="str">
        <f>=VLOOKUP(B21,[1]在校生综合信息查询!$A$157:$C$222,2,0)</f>
        <v>25q710103221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21">
        <f>=SUM(E21:J21)</f>
        <v>0</v>
      </c>
      <c r="L21" s="22">
        <f>=RANK(K21,$K$2:K$66)</f>
        <v>56</v>
      </c>
    </row>
    <row r="22" spans="1:12" ht="18.75">
      <c r="A22" s="4">
        <v>21</v>
      </c>
      <c r="B22" s="4" t="s">
        <v>430</v>
      </c>
      <c r="C22" s="4">
        <v>1305</v>
      </c>
      <c r="D22" s="4" t="str">
        <f>=VLOOKUP(B22,[1]在校生综合信息查询!$A$157:$C$222,2,0)</f>
        <v>25q710103210</v>
      </c>
      <c r="E22" s="6">
        <v>47</v>
      </c>
      <c r="F22" s="6">
        <v>12</v>
      </c>
      <c r="G22" s="6">
        <v>17</v>
      </c>
      <c r="H22" s="6">
        <v>20</v>
      </c>
      <c r="I22" s="6">
        <v>12</v>
      </c>
      <c r="J22" s="6">
        <v>31</v>
      </c>
      <c r="K22" s="21">
        <f>=SUM(E22:J22)</f>
        <v>139</v>
      </c>
      <c r="L22" s="22">
        <f>=RANK(K22,$K$2:K$66)</f>
        <v>16</v>
      </c>
    </row>
    <row r="23" spans="1:12" ht="18.75">
      <c r="A23" s="4">
        <v>22</v>
      </c>
      <c r="B23" s="4" t="s">
        <v>432</v>
      </c>
      <c r="C23" s="4">
        <v>1295</v>
      </c>
      <c r="D23" s="4" t="str">
        <f>=VLOOKUP(B23,[1]在校生综合信息查询!$A$157:$C$222,2,0)</f>
        <v>25q710103212</v>
      </c>
      <c r="E23" s="6">
        <v>15</v>
      </c>
      <c r="F23" s="6">
        <v>12</v>
      </c>
      <c r="G23" s="6">
        <v>23</v>
      </c>
      <c r="H23" s="6">
        <v>24</v>
      </c>
      <c r="I23" s="6">
        <v>14</v>
      </c>
      <c r="J23" s="6">
        <v>12</v>
      </c>
      <c r="K23" s="21">
        <f>=SUM(E23:J23)</f>
        <v>100</v>
      </c>
      <c r="L23" s="22">
        <f>=RANK(K23,$K$2:K$66)</f>
        <v>33</v>
      </c>
    </row>
    <row r="24" spans="1:12" ht="18.75">
      <c r="A24" s="4">
        <v>23</v>
      </c>
      <c r="B24" s="4" t="s">
        <v>434</v>
      </c>
      <c r="C24" s="4">
        <v>1292</v>
      </c>
      <c r="D24" s="4" t="str">
        <f>=VLOOKUP(B24,[1]在校生综合信息查询!$A$157:$C$222,2,0)</f>
        <v>25q710103208</v>
      </c>
      <c r="E24" s="6">
        <v>81</v>
      </c>
      <c r="F24" s="6">
        <v>12</v>
      </c>
      <c r="G24" s="6">
        <v>40</v>
      </c>
      <c r="H24" s="6">
        <v>32</v>
      </c>
      <c r="I24" s="6">
        <v>14</v>
      </c>
      <c r="J24" s="6">
        <v>45</v>
      </c>
      <c r="K24" s="21">
        <f>=SUM(E24:J24)</f>
        <v>224</v>
      </c>
      <c r="L24" s="22">
        <f>=RANK(K24,$K$2:K$66)</f>
        <v>4</v>
      </c>
    </row>
    <row r="25" spans="1:12" ht="18.75">
      <c r="A25" s="4">
        <v>24</v>
      </c>
      <c r="B25" s="4" t="s">
        <v>436</v>
      </c>
      <c r="C25" s="4">
        <v>1323</v>
      </c>
      <c r="D25" s="4" t="e">
        <f>=VLOOKUP(B25,[1]在校生综合信息查询!$A$157:$C$222,2,0)</f>
        <v>#N/A</v>
      </c>
      <c r="E25" s="6">
        <v>9</v>
      </c>
      <c r="F25" s="6">
        <v>24</v>
      </c>
      <c r="G25" s="6">
        <v>0</v>
      </c>
      <c r="H25" s="6">
        <v>14</v>
      </c>
      <c r="I25" s="6">
        <v>16</v>
      </c>
      <c r="J25" s="6">
        <v>27</v>
      </c>
      <c r="K25" s="21">
        <f>=SUM(E25:J25)</f>
        <v>90</v>
      </c>
      <c r="L25" s="22">
        <f>=RANK(K25,$K$2:K$66)</f>
        <v>39</v>
      </c>
    </row>
    <row r="26" spans="1:12" ht="18.75">
      <c r="A26" s="4">
        <v>25</v>
      </c>
      <c r="B26" s="4" t="s">
        <v>437</v>
      </c>
      <c r="C26" s="4">
        <v>1312</v>
      </c>
      <c r="D26" s="4" t="str">
        <f>=VLOOKUP(B26,[1]在校生综合信息查询!$A$157:$C$222,2,0)</f>
        <v>25q710201160</v>
      </c>
      <c r="E26" s="6">
        <v>6</v>
      </c>
      <c r="F26" s="6">
        <v>0</v>
      </c>
      <c r="G26" s="6">
        <v>19</v>
      </c>
      <c r="H26" s="6">
        <v>18</v>
      </c>
      <c r="I26" s="6">
        <v>10</v>
      </c>
      <c r="J26" s="6">
        <v>21</v>
      </c>
      <c r="K26" s="21">
        <f>=SUM(E26:J26)</f>
        <v>74</v>
      </c>
      <c r="L26" s="22">
        <f>=RANK(K26,$K$2:K$66)</f>
        <v>46</v>
      </c>
    </row>
    <row r="27" spans="1:12" ht="18.75">
      <c r="A27" s="4">
        <v>26</v>
      </c>
      <c r="B27" s="4" t="s">
        <v>439</v>
      </c>
      <c r="C27" s="4">
        <v>1307</v>
      </c>
      <c r="D27" s="4" t="str">
        <f>=VLOOKUP(B27,[1]在校生综合信息查询!$A$157:$C$222,2,0)</f>
        <v>25q660103077</v>
      </c>
      <c r="E27" s="6">
        <v>9</v>
      </c>
      <c r="F27" s="6">
        <v>16</v>
      </c>
      <c r="G27" s="6">
        <v>17.5</v>
      </c>
      <c r="H27" s="6">
        <v>12</v>
      </c>
      <c r="I27" s="6">
        <v>16</v>
      </c>
      <c r="J27" s="6">
        <v>24</v>
      </c>
      <c r="K27" s="21">
        <f>=SUM(E27:J27)</f>
        <v>94.5</v>
      </c>
      <c r="L27" s="22">
        <f>=RANK(K27,$K$2:K$66)</f>
        <v>37</v>
      </c>
    </row>
    <row r="28" spans="1:12" ht="18.75">
      <c r="A28" s="4">
        <v>27</v>
      </c>
      <c r="B28" s="4" t="s">
        <v>441</v>
      </c>
      <c r="C28" s="4">
        <v>1270</v>
      </c>
      <c r="D28" s="4" t="str">
        <f>=VLOOKUP(B28,[1]在校生综合信息查询!$A$157:$C$222,2,0)</f>
        <v>25q710103178</v>
      </c>
      <c r="E28" s="6">
        <v>0</v>
      </c>
      <c r="F28" s="6">
        <v>0</v>
      </c>
      <c r="G28" s="6">
        <v>0</v>
      </c>
      <c r="H28" s="6">
        <v>10</v>
      </c>
      <c r="I28" s="6">
        <v>0</v>
      </c>
      <c r="J28" s="6">
        <v>9</v>
      </c>
      <c r="K28" s="21">
        <f>=SUM(E28:J28)</f>
        <v>19</v>
      </c>
      <c r="L28" s="22">
        <f>=RANK(K28,$K$2:K$66)</f>
        <v>52</v>
      </c>
    </row>
    <row r="29" spans="1:12" ht="18.75">
      <c r="A29" s="4">
        <v>28</v>
      </c>
      <c r="B29" s="4" t="s">
        <v>443</v>
      </c>
      <c r="C29" s="4">
        <v>1296</v>
      </c>
      <c r="D29" s="4" t="str">
        <f>=VLOOKUP(B29,[1]在校生综合信息查询!$A$157:$C$222,2,0)</f>
        <v>25q710103214</v>
      </c>
      <c r="E29" s="6">
        <v>63</v>
      </c>
      <c r="F29" s="6">
        <v>12</v>
      </c>
      <c r="G29" s="6">
        <v>33</v>
      </c>
      <c r="H29" s="6">
        <v>12</v>
      </c>
      <c r="I29" s="6">
        <v>12</v>
      </c>
      <c r="J29" s="6">
        <v>30</v>
      </c>
      <c r="K29" s="21">
        <f>=SUM(E29:J29)</f>
        <v>162</v>
      </c>
      <c r="L29" s="22">
        <f>=RANK(K29,$K$2:K$66)</f>
        <v>8</v>
      </c>
    </row>
    <row r="30" spans="1:12" ht="18.75">
      <c r="A30" s="4">
        <v>29</v>
      </c>
      <c r="B30" s="4" t="s">
        <v>445</v>
      </c>
      <c r="C30" s="4">
        <v>1266</v>
      </c>
      <c r="D30" s="4" t="str">
        <f>=VLOOKUP(B30,[1]在校生综合信息查询!$A$157:$C$222,2,0)</f>
        <v>25q710103172</v>
      </c>
      <c r="E30" s="6">
        <v>40</v>
      </c>
      <c r="F30" s="6">
        <v>24</v>
      </c>
      <c r="G30" s="6">
        <v>15</v>
      </c>
      <c r="H30" s="6">
        <v>20</v>
      </c>
      <c r="I30" s="6">
        <v>16</v>
      </c>
      <c r="J30" s="6">
        <v>30</v>
      </c>
      <c r="K30" s="21">
        <f>=SUM(E30:J30)</f>
        <v>145</v>
      </c>
      <c r="L30" s="22">
        <f>=RANK(K30,$K$2:K$66)</f>
        <v>15</v>
      </c>
    </row>
    <row r="31" spans="1:12" ht="18.75">
      <c r="A31" s="4">
        <v>30</v>
      </c>
      <c r="B31" s="4" t="s">
        <v>447</v>
      </c>
      <c r="C31" s="4">
        <v>1287</v>
      </c>
      <c r="D31" s="4" t="str">
        <f>=VLOOKUP(B31,[1]在校生综合信息查询!$A$157:$C$222,2,0)</f>
        <v>25q710103200</v>
      </c>
      <c r="E31" s="6">
        <v>48</v>
      </c>
      <c r="F31" s="6">
        <v>35</v>
      </c>
      <c r="G31" s="6">
        <v>23.5</v>
      </c>
      <c r="H31" s="6">
        <v>16</v>
      </c>
      <c r="I31" s="6">
        <v>24</v>
      </c>
      <c r="J31" s="6">
        <v>47</v>
      </c>
      <c r="K31" s="21">
        <f>=SUM(E31:J31)</f>
        <v>193.5</v>
      </c>
      <c r="L31" s="22">
        <f>=RANK(K31,$K$2:K$66)</f>
        <v>6</v>
      </c>
    </row>
    <row r="32" spans="1:12" ht="18.75">
      <c r="A32" s="4">
        <v>31</v>
      </c>
      <c r="B32" s="4" t="s">
        <v>449</v>
      </c>
      <c r="C32" s="4">
        <v>1283</v>
      </c>
      <c r="D32" s="4" t="str">
        <f>=VLOOKUP(B32,[1]在校生综合信息查询!$A$157:$C$222,2,0)</f>
        <v>25q710103196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21">
        <f>=SUM(E32:J32)</f>
        <v>0</v>
      </c>
      <c r="L32" s="22">
        <f>=RANK(K32,$K$2:K$66)</f>
        <v>56</v>
      </c>
    </row>
    <row r="33" spans="1:12" ht="18.75">
      <c r="A33" s="4">
        <v>32</v>
      </c>
      <c r="B33" s="4" t="s">
        <v>451</v>
      </c>
      <c r="C33" s="4">
        <v>1297</v>
      </c>
      <c r="D33" s="4" t="str">
        <f>=VLOOKUP(B33,[1]在校生综合信息查询!$A$157:$C$222,2,0)</f>
        <v>25q710103215</v>
      </c>
      <c r="E33" s="6">
        <v>9</v>
      </c>
      <c r="F33" s="6">
        <v>16</v>
      </c>
      <c r="G33" s="6">
        <v>17.5</v>
      </c>
      <c r="H33" s="6">
        <v>18</v>
      </c>
      <c r="I33" s="6">
        <v>12</v>
      </c>
      <c r="J33" s="6">
        <v>24</v>
      </c>
      <c r="K33" s="21">
        <f>=SUM(E33:J33)</f>
        <v>96.5</v>
      </c>
      <c r="L33" s="22">
        <f>=RANK(K33,$K$2:K$66)</f>
        <v>35</v>
      </c>
    </row>
    <row r="34" spans="1:12" ht="18.75">
      <c r="A34" s="4">
        <v>33</v>
      </c>
      <c r="B34" s="4" t="s">
        <v>453</v>
      </c>
      <c r="C34" s="4">
        <v>1263</v>
      </c>
      <c r="D34" s="4" t="str">
        <f>=VLOOKUP(B34,[1]在校生综合信息查询!$A$157:$C$222,2,0)</f>
        <v>25q710103169</v>
      </c>
      <c r="E34" s="6">
        <v>9</v>
      </c>
      <c r="F34" s="6">
        <v>0</v>
      </c>
      <c r="G34" s="6">
        <v>20</v>
      </c>
      <c r="H34" s="6">
        <v>14</v>
      </c>
      <c r="I34" s="6">
        <v>16</v>
      </c>
      <c r="J34" s="6">
        <v>21</v>
      </c>
      <c r="K34" s="21">
        <f>=SUM(E34:J34)</f>
        <v>80</v>
      </c>
      <c r="L34" s="22">
        <f>=RANK(K34,$K$2:K$66)</f>
        <v>44</v>
      </c>
    </row>
    <row r="35" spans="1:12" ht="18.75">
      <c r="A35" s="4">
        <v>34</v>
      </c>
      <c r="B35" s="4" t="s">
        <v>455</v>
      </c>
      <c r="C35" s="4">
        <v>1322</v>
      </c>
      <c r="D35" s="4" t="e">
        <f>=VLOOKUP(B35,[1]在校生综合信息查询!$A$157:$C$222,2,0)</f>
        <v>#N/A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21">
        <f>=SUM(E35:J35)</f>
        <v>0</v>
      </c>
      <c r="L35" s="22">
        <f>=RANK(K35,$K$2:K$66)</f>
        <v>56</v>
      </c>
    </row>
    <row r="36" spans="1:12" ht="18.75">
      <c r="A36" s="4">
        <v>35</v>
      </c>
      <c r="B36" s="15" t="s">
        <v>456</v>
      </c>
      <c r="C36" s="4">
        <v>1280</v>
      </c>
      <c r="D36" s="4" t="str">
        <f>=VLOOKUP(B36,[1]在校生综合信息查询!$A$157:$C$222,2,0)</f>
        <v>25q710103216</v>
      </c>
      <c r="E36" s="6">
        <v>63</v>
      </c>
      <c r="F36" s="6">
        <v>8</v>
      </c>
      <c r="G36" s="6">
        <v>18.5</v>
      </c>
      <c r="H36" s="6">
        <v>14</v>
      </c>
      <c r="I36" s="6">
        <v>14</v>
      </c>
      <c r="J36" s="6">
        <v>33</v>
      </c>
      <c r="K36" s="23">
        <f>=SUM(E36:J36)</f>
        <v>150.5</v>
      </c>
      <c r="L36" s="22">
        <f>=RANK(K36,$K$2:K$66)</f>
        <v>12</v>
      </c>
    </row>
    <row r="37" spans="1:12" ht="18.75">
      <c r="A37" s="4">
        <v>36</v>
      </c>
      <c r="B37" s="15" t="s">
        <v>458</v>
      </c>
      <c r="C37" s="4">
        <v>1281</v>
      </c>
      <c r="D37" s="4" t="str">
        <f>=VLOOKUP(B37,[1]在校生综合信息查询!$A$157:$C$222,2,0)</f>
        <v>25q710103192</v>
      </c>
      <c r="E37" s="6">
        <v>6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23">
        <f>=SUM(E37:J37)</f>
        <v>6</v>
      </c>
      <c r="L37" s="22">
        <f>=RANK(K37,$K$2:K$66)</f>
        <v>55</v>
      </c>
    </row>
    <row r="38" spans="1:12" ht="18.75">
      <c r="A38" s="4">
        <v>37</v>
      </c>
      <c r="B38" s="15" t="s">
        <v>460</v>
      </c>
      <c r="C38" s="4">
        <v>1314</v>
      </c>
      <c r="D38" s="4" t="str">
        <f>=VLOOKUP(B38,[1]在校生综合信息查询!$A$157:$C$222,2,0)</f>
        <v>25q710103233</v>
      </c>
      <c r="E38" s="6">
        <v>62</v>
      </c>
      <c r="F38" s="6">
        <v>36</v>
      </c>
      <c r="G38" s="6">
        <v>29.5</v>
      </c>
      <c r="H38" s="6">
        <v>45</v>
      </c>
      <c r="I38" s="6">
        <v>52</v>
      </c>
      <c r="J38" s="6">
        <v>60</v>
      </c>
      <c r="K38" s="23">
        <f>=SUM(E38:J38)</f>
        <v>284.5</v>
      </c>
      <c r="L38" s="22">
        <f>=RANK(K38,$K$2:K$66)</f>
        <v>1</v>
      </c>
    </row>
    <row r="39" spans="1:12" ht="18.75">
      <c r="A39" s="4">
        <v>38</v>
      </c>
      <c r="B39" s="15" t="s">
        <v>462</v>
      </c>
      <c r="C39" s="4">
        <v>1261</v>
      </c>
      <c r="D39" s="4" t="str">
        <f>=VLOOKUP(B39,[1]在校生综合信息查询!$A$157:$C$222,2,0)</f>
        <v>25q710103206</v>
      </c>
      <c r="E39" s="6">
        <v>4</v>
      </c>
      <c r="F39" s="6">
        <v>16</v>
      </c>
      <c r="G39" s="6">
        <v>12.5</v>
      </c>
      <c r="H39" s="6">
        <v>16</v>
      </c>
      <c r="I39" s="6">
        <v>22</v>
      </c>
      <c r="J39" s="6">
        <v>23</v>
      </c>
      <c r="K39" s="23">
        <f>=SUM(E39:J39)</f>
        <v>93.5</v>
      </c>
      <c r="L39" s="22">
        <f>=RANK(K39,$K$2:K$66)</f>
        <v>38</v>
      </c>
    </row>
    <row r="40" spans="1:12" ht="18.75">
      <c r="A40" s="4">
        <v>39</v>
      </c>
      <c r="B40" s="15" t="s">
        <v>464</v>
      </c>
      <c r="C40" s="4">
        <v>1260</v>
      </c>
      <c r="D40" s="4" t="str">
        <f>=VLOOKUP(B40,[1]在校生综合信息查询!$A$157:$C$222,2,0)</f>
        <v>25q710103164</v>
      </c>
      <c r="E40" s="6">
        <v>58</v>
      </c>
      <c r="F40" s="6">
        <v>49</v>
      </c>
      <c r="G40" s="6">
        <v>24</v>
      </c>
      <c r="H40" s="6">
        <v>31</v>
      </c>
      <c r="I40" s="6">
        <v>10</v>
      </c>
      <c r="J40" s="6">
        <v>41</v>
      </c>
      <c r="K40" s="23">
        <f>=SUM(E40:J40)</f>
        <v>213</v>
      </c>
      <c r="L40" s="22">
        <f>=RANK(K40,$K$2:K$66)</f>
        <v>5</v>
      </c>
    </row>
    <row r="41" spans="1:12" ht="18.75">
      <c r="A41" s="4">
        <v>40</v>
      </c>
      <c r="B41" s="15" t="s">
        <v>466</v>
      </c>
      <c r="C41" s="4">
        <v>1318</v>
      </c>
      <c r="D41" s="4" t="str">
        <f>=VLOOKUP(B41,[1]在校生综合信息查询!$A$157:$C$222,2,0)</f>
        <v>25q710103217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23">
        <f>=SUM(E41:J41)</f>
        <v>0</v>
      </c>
      <c r="L41" s="22">
        <f>=RANK(K41,$K$2:K$66)</f>
        <v>56</v>
      </c>
    </row>
    <row r="42" spans="1:12" ht="18.75">
      <c r="A42" s="4">
        <v>41</v>
      </c>
      <c r="B42" s="15" t="s">
        <v>468</v>
      </c>
      <c r="C42" s="4">
        <v>1273</v>
      </c>
      <c r="D42" s="4" t="str">
        <f>=VLOOKUP(B42,[1]在校生综合信息查询!$A$157:$C$222,2,0)</f>
        <v>25q710103222</v>
      </c>
      <c r="E42" s="6">
        <v>24</v>
      </c>
      <c r="F42" s="6">
        <v>12</v>
      </c>
      <c r="G42" s="6">
        <v>26</v>
      </c>
      <c r="H42" s="6">
        <v>18</v>
      </c>
      <c r="I42" s="6">
        <v>10</v>
      </c>
      <c r="J42" s="6">
        <v>15</v>
      </c>
      <c r="K42" s="23">
        <f>=SUM(E42:J42)</f>
        <v>105</v>
      </c>
      <c r="L42" s="22">
        <f>=RANK(K42,$K$2:K$66)</f>
        <v>32</v>
      </c>
    </row>
    <row r="43" spans="1:12" ht="18.75">
      <c r="A43" s="4">
        <v>42</v>
      </c>
      <c r="B43" s="15" t="s">
        <v>470</v>
      </c>
      <c r="C43" s="4">
        <v>1304</v>
      </c>
      <c r="D43" s="4" t="str">
        <f>=VLOOKUP(B43,[1]在校生综合信息查询!$A$157:$C$222,2,0)</f>
        <v>25q710103191</v>
      </c>
      <c r="E43" s="6">
        <v>19</v>
      </c>
      <c r="F43" s="6">
        <v>20</v>
      </c>
      <c r="G43" s="6">
        <v>19</v>
      </c>
      <c r="H43" s="6">
        <v>24</v>
      </c>
      <c r="I43" s="6">
        <v>12</v>
      </c>
      <c r="J43" s="6">
        <v>28</v>
      </c>
      <c r="K43" s="23">
        <f>=SUM(E43:J43)</f>
        <v>122</v>
      </c>
      <c r="L43" s="22">
        <f>=RANK(K43,$K$2:K$66)</f>
        <v>21</v>
      </c>
    </row>
    <row r="44" spans="1:12" ht="18.75">
      <c r="A44" s="4">
        <v>43</v>
      </c>
      <c r="B44" s="15" t="s">
        <v>472</v>
      </c>
      <c r="C44" s="4">
        <v>1316</v>
      </c>
      <c r="D44" s="4" t="str">
        <f>=VLOOKUP(B44,[1]在校生综合信息查询!$A$157:$C$222,2,0)</f>
        <v>25q710103218</v>
      </c>
      <c r="E44" s="6">
        <v>12</v>
      </c>
      <c r="F44" s="6">
        <v>24</v>
      </c>
      <c r="G44" s="6">
        <v>25.5</v>
      </c>
      <c r="H44" s="6">
        <v>20</v>
      </c>
      <c r="I44" s="6">
        <v>18</v>
      </c>
      <c r="J44" s="6">
        <v>27</v>
      </c>
      <c r="K44" s="23">
        <f>=SUM(E44:J44)</f>
        <v>126.5</v>
      </c>
      <c r="L44" s="22">
        <f>=RANK(K44,$K$2:K$66)</f>
        <v>20</v>
      </c>
    </row>
    <row r="45" spans="1:12" ht="18.75">
      <c r="A45" s="4">
        <v>44</v>
      </c>
      <c r="B45" s="15" t="s">
        <v>474</v>
      </c>
      <c r="C45" s="4">
        <v>1285</v>
      </c>
      <c r="D45" s="4" t="str">
        <f>=VLOOKUP(B45,[1]在校生综合信息查询!$A$157:$C$222,2,0)</f>
        <v>25q710103193</v>
      </c>
      <c r="E45" s="6">
        <v>6</v>
      </c>
      <c r="F45" s="6">
        <v>28</v>
      </c>
      <c r="G45" s="6">
        <v>20</v>
      </c>
      <c r="H45" s="6">
        <v>14</v>
      </c>
      <c r="I45" s="6">
        <v>14</v>
      </c>
      <c r="J45" s="6">
        <v>24</v>
      </c>
      <c r="K45" s="23">
        <f>=SUM(E45:J45)</f>
        <v>106</v>
      </c>
      <c r="L45" s="22">
        <f>=RANK(K45,$K$2:K$66)</f>
        <v>31</v>
      </c>
    </row>
    <row r="46" spans="1:12" ht="18.75">
      <c r="A46" s="4">
        <v>45</v>
      </c>
      <c r="B46" s="15" t="s">
        <v>476</v>
      </c>
      <c r="C46" s="4">
        <v>1311</v>
      </c>
      <c r="D46" s="4" t="str">
        <f>=VLOOKUP(B46,[1]在校生综合信息查询!$A$157:$C$222,2,0)</f>
        <v>25q710103194</v>
      </c>
      <c r="E46" s="6">
        <v>0</v>
      </c>
      <c r="F46" s="6">
        <v>0</v>
      </c>
      <c r="G46" s="6">
        <v>15.5</v>
      </c>
      <c r="H46" s="6">
        <v>0</v>
      </c>
      <c r="I46" s="6">
        <v>0</v>
      </c>
      <c r="J46" s="6">
        <v>0</v>
      </c>
      <c r="K46" s="23">
        <f>=SUM(E46:J46)</f>
        <v>15.5</v>
      </c>
      <c r="L46" s="22">
        <f>=RANK(K46,$K$2:K$66)</f>
        <v>53</v>
      </c>
    </row>
    <row r="47" spans="1:12" ht="18.75">
      <c r="A47" s="4">
        <v>46</v>
      </c>
      <c r="B47" s="15" t="s">
        <v>478</v>
      </c>
      <c r="C47" s="4">
        <v>1282</v>
      </c>
      <c r="D47" s="4" t="str">
        <f>=VLOOKUP(B47,[1]在校生综合信息查询!$A$157:$C$222,2,0)</f>
        <v>25q710103243</v>
      </c>
      <c r="E47" s="6">
        <v>16</v>
      </c>
      <c r="F47" s="6">
        <v>16</v>
      </c>
      <c r="G47" s="6">
        <v>27.5</v>
      </c>
      <c r="H47" s="6">
        <v>26</v>
      </c>
      <c r="I47" s="6">
        <v>17</v>
      </c>
      <c r="J47" s="6">
        <v>56</v>
      </c>
      <c r="K47" s="23">
        <f>=SUM(E47:J47)</f>
        <v>158.5</v>
      </c>
      <c r="L47" s="22">
        <f>=RANK(K47,$K$2:K$66)</f>
        <v>9</v>
      </c>
    </row>
    <row r="48" spans="1:12" ht="18.75">
      <c r="A48" s="4">
        <v>47</v>
      </c>
      <c r="B48" s="15" t="s">
        <v>480</v>
      </c>
      <c r="C48" s="4">
        <v>1289</v>
      </c>
      <c r="D48" s="4" t="str">
        <f>=VLOOKUP(B48,[1]在校生综合信息查询!$A$157:$C$222,2,0)</f>
        <v>25q710103167</v>
      </c>
      <c r="E48" s="6">
        <v>3</v>
      </c>
      <c r="F48" s="6">
        <v>12</v>
      </c>
      <c r="G48" s="6">
        <v>12</v>
      </c>
      <c r="H48" s="6">
        <v>14</v>
      </c>
      <c r="I48" s="6">
        <v>8</v>
      </c>
      <c r="J48" s="6">
        <v>25</v>
      </c>
      <c r="K48" s="23">
        <f>=SUM(E48:J48)</f>
        <v>74</v>
      </c>
      <c r="L48" s="22">
        <f>=RANK(K48,$K$2:K$66)</f>
        <v>46</v>
      </c>
    </row>
    <row r="49" spans="1:12" ht="18.75">
      <c r="A49" s="4">
        <v>48</v>
      </c>
      <c r="B49" s="15" t="s">
        <v>482</v>
      </c>
      <c r="C49" s="4">
        <v>1268</v>
      </c>
      <c r="D49" s="4" t="str">
        <f>=VLOOKUP(B49,[1]在校生综合信息查询!$A$157:$C$222,2,0)</f>
        <v>25q710103166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23">
        <f>=SUM(E49:J49)</f>
        <v>0</v>
      </c>
      <c r="L49" s="22">
        <f>=RANK(K49,$K$2:K$66)</f>
        <v>56</v>
      </c>
    </row>
    <row r="50" spans="1:12" ht="18.75">
      <c r="A50" s="4">
        <v>49</v>
      </c>
      <c r="B50" s="15" t="s">
        <v>484</v>
      </c>
      <c r="C50" s="4">
        <v>1315</v>
      </c>
      <c r="D50" s="4" t="str">
        <f>=VLOOKUP(B50,[1]在校生综合信息查询!$A$157:$C$222,2,0)</f>
        <v>25q710103272</v>
      </c>
      <c r="E50" s="6">
        <v>43</v>
      </c>
      <c r="F50" s="6">
        <v>86</v>
      </c>
      <c r="G50" s="6">
        <v>17</v>
      </c>
      <c r="H50" s="6">
        <v>50</v>
      </c>
      <c r="I50" s="6">
        <v>14</v>
      </c>
      <c r="J50" s="6">
        <v>33</v>
      </c>
      <c r="K50" s="23">
        <f>=SUM(E50:J50)</f>
        <v>243</v>
      </c>
      <c r="L50" s="22">
        <f>=RANK(K50,$K$2:K$66)</f>
        <v>3</v>
      </c>
    </row>
    <row r="51" spans="1:12" ht="18.75">
      <c r="A51" s="4">
        <v>50</v>
      </c>
      <c r="B51" s="15" t="s">
        <v>486</v>
      </c>
      <c r="C51" s="4">
        <v>1275</v>
      </c>
      <c r="D51" s="4" t="str">
        <f>=VLOOKUP(B51,[1]在校生综合信息查询!$A$157:$C$222,2,0)</f>
        <v>25q710103182</v>
      </c>
      <c r="E51" s="6">
        <v>9</v>
      </c>
      <c r="F51" s="6">
        <v>8</v>
      </c>
      <c r="G51" s="6">
        <v>20</v>
      </c>
      <c r="H51" s="6">
        <v>18</v>
      </c>
      <c r="I51" s="6">
        <v>19</v>
      </c>
      <c r="J51" s="6">
        <v>33</v>
      </c>
      <c r="K51" s="23">
        <f>=SUM(E51:J51)</f>
        <v>107</v>
      </c>
      <c r="L51" s="22">
        <f>=RANK(K51,$K$2:K$66)</f>
        <v>29</v>
      </c>
    </row>
    <row r="52" spans="1:12" ht="18.75">
      <c r="A52" s="4">
        <v>51</v>
      </c>
      <c r="B52" s="15" t="s">
        <v>488</v>
      </c>
      <c r="C52" s="4">
        <v>1313</v>
      </c>
      <c r="D52" s="4" t="str">
        <f>=VLOOKUP(B52,[1]在校生综合信息查询!$A$157:$C$222,2,0)</f>
        <v>25q710103187</v>
      </c>
      <c r="E52" s="6">
        <v>6</v>
      </c>
      <c r="F52" s="6">
        <v>16</v>
      </c>
      <c r="G52" s="6">
        <v>10</v>
      </c>
      <c r="H52" s="6">
        <v>22</v>
      </c>
      <c r="I52" s="6">
        <v>16</v>
      </c>
      <c r="J52" s="6">
        <v>18</v>
      </c>
      <c r="K52" s="23">
        <f>=SUM(E52:J52)</f>
        <v>88</v>
      </c>
      <c r="L52" s="22">
        <f>=RANK(K52,$K$2:K$66)</f>
        <v>40</v>
      </c>
    </row>
    <row r="53" spans="1:12" ht="18.75">
      <c r="A53" s="4">
        <v>52</v>
      </c>
      <c r="B53" s="15" t="s">
        <v>490</v>
      </c>
      <c r="C53" s="4">
        <v>1320</v>
      </c>
      <c r="D53" s="4" t="str">
        <f>=VLOOKUP(B53,[1]在校生综合信息查询!$A$157:$C$222,2,0)</f>
        <v>25q710103274</v>
      </c>
      <c r="E53" s="6">
        <v>20</v>
      </c>
      <c r="F53" s="6">
        <v>24</v>
      </c>
      <c r="G53" s="6">
        <v>29.5</v>
      </c>
      <c r="H53" s="6">
        <v>20</v>
      </c>
      <c r="I53" s="6">
        <v>18</v>
      </c>
      <c r="J53" s="6">
        <v>44</v>
      </c>
      <c r="K53" s="23">
        <f>=SUM(E53:J53)</f>
        <v>155.5</v>
      </c>
      <c r="L53" s="22">
        <f>=RANK(K53,$K$2:K$66)</f>
        <v>10</v>
      </c>
    </row>
    <row r="54" spans="1:12" ht="18.75">
      <c r="A54" s="4">
        <v>53</v>
      </c>
      <c r="B54" s="15" t="s">
        <v>492</v>
      </c>
      <c r="C54" s="4">
        <v>1274</v>
      </c>
      <c r="D54" s="4" t="str">
        <f>=VLOOKUP(B54,[1]在校生综合信息查询!$A$157:$C$222,2,0)</f>
        <v>25q710103198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23">
        <f>=SUM(E54:J54)</f>
        <v>0</v>
      </c>
      <c r="L54" s="22">
        <f>=RANK(K54,$K$2:K$66)</f>
        <v>56</v>
      </c>
    </row>
    <row r="55" spans="1:12" ht="18.75">
      <c r="A55" s="4">
        <v>54</v>
      </c>
      <c r="B55" s="15" t="s">
        <v>494</v>
      </c>
      <c r="C55" s="4">
        <v>1309</v>
      </c>
      <c r="D55" s="4" t="str">
        <f>=VLOOKUP(B55,[1]在校生综合信息查询!$A$157:$C$222,2,0)</f>
        <v>25q740101014</v>
      </c>
      <c r="E55" s="6">
        <v>10</v>
      </c>
      <c r="F55" s="6">
        <v>0</v>
      </c>
      <c r="G55" s="6">
        <v>21.5</v>
      </c>
      <c r="H55" s="6">
        <v>20</v>
      </c>
      <c r="I55" s="6">
        <v>20</v>
      </c>
      <c r="J55" s="6">
        <v>24</v>
      </c>
      <c r="K55" s="23">
        <f>=SUM(E55:J55)</f>
        <v>95.5</v>
      </c>
      <c r="L55" s="22">
        <f>=RANK(K55,$K$2:K$66)</f>
        <v>36</v>
      </c>
    </row>
    <row r="56" spans="1:12" ht="18.75">
      <c r="A56" s="4">
        <v>55</v>
      </c>
      <c r="B56" s="15" t="s">
        <v>496</v>
      </c>
      <c r="C56" s="4">
        <v>1288</v>
      </c>
      <c r="D56" s="4" t="str">
        <f>=VLOOKUP(B56,[1]在校生综合信息查询!$A$157:$C$222,2,0)</f>
        <v>25q710103195</v>
      </c>
      <c r="E56" s="6">
        <v>12</v>
      </c>
      <c r="F56" s="6">
        <v>12</v>
      </c>
      <c r="G56" s="6">
        <v>0</v>
      </c>
      <c r="H56" s="6">
        <v>28</v>
      </c>
      <c r="I56" s="6">
        <v>20</v>
      </c>
      <c r="J56" s="6">
        <v>9</v>
      </c>
      <c r="K56" s="23">
        <f>=SUM(E56:J56)</f>
        <v>81</v>
      </c>
      <c r="L56" s="22">
        <f>=RANK(K56,$K$2:K$66)</f>
        <v>42</v>
      </c>
    </row>
    <row r="57" spans="1:12" ht="18.75">
      <c r="A57" s="4">
        <v>56</v>
      </c>
      <c r="B57" s="4" t="s">
        <v>498</v>
      </c>
      <c r="C57" s="4">
        <v>1306</v>
      </c>
      <c r="D57" s="4" t="str">
        <f>=VLOOKUP(B57,[1]在校生综合信息查询!$A$157:$C$222,2,0)</f>
        <v>25q710103204</v>
      </c>
      <c r="E57" s="6">
        <v>12</v>
      </c>
      <c r="F57" s="6">
        <v>20</v>
      </c>
      <c r="G57" s="6">
        <v>9.5</v>
      </c>
      <c r="H57" s="6">
        <v>22</v>
      </c>
      <c r="I57" s="6">
        <v>16</v>
      </c>
      <c r="J57" s="6">
        <v>27</v>
      </c>
      <c r="K57" s="23">
        <f>=SUM(E57:J57)</f>
        <v>106.5</v>
      </c>
      <c r="L57" s="22">
        <f>=RANK(K57,$K$2:K$66)</f>
        <v>30</v>
      </c>
    </row>
    <row r="58" spans="1:12" ht="18.75">
      <c r="A58" s="4">
        <v>57</v>
      </c>
      <c r="B58" s="4" t="s">
        <v>500</v>
      </c>
      <c r="C58" s="4" t="s"/>
      <c r="D58" s="4" t="str">
        <f>=VLOOKUP(B58,[1]在校生综合信息查询!$A$157:$C$222,2,0)</f>
        <v>25q710103174</v>
      </c>
      <c r="E58" s="6">
        <v>23</v>
      </c>
      <c r="F58" s="6">
        <v>24</v>
      </c>
      <c r="G58" s="6">
        <v>15.5</v>
      </c>
      <c r="H58" s="6">
        <v>30</v>
      </c>
      <c r="I58" s="6">
        <v>18</v>
      </c>
      <c r="J58" s="16">
        <v>22</v>
      </c>
      <c r="K58" s="23">
        <f>=SUM(E58:J58)</f>
        <v>132.5</v>
      </c>
      <c r="L58" s="22">
        <f>=RANK(K58,$K$2:K$66)</f>
        <v>17</v>
      </c>
    </row>
    <row r="59" spans="1:12" ht="18.75">
      <c r="A59" s="4">
        <v>58</v>
      </c>
      <c r="B59" s="4" t="s">
        <v>502</v>
      </c>
      <c r="C59" s="4" t="s"/>
      <c r="D59" s="4" t="str">
        <f>=VLOOKUP(B59,[1]在校生综合信息查询!$A$157:$C$222,2,0)</f>
        <v>25q710103263</v>
      </c>
      <c r="E59" s="6">
        <v>8</v>
      </c>
      <c r="F59" s="6">
        <v>28</v>
      </c>
      <c r="G59" s="6">
        <v>26.5</v>
      </c>
      <c r="H59" s="6">
        <v>22</v>
      </c>
      <c r="I59" s="6">
        <v>4</v>
      </c>
      <c r="J59" s="16">
        <v>28</v>
      </c>
      <c r="K59" s="23">
        <f>=SUM(E59:J59)</f>
        <v>116.5</v>
      </c>
      <c r="L59" s="22">
        <f>=RANK(K59,$K$2:K$66)</f>
        <v>23</v>
      </c>
    </row>
    <row r="60" spans="1:12" ht="18.75">
      <c r="A60" s="4">
        <v>59</v>
      </c>
      <c r="B60" s="4" t="s">
        <v>504</v>
      </c>
      <c r="C60" s="4" t="s"/>
      <c r="D60" s="4" t="str">
        <f>=VLOOKUP(B60,[1]在校生综合信息查询!$A$157:$C$222,2,0)</f>
        <v>25q710103186</v>
      </c>
      <c r="E60" s="6">
        <v>0</v>
      </c>
      <c r="F60" s="6">
        <v>0</v>
      </c>
      <c r="G60" s="6">
        <v>21.5</v>
      </c>
      <c r="H60" s="6">
        <v>22</v>
      </c>
      <c r="I60" s="6">
        <v>12</v>
      </c>
      <c r="J60" s="16">
        <v>12</v>
      </c>
      <c r="K60" s="23">
        <f>=SUM(E60:J60)</f>
        <v>67.5</v>
      </c>
      <c r="L60" s="22">
        <f>=RANK(K60,$K$2:K$66)</f>
        <v>50</v>
      </c>
    </row>
    <row r="61" spans="1:12" ht="18.75">
      <c r="A61" s="4">
        <v>60</v>
      </c>
      <c r="B61" s="4" t="s">
        <v>506</v>
      </c>
      <c r="C61" s="4" t="s"/>
      <c r="D61" s="4" t="str">
        <f>=VLOOKUP(B61,[1]在校生综合信息查询!$A$157:$C$222,2,0)</f>
        <v>25q710201157</v>
      </c>
      <c r="E61" s="6">
        <v>63</v>
      </c>
      <c r="F61" s="6">
        <v>12</v>
      </c>
      <c r="G61" s="6">
        <v>17</v>
      </c>
      <c r="H61" s="6">
        <v>16</v>
      </c>
      <c r="I61" s="6">
        <v>18</v>
      </c>
      <c r="J61" s="16">
        <v>21</v>
      </c>
      <c r="K61" s="23">
        <f>=SUM(E61:J61)</f>
        <v>147</v>
      </c>
      <c r="L61" s="22">
        <f>=RANK(K61,$K$2:K$66)</f>
        <v>14</v>
      </c>
    </row>
    <row r="62" spans="1:12" ht="18.75">
      <c r="A62" s="4">
        <v>61</v>
      </c>
      <c r="B62" s="4" t="s">
        <v>508</v>
      </c>
      <c r="C62" s="24" t="s"/>
      <c r="D62" s="24" t="str">
        <f>=VLOOKUP(B62,[1]在校生综合信息查询!$A$157:$C$222,2,0)</f>
        <v>25q710103160</v>
      </c>
      <c r="E62" s="20">
        <v>43</v>
      </c>
      <c r="F62" s="20">
        <v>86</v>
      </c>
      <c r="G62" s="20">
        <v>17</v>
      </c>
      <c r="H62" s="20">
        <v>42</v>
      </c>
      <c r="I62" s="20">
        <v>31</v>
      </c>
      <c r="J62" s="16">
        <v>28</v>
      </c>
      <c r="K62" s="23">
        <f>=SUM(E62:J62)</f>
        <v>247</v>
      </c>
      <c r="L62" s="22">
        <f>=RANK(K62,$K$2:K$66)</f>
        <v>2</v>
      </c>
    </row>
    <row r="63" spans="1:12" ht="18.75">
      <c r="A63" s="4">
        <v>62</v>
      </c>
      <c r="B63" s="4" t="s">
        <v>509</v>
      </c>
      <c r="C63" s="4" t="s"/>
      <c r="D63" s="4" t="str">
        <f>=VLOOKUP(B63,[1]在校生综合信息查询!$A$157:$C$222,2,0)</f>
        <v>25q710103184</v>
      </c>
      <c r="E63" s="6">
        <v>36</v>
      </c>
      <c r="F63" s="6">
        <v>12</v>
      </c>
      <c r="G63" s="6">
        <v>19.5</v>
      </c>
      <c r="H63" s="6">
        <v>26</v>
      </c>
      <c r="I63" s="6">
        <v>10</v>
      </c>
      <c r="J63" s="16">
        <v>29</v>
      </c>
      <c r="K63" s="23">
        <f>=SUM(E63:J63)</f>
        <v>132.5</v>
      </c>
      <c r="L63" s="22">
        <f>=RANK(K63,$K$2:K$66)</f>
        <v>17</v>
      </c>
    </row>
    <row r="64" spans="1:12" ht="18.75">
      <c r="A64" s="4">
        <v>63</v>
      </c>
      <c r="B64" s="4" t="s">
        <v>511</v>
      </c>
      <c r="C64" s="4" t="s"/>
      <c r="D64" s="4" t="str">
        <f>=VLOOKUP(B64,[1]在校生综合信息查询!$A$157:$C$222,2,0)</f>
        <v>25q660103084</v>
      </c>
      <c r="E64" s="6">
        <v>6</v>
      </c>
      <c r="F64" s="6">
        <v>17</v>
      </c>
      <c r="G64" s="6">
        <v>17</v>
      </c>
      <c r="H64" s="6">
        <v>14</v>
      </c>
      <c r="I64" s="6">
        <v>12</v>
      </c>
      <c r="J64" s="16">
        <v>15</v>
      </c>
      <c r="K64" s="23">
        <f>=SUM(E64:J64)</f>
        <v>81</v>
      </c>
      <c r="L64" s="22">
        <f>=RANK(K64,$K$2:K$66)</f>
        <v>42</v>
      </c>
    </row>
    <row r="65" spans="1:12" ht="18.75">
      <c r="A65" s="4">
        <v>64</v>
      </c>
      <c r="B65" s="4" t="s">
        <v>513</v>
      </c>
      <c r="C65" s="4" t="s"/>
      <c r="D65" s="4" t="str">
        <f>=VLOOKUP(B65,[1]在校生综合信息查询!$A$157:$C$222,2,0)</f>
        <v>25q710103203</v>
      </c>
      <c r="E65" s="6">
        <v>15</v>
      </c>
      <c r="F65" s="6">
        <v>16</v>
      </c>
      <c r="G65" s="6">
        <v>27.5</v>
      </c>
      <c r="H65" s="6">
        <v>26</v>
      </c>
      <c r="I65" s="6">
        <v>14</v>
      </c>
      <c r="J65" s="16">
        <v>18</v>
      </c>
      <c r="K65" s="23">
        <f>=SUM(E65:J65)</f>
        <v>116.5</v>
      </c>
      <c r="L65" s="22">
        <f>=RANK(K65,$K$2:K$66)</f>
        <v>23</v>
      </c>
    </row>
    <row r="66" spans="1:12" ht="18.75">
      <c r="A66" s="4">
        <v>65</v>
      </c>
      <c r="B66" s="4" t="s">
        <v>515</v>
      </c>
      <c r="C66" s="4" t="s"/>
      <c r="D66" s="4" t="str">
        <f>=VLOOKUP(B66,[1]在校生综合信息查询!$A$157:$C$222,2,0)</f>
        <v>25q710103353</v>
      </c>
      <c r="E66" s="6">
        <v>12</v>
      </c>
      <c r="F66" s="6">
        <v>12</v>
      </c>
      <c r="G66" s="6">
        <v>15</v>
      </c>
      <c r="H66" s="6">
        <v>14</v>
      </c>
      <c r="I66" s="6">
        <v>20</v>
      </c>
      <c r="J66" s="16">
        <v>15</v>
      </c>
      <c r="K66" s="23">
        <f>=SUM(E66:J66)</f>
        <v>88</v>
      </c>
      <c r="L66" s="22">
        <f>=RANK(K66,$K$2:K$66)</f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/>
  <dimension ref="J73"/>
  <sheetViews>
    <sheetView showGridLines="1" topLeftCell="A58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5" max="5" width="10.6719" customWidth="1"/>
    <col min="6" max="6" width="9.5625" customWidth="1"/>
    <col min="7" max="7" width="9.07031" customWidth="1"/>
    <col min="8" max="8" width="30.25" customWidth="1"/>
    <col min="9" max="9" width="30" customWidth="1"/>
    <col min="10" max="10" width="21.37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143</v>
      </c>
      <c r="I1" s="5" t="s">
        <v>144</v>
      </c>
      <c r="J1" s="5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517</v>
      </c>
      <c r="C2" s="4">
        <v>1635</v>
      </c>
      <c r="D2" s="4" t="str">
        <f>=VLOOKUP(B2,[1]在校生综合信息查询!$A$223:$C$293,2,0)</f>
        <v>25q710103011</v>
      </c>
      <c r="E2" s="7">
        <v>8</v>
      </c>
      <c r="F2" s="7">
        <v>16</v>
      </c>
      <c r="G2" s="7">
        <v>20.5</v>
      </c>
      <c r="H2" s="6">
        <v>10</v>
      </c>
      <c r="I2" s="6">
        <v>16</v>
      </c>
      <c r="J2" s="6">
        <v>18</v>
      </c>
      <c r="K2" s="5" t="s"/>
      <c r="L2" s="5" t="s"/>
    </row>
    <row r="3" spans="1:12" ht="18.75">
      <c r="A3" s="4">
        <v>2</v>
      </c>
      <c r="B3" s="4" t="s">
        <v>519</v>
      </c>
      <c r="C3" s="4">
        <v>1648</v>
      </c>
      <c r="D3" s="4" t="str">
        <f>=VLOOKUP(B3,[1]在校生综合信息查询!$A$223:$C$293,2,0)</f>
        <v>25q710103024</v>
      </c>
      <c r="E3" s="7">
        <v>12</v>
      </c>
      <c r="F3" s="7">
        <v>12</v>
      </c>
      <c r="G3" s="7">
        <v>17</v>
      </c>
      <c r="H3" s="6">
        <v>4</v>
      </c>
      <c r="I3" s="6">
        <v>6</v>
      </c>
      <c r="J3" s="6">
        <v>12</v>
      </c>
      <c r="K3" s="5" t="s"/>
      <c r="L3" s="5" t="s"/>
    </row>
    <row r="4" spans="1:12" ht="18.75">
      <c r="A4" s="4">
        <v>3</v>
      </c>
      <c r="B4" s="4" t="s">
        <v>521</v>
      </c>
      <c r="C4" s="4">
        <v>1667</v>
      </c>
      <c r="D4" s="4" t="str">
        <f>=VLOOKUP(B4,[1]在校生综合信息查询!$A$223:$C$293,2,0)</f>
        <v>25q710103045</v>
      </c>
      <c r="E4" s="7">
        <v>18</v>
      </c>
      <c r="F4" s="7">
        <v>12</v>
      </c>
      <c r="G4" s="7">
        <v>22</v>
      </c>
      <c r="H4" s="6">
        <v>24</v>
      </c>
      <c r="I4" s="6">
        <v>14</v>
      </c>
      <c r="J4" s="6">
        <v>12</v>
      </c>
      <c r="K4" s="5" t="s"/>
      <c r="L4" s="5" t="s"/>
    </row>
    <row r="5" spans="1:12" ht="18.75">
      <c r="A5" s="4">
        <v>4</v>
      </c>
      <c r="B5" s="4" t="s">
        <v>523</v>
      </c>
      <c r="C5" s="4">
        <v>1684</v>
      </c>
      <c r="D5" s="4" t="str">
        <f>=VLOOKUP(B5,[1]在校生综合信息查询!$A$223:$C$293,2,0)</f>
        <v>25q710103063</v>
      </c>
      <c r="E5" s="7">
        <v>1</v>
      </c>
      <c r="F5" s="7">
        <v>16</v>
      </c>
      <c r="G5" s="7">
        <v>18</v>
      </c>
      <c r="H5" s="6">
        <v>12</v>
      </c>
      <c r="I5" s="6">
        <v>18</v>
      </c>
      <c r="J5" s="6">
        <v>12</v>
      </c>
      <c r="K5" s="5" t="s"/>
      <c r="L5" s="5" t="s"/>
    </row>
    <row r="6" spans="1:12" ht="18.75">
      <c r="A6" s="4">
        <v>5</v>
      </c>
      <c r="B6" s="4" t="s">
        <v>525</v>
      </c>
      <c r="C6" s="4">
        <v>1655</v>
      </c>
      <c r="D6" s="4" t="str">
        <f>=VLOOKUP(B6,[1]在校生综合信息查询!$A$223:$C$293,2,0)</f>
        <v>25q710103031</v>
      </c>
      <c r="E6" s="7">
        <v>11</v>
      </c>
      <c r="F6" s="7">
        <v>24</v>
      </c>
      <c r="G6" s="7">
        <v>20</v>
      </c>
      <c r="H6" s="6">
        <v>12</v>
      </c>
      <c r="I6" s="6">
        <v>16</v>
      </c>
      <c r="J6" s="6">
        <v>21</v>
      </c>
      <c r="K6" s="5" t="s"/>
      <c r="L6" s="5" t="s"/>
    </row>
    <row r="7" spans="1:12" ht="18.75">
      <c r="A7" s="4">
        <v>6</v>
      </c>
      <c r="B7" s="4" t="s">
        <v>527</v>
      </c>
      <c r="C7" s="4">
        <v>1636</v>
      </c>
      <c r="D7" s="4" t="str">
        <f>=VLOOKUP(B7,[1]在校生综合信息查询!$A$223:$C$293,2,0)</f>
        <v>25q710103012</v>
      </c>
      <c r="E7" s="7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5" t="s"/>
      <c r="L7" s="5" t="s"/>
    </row>
    <row r="8" spans="1:12" ht="18.75">
      <c r="A8" s="4">
        <v>7</v>
      </c>
      <c r="B8" s="4" t="s">
        <v>529</v>
      </c>
      <c r="C8" s="4">
        <v>1662</v>
      </c>
      <c r="D8" s="4" t="str">
        <f>=VLOOKUP(B8,[1]在校生综合信息查询!$A$223:$C$293,2,0)</f>
        <v>25q710103040</v>
      </c>
      <c r="E8" s="7">
        <v>0</v>
      </c>
      <c r="F8" s="7">
        <v>16</v>
      </c>
      <c r="G8" s="7">
        <v>9.5</v>
      </c>
      <c r="H8" s="6">
        <v>22</v>
      </c>
      <c r="I8" s="6">
        <v>18</v>
      </c>
      <c r="J8" s="6">
        <v>21</v>
      </c>
      <c r="K8" s="5" t="s"/>
      <c r="L8" s="5" t="s"/>
    </row>
    <row r="9" spans="1:12" ht="18.75">
      <c r="A9" s="4">
        <v>8</v>
      </c>
      <c r="B9" s="4" t="s">
        <v>531</v>
      </c>
      <c r="C9" s="4">
        <v>1642</v>
      </c>
      <c r="D9" s="4" t="str">
        <f>=VLOOKUP(B9,[1]在校生综合信息查询!$A$223:$C$293,2,0)</f>
        <v>25q710103018</v>
      </c>
      <c r="E9" s="7">
        <v>0</v>
      </c>
      <c r="F9" s="7">
        <v>0</v>
      </c>
      <c r="G9" s="7">
        <v>8.5</v>
      </c>
      <c r="H9" s="6">
        <v>12</v>
      </c>
      <c r="I9" s="6">
        <v>14</v>
      </c>
      <c r="J9" s="6">
        <v>33</v>
      </c>
      <c r="K9" s="5" t="s"/>
      <c r="L9" s="5" t="s"/>
    </row>
    <row r="10" spans="1:12" ht="18.75">
      <c r="A10" s="4">
        <v>9</v>
      </c>
      <c r="B10" s="4" t="s">
        <v>533</v>
      </c>
      <c r="C10" s="4">
        <v>1634</v>
      </c>
      <c r="D10" s="4" t="str">
        <f>=VLOOKUP(B10,[1]在校生综合信息查询!$A$223:$C$293,2,0)</f>
        <v>25q710103010</v>
      </c>
      <c r="E10" s="7">
        <v>31</v>
      </c>
      <c r="F10" s="7">
        <v>32</v>
      </c>
      <c r="G10" s="7">
        <v>18</v>
      </c>
      <c r="H10" s="6">
        <v>20</v>
      </c>
      <c r="I10" s="6">
        <v>10</v>
      </c>
      <c r="J10" s="6">
        <v>24</v>
      </c>
      <c r="K10" s="5" t="s"/>
      <c r="L10" s="5" t="s"/>
    </row>
    <row r="11" spans="1:12" ht="18.75">
      <c r="A11" s="4">
        <v>10</v>
      </c>
      <c r="B11" s="4" t="s">
        <v>535</v>
      </c>
      <c r="C11" s="4">
        <v>1673</v>
      </c>
      <c r="D11" s="4" t="str">
        <f>=VLOOKUP(B11,[1]在校生综合信息查询!$A$223:$C$293,2,0)</f>
        <v>25q710103052</v>
      </c>
      <c r="E11" s="7">
        <v>24</v>
      </c>
      <c r="F11" s="7">
        <v>8</v>
      </c>
      <c r="G11" s="7">
        <v>21.5</v>
      </c>
      <c r="H11" s="6">
        <v>18</v>
      </c>
      <c r="I11" s="6">
        <v>14</v>
      </c>
      <c r="J11" s="6">
        <v>24</v>
      </c>
      <c r="K11" s="5" t="s"/>
      <c r="L11" s="5" t="s"/>
    </row>
    <row r="12" spans="1:12" ht="18.75">
      <c r="A12" s="4">
        <v>11</v>
      </c>
      <c r="B12" s="4" t="s">
        <v>537</v>
      </c>
      <c r="C12" s="4">
        <v>1678</v>
      </c>
      <c r="D12" s="4" t="str">
        <f>=VLOOKUP(B12,[1]在校生综合信息查询!$A$223:$C$293,2,0)</f>
        <v>25q710103057</v>
      </c>
      <c r="E12" s="7">
        <v>9</v>
      </c>
      <c r="F12" s="7">
        <v>12</v>
      </c>
      <c r="G12" s="7">
        <v>15.5</v>
      </c>
      <c r="H12" s="6">
        <v>22</v>
      </c>
      <c r="I12" s="6">
        <v>20</v>
      </c>
      <c r="J12" s="6">
        <v>21</v>
      </c>
      <c r="K12" s="5" t="s"/>
      <c r="L12" s="5" t="s"/>
    </row>
    <row r="13" spans="1:12" ht="18.75">
      <c r="A13" s="4">
        <v>12</v>
      </c>
      <c r="B13" s="4" t="s">
        <v>539</v>
      </c>
      <c r="C13" s="4">
        <v>1685</v>
      </c>
      <c r="D13" s="4" t="str">
        <f>=VLOOKUP(B13,[1]在校生综合信息查询!$A$223:$C$293,2,0)</f>
        <v>25q710103064</v>
      </c>
      <c r="E13" s="7">
        <v>92</v>
      </c>
      <c r="F13" s="7">
        <v>36</v>
      </c>
      <c r="G13" s="7">
        <v>55.5</v>
      </c>
      <c r="H13" s="6">
        <v>22</v>
      </c>
      <c r="I13" s="6">
        <v>25</v>
      </c>
      <c r="J13" s="6">
        <v>33</v>
      </c>
      <c r="K13" s="5" t="s"/>
      <c r="L13" s="5" t="s"/>
    </row>
    <row r="14" spans="1:12" ht="18.75">
      <c r="A14" s="4">
        <v>13</v>
      </c>
      <c r="B14" s="4" t="s">
        <v>541</v>
      </c>
      <c r="C14" s="4">
        <v>1659</v>
      </c>
      <c r="D14" s="4" t="str">
        <f>=VLOOKUP(B14,[1]在校生综合信息查询!$A$223:$C$293,2,0)</f>
        <v>25q710103035</v>
      </c>
      <c r="E14" s="7">
        <v>33</v>
      </c>
      <c r="F14" s="7">
        <v>16</v>
      </c>
      <c r="G14" s="7">
        <v>18</v>
      </c>
      <c r="H14" s="6">
        <v>12</v>
      </c>
      <c r="I14" s="6">
        <v>22</v>
      </c>
      <c r="J14" s="6">
        <v>21</v>
      </c>
      <c r="K14" s="5" t="s"/>
      <c r="L14" s="5" t="s"/>
    </row>
    <row r="15" spans="1:12" ht="18.75">
      <c r="A15" s="4">
        <v>14</v>
      </c>
      <c r="B15" s="4" t="s">
        <v>543</v>
      </c>
      <c r="C15" s="4">
        <v>1674</v>
      </c>
      <c r="D15" s="4" t="str">
        <f>=VLOOKUP(B15,[1]在校生综合信息查询!$A$223:$C$293,2,0)</f>
        <v>25q710103053</v>
      </c>
      <c r="E15" s="7">
        <v>9</v>
      </c>
      <c r="F15" s="7">
        <v>12</v>
      </c>
      <c r="G15" s="7">
        <v>15</v>
      </c>
      <c r="H15" s="6">
        <v>20</v>
      </c>
      <c r="I15" s="6">
        <v>14</v>
      </c>
      <c r="J15" s="6">
        <v>18</v>
      </c>
      <c r="K15" s="5" t="s"/>
      <c r="L15" s="5" t="s"/>
    </row>
    <row r="16" spans="1:12" ht="18.75">
      <c r="A16" s="4">
        <v>15</v>
      </c>
      <c r="B16" s="4" t="s">
        <v>545</v>
      </c>
      <c r="C16" s="4">
        <v>1691</v>
      </c>
      <c r="D16" s="4" t="str">
        <f>=VLOOKUP(B16,[1]在校生综合信息查询!$A$223:$C$293,2,0)</f>
        <v>25q710103038</v>
      </c>
      <c r="E16" s="7">
        <v>19</v>
      </c>
      <c r="F16" s="7">
        <v>12</v>
      </c>
      <c r="G16" s="7">
        <v>20.5</v>
      </c>
      <c r="H16" s="6">
        <v>14</v>
      </c>
      <c r="I16" s="6">
        <v>8</v>
      </c>
      <c r="J16" s="6">
        <v>21</v>
      </c>
      <c r="K16" s="5" t="s"/>
      <c r="L16" s="5" t="s"/>
    </row>
    <row r="17" spans="1:12" ht="18.75">
      <c r="A17" s="4">
        <v>16</v>
      </c>
      <c r="B17" s="4" t="s">
        <v>547</v>
      </c>
      <c r="C17" s="4">
        <v>1661</v>
      </c>
      <c r="D17" s="4" t="str">
        <f>=VLOOKUP(B17,[1]在校生综合信息查询!$A$223:$C$293,2,0)</f>
        <v>25q710103039</v>
      </c>
      <c r="E17" s="7">
        <v>9</v>
      </c>
      <c r="F17" s="7">
        <v>12</v>
      </c>
      <c r="G17" s="7">
        <v>22</v>
      </c>
      <c r="H17" s="6">
        <v>26</v>
      </c>
      <c r="I17" s="6">
        <v>10</v>
      </c>
      <c r="J17" s="6">
        <v>21</v>
      </c>
      <c r="K17" s="5" t="s"/>
      <c r="L17" s="5" t="s"/>
    </row>
    <row r="18" spans="1:12" ht="18.75">
      <c r="A18" s="4">
        <v>17</v>
      </c>
      <c r="B18" s="4" t="s">
        <v>549</v>
      </c>
      <c r="C18" s="4">
        <v>1672</v>
      </c>
      <c r="D18" s="4" t="str">
        <f>=VLOOKUP(B18,[1]在校生综合信息查询!$A$223:$C$293,2,0)</f>
        <v>25q710103051</v>
      </c>
      <c r="E18" s="7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5" t="s"/>
      <c r="L18" s="5" t="s"/>
    </row>
    <row r="19" spans="1:12" ht="18.75">
      <c r="A19" s="4">
        <v>18</v>
      </c>
      <c r="B19" s="4" t="s">
        <v>551</v>
      </c>
      <c r="C19" s="4">
        <v>1677</v>
      </c>
      <c r="D19" s="4" t="str">
        <f>=VLOOKUP(B19,[1]在校生综合信息查询!$A$223:$C$293,2,0)</f>
        <v>25q710103056</v>
      </c>
      <c r="E19" s="7">
        <v>0</v>
      </c>
      <c r="F19" s="7">
        <v>0</v>
      </c>
      <c r="G19" s="7">
        <v>0</v>
      </c>
      <c r="H19" s="5" t="s"/>
      <c r="I19" s="5" t="s"/>
      <c r="J19" s="5" t="s"/>
      <c r="K19" s="5" t="s"/>
      <c r="L19" s="5" t="s"/>
    </row>
    <row r="20" spans="1:12" ht="18.75">
      <c r="A20" s="4">
        <v>19</v>
      </c>
      <c r="B20" s="4" t="s">
        <v>553</v>
      </c>
      <c r="C20" s="4">
        <v>1688</v>
      </c>
      <c r="D20" s="4" t="str">
        <f>=VLOOKUP(B20,[1]在校生综合信息查询!$A$223:$C$293,2,0)</f>
        <v>25q710103352</v>
      </c>
      <c r="E20" s="7">
        <v>0</v>
      </c>
      <c r="F20" s="7">
        <v>8</v>
      </c>
      <c r="G20" s="7">
        <v>21</v>
      </c>
      <c r="H20" s="6">
        <v>12</v>
      </c>
      <c r="I20" s="6">
        <v>8</v>
      </c>
      <c r="J20" s="6">
        <v>21</v>
      </c>
      <c r="K20" s="5" t="s"/>
      <c r="L20" s="5" t="s"/>
    </row>
    <row r="21" spans="1:12" ht="18.75">
      <c r="A21" s="4">
        <v>20</v>
      </c>
      <c r="B21" s="4" t="s">
        <v>555</v>
      </c>
      <c r="C21" s="4">
        <v>1628</v>
      </c>
      <c r="D21" s="4" t="str">
        <f>=VLOOKUP(B21,[1]在校生综合信息查询!$A$223:$C$293,2,0)</f>
        <v>25q710103003</v>
      </c>
      <c r="E21" s="7">
        <v>26</v>
      </c>
      <c r="F21" s="7">
        <v>24</v>
      </c>
      <c r="G21" s="7">
        <v>16</v>
      </c>
      <c r="H21" s="6">
        <v>12</v>
      </c>
      <c r="I21" s="6">
        <v>10</v>
      </c>
      <c r="J21" s="6">
        <v>9</v>
      </c>
      <c r="K21" s="5" t="s"/>
      <c r="L21" s="5" t="s"/>
    </row>
    <row r="22" spans="1:12" ht="18.75">
      <c r="A22" s="4">
        <v>21</v>
      </c>
      <c r="B22" s="4" t="s">
        <v>557</v>
      </c>
      <c r="C22" s="4">
        <v>1660</v>
      </c>
      <c r="D22" s="4" t="str">
        <f>=VLOOKUP(B22,[1]在校生综合信息查询!$A$223:$C$293,2,0)</f>
        <v>25q710103037</v>
      </c>
      <c r="E22" s="7">
        <v>18</v>
      </c>
      <c r="F22" s="7">
        <v>0</v>
      </c>
      <c r="G22" s="7">
        <v>24</v>
      </c>
      <c r="H22" s="6">
        <v>14</v>
      </c>
      <c r="I22" s="6">
        <v>14</v>
      </c>
      <c r="J22" s="6">
        <v>0</v>
      </c>
      <c r="K22" s="5" t="s"/>
      <c r="L22" s="5" t="s"/>
    </row>
    <row r="23" spans="1:12" ht="18.75">
      <c r="A23" s="4">
        <v>22</v>
      </c>
      <c r="B23" s="4" t="s">
        <v>559</v>
      </c>
      <c r="C23" s="4">
        <v>1654</v>
      </c>
      <c r="D23" s="4" t="str">
        <f>=VLOOKUP(B23,[1]在校生综合信息查询!$A$223:$C$293,2,0)</f>
        <v>25q710103030</v>
      </c>
      <c r="E23" s="7">
        <v>13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5" t="s"/>
      <c r="L23" s="5" t="s"/>
    </row>
    <row r="24" spans="1:12" ht="18.75">
      <c r="A24" s="4">
        <v>23</v>
      </c>
      <c r="B24" s="4" t="s">
        <v>561</v>
      </c>
      <c r="C24" s="4">
        <v>1666</v>
      </c>
      <c r="D24" s="4" t="str">
        <f>=VLOOKUP(B24,[1]在校生综合信息查询!$A$223:$C$293,2,0)</f>
        <v>25q710103044</v>
      </c>
      <c r="E24" s="7">
        <v>15</v>
      </c>
      <c r="F24" s="7">
        <v>12</v>
      </c>
      <c r="G24" s="7">
        <v>36.5</v>
      </c>
      <c r="H24" s="6">
        <v>12</v>
      </c>
      <c r="I24" s="6">
        <v>14</v>
      </c>
      <c r="J24" s="6">
        <v>28</v>
      </c>
      <c r="K24" s="5" t="s"/>
      <c r="L24" s="5" t="s"/>
    </row>
    <row r="25" spans="1:12" ht="18.75">
      <c r="A25" s="4">
        <v>24</v>
      </c>
      <c r="B25" s="4" t="s">
        <v>563</v>
      </c>
      <c r="C25" s="4">
        <v>1637</v>
      </c>
      <c r="D25" s="4" t="str">
        <f>=VLOOKUP(B25,[1]在校生综合信息查询!$A$223:$C$293,2,0)</f>
        <v>25q710103013</v>
      </c>
      <c r="E25" s="7">
        <v>14</v>
      </c>
      <c r="F25" s="7">
        <v>0</v>
      </c>
      <c r="G25" s="7">
        <v>0</v>
      </c>
      <c r="H25" s="6">
        <v>14</v>
      </c>
      <c r="I25" s="6">
        <v>4</v>
      </c>
      <c r="J25" s="6">
        <v>12</v>
      </c>
      <c r="K25" s="5" t="s"/>
      <c r="L25" s="5" t="s"/>
    </row>
    <row r="26" spans="1:12" ht="18.75">
      <c r="A26" s="4">
        <v>25</v>
      </c>
      <c r="B26" s="4" t="s">
        <v>565</v>
      </c>
      <c r="C26" s="4">
        <v>1695</v>
      </c>
      <c r="D26" s="4" t="str">
        <f>=VLOOKUP(B26,[1]在校生综合信息查询!$A$223:$C$293,2,0)</f>
        <v>25q710201155</v>
      </c>
      <c r="E26" s="7">
        <v>0</v>
      </c>
      <c r="F26" s="7">
        <v>0</v>
      </c>
      <c r="G26" s="7">
        <v>0</v>
      </c>
      <c r="H26" s="5" t="s"/>
      <c r="I26" s="5" t="s"/>
      <c r="J26" s="5" t="s"/>
      <c r="K26" s="5" t="s"/>
      <c r="L26" s="5" t="s"/>
    </row>
    <row r="27" spans="1:12" ht="18.75">
      <c r="A27" s="4">
        <v>26</v>
      </c>
      <c r="B27" s="4" t="s">
        <v>567</v>
      </c>
      <c r="C27" s="4">
        <v>1630</v>
      </c>
      <c r="D27" s="4" t="str">
        <f>=VLOOKUP(B27,[1]在校生综合信息查询!$A$223:$C$293,2,0)</f>
        <v>25q710103005</v>
      </c>
      <c r="E27" s="7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5" t="s"/>
      <c r="L27" s="5" t="s"/>
    </row>
    <row r="28" spans="1:12" ht="18.75">
      <c r="A28" s="4">
        <v>27</v>
      </c>
      <c r="B28" s="4" t="s">
        <v>569</v>
      </c>
      <c r="C28" s="4">
        <v>1640</v>
      </c>
      <c r="D28" s="4" t="str">
        <f>=VLOOKUP(B28,[1]在校生综合信息查询!$A$223:$C$293,2,0)</f>
        <v>25q710103016</v>
      </c>
      <c r="E28" s="7">
        <v>18</v>
      </c>
      <c r="F28" s="7">
        <v>12</v>
      </c>
      <c r="G28" s="7">
        <v>18</v>
      </c>
      <c r="H28" s="6">
        <v>14</v>
      </c>
      <c r="I28" s="6">
        <v>10</v>
      </c>
      <c r="J28" s="6">
        <v>20</v>
      </c>
      <c r="K28" s="5" t="s"/>
      <c r="L28" s="5" t="s"/>
    </row>
    <row r="29" spans="1:12" ht="18.75">
      <c r="A29" s="4">
        <v>28</v>
      </c>
      <c r="B29" s="4" t="s">
        <v>571</v>
      </c>
      <c r="C29" s="4">
        <v>1625</v>
      </c>
      <c r="D29" s="4" t="str">
        <f>=VLOOKUP(B29,[1]在校生综合信息查询!$A$223:$C$293,2,0)</f>
        <v>25q710103354</v>
      </c>
      <c r="E29" s="7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5" t="s"/>
      <c r="L29" s="5" t="s"/>
    </row>
    <row r="30" spans="1:12" ht="18.75">
      <c r="A30" s="4">
        <v>29</v>
      </c>
      <c r="B30" s="4" t="s">
        <v>573</v>
      </c>
      <c r="C30" s="4">
        <v>1658</v>
      </c>
      <c r="D30" s="4" t="str">
        <f>=VLOOKUP(B30,[1]在校生综合信息查询!$A$223:$C$293,2,0)</f>
        <v>25q710103034</v>
      </c>
      <c r="E30" s="7">
        <v>44</v>
      </c>
      <c r="F30" s="7">
        <v>12</v>
      </c>
      <c r="G30" s="7">
        <v>17.5</v>
      </c>
      <c r="H30" s="6">
        <v>24</v>
      </c>
      <c r="I30" s="6">
        <v>24</v>
      </c>
      <c r="J30" s="6">
        <v>21</v>
      </c>
      <c r="K30" s="5" t="s"/>
      <c r="L30" s="5" t="s"/>
    </row>
    <row r="31" spans="1:12" ht="18.75">
      <c r="A31" s="4">
        <v>30</v>
      </c>
      <c r="B31" s="4" t="s">
        <v>575</v>
      </c>
      <c r="C31" s="4">
        <v>1652</v>
      </c>
      <c r="D31" s="4" t="str">
        <f>=VLOOKUP(B31,[1]在校生综合信息查询!$A$223:$C$293,2,0)</f>
        <v>25q710103028</v>
      </c>
      <c r="E31" s="7">
        <v>3</v>
      </c>
      <c r="F31" s="7">
        <v>16</v>
      </c>
      <c r="G31" s="7">
        <v>17</v>
      </c>
      <c r="H31" s="6">
        <v>24</v>
      </c>
      <c r="I31" s="6">
        <v>14</v>
      </c>
      <c r="J31" s="6">
        <v>24</v>
      </c>
      <c r="K31" s="5" t="s"/>
      <c r="L31" s="5" t="s"/>
    </row>
    <row r="32" spans="1:12" ht="18.75">
      <c r="A32" s="4">
        <v>31</v>
      </c>
      <c r="B32" s="4" t="s">
        <v>577</v>
      </c>
      <c r="C32" s="4">
        <v>1643</v>
      </c>
      <c r="D32" s="4" t="str">
        <f>=VLOOKUP(B32,[1]在校生综合信息查询!$A$223:$C$293,2,0)</f>
        <v>25q710103019</v>
      </c>
      <c r="E32" s="7">
        <v>6</v>
      </c>
      <c r="F32" s="7">
        <v>16</v>
      </c>
      <c r="G32" s="7">
        <v>18</v>
      </c>
      <c r="H32" s="6">
        <v>18</v>
      </c>
      <c r="I32" s="6">
        <v>10</v>
      </c>
      <c r="J32" s="6">
        <v>21</v>
      </c>
      <c r="K32" s="5" t="s"/>
      <c r="L32" s="5" t="s"/>
    </row>
    <row r="33" spans="1:12" ht="18.75">
      <c r="A33" s="4">
        <v>32</v>
      </c>
      <c r="B33" s="4" t="s">
        <v>579</v>
      </c>
      <c r="C33" s="4">
        <v>1647</v>
      </c>
      <c r="D33" s="4" t="str">
        <f>=VLOOKUP(B33,[1]在校生综合信息查询!$A$223:$C$293,2,0)</f>
        <v>25q710103023</v>
      </c>
      <c r="E33" s="7">
        <v>23</v>
      </c>
      <c r="F33" s="7">
        <v>36</v>
      </c>
      <c r="G33" s="7">
        <v>33</v>
      </c>
      <c r="H33" s="6">
        <v>10</v>
      </c>
      <c r="I33" s="6">
        <v>12</v>
      </c>
      <c r="J33" s="6">
        <v>33</v>
      </c>
      <c r="K33" s="5" t="s"/>
      <c r="L33" s="5" t="s"/>
    </row>
    <row r="34" spans="1:12" ht="18.75">
      <c r="A34" s="4">
        <v>33</v>
      </c>
      <c r="B34" s="4" t="s">
        <v>581</v>
      </c>
      <c r="C34" s="4">
        <v>1694</v>
      </c>
      <c r="D34" s="4" t="str">
        <f>=VLOOKUP(B34,[1]在校生综合信息查询!$A$223:$C$293,2,0)</f>
        <v>25q710103357</v>
      </c>
      <c r="E34" s="7">
        <v>0</v>
      </c>
      <c r="F34" s="7">
        <v>8</v>
      </c>
      <c r="G34" s="7">
        <v>26</v>
      </c>
      <c r="H34" s="6">
        <v>24</v>
      </c>
      <c r="I34" s="6">
        <v>0</v>
      </c>
      <c r="J34" s="6">
        <v>18</v>
      </c>
      <c r="K34" s="5" t="s"/>
      <c r="L34" s="5" t="s"/>
    </row>
    <row r="35" spans="1:12" ht="18.75">
      <c r="A35" s="4">
        <v>34</v>
      </c>
      <c r="B35" s="4" t="s">
        <v>583</v>
      </c>
      <c r="C35" s="4">
        <v>1644</v>
      </c>
      <c r="D35" s="4" t="str">
        <f>=VLOOKUP(B35,[1]在校生综合信息查询!$A$223:$C$293,2,0)</f>
        <v>25q710103020</v>
      </c>
      <c r="E35" s="7">
        <v>24</v>
      </c>
      <c r="F35" s="7">
        <v>12</v>
      </c>
      <c r="G35" s="7">
        <v>20</v>
      </c>
      <c r="H35" s="6">
        <v>22</v>
      </c>
      <c r="I35" s="6">
        <v>16</v>
      </c>
      <c r="J35" s="6">
        <v>15</v>
      </c>
      <c r="K35" s="5" t="s"/>
      <c r="L35" s="5" t="s"/>
    </row>
    <row r="36" spans="1:10" ht="18.75">
      <c r="A36" s="4">
        <v>35</v>
      </c>
      <c r="B36" s="15" t="s">
        <v>585</v>
      </c>
      <c r="C36" s="4">
        <v>1675</v>
      </c>
      <c r="D36" s="4" t="str">
        <f>=VLOOKUP(B36,[1]在校生综合信息查询!$A$223:$C$293,2,0)</f>
        <v>25q710103007</v>
      </c>
      <c r="E36" s="7">
        <v>13</v>
      </c>
      <c r="F36" s="7">
        <v>8</v>
      </c>
      <c r="G36" s="7">
        <v>17</v>
      </c>
      <c r="H36" s="6">
        <v>16</v>
      </c>
      <c r="I36" s="6">
        <v>20</v>
      </c>
      <c r="J36" s="6">
        <v>24</v>
      </c>
    </row>
    <row r="37" spans="1:10" ht="18.75">
      <c r="A37" s="4">
        <v>36</v>
      </c>
      <c r="B37" s="15" t="s">
        <v>587</v>
      </c>
      <c r="C37" s="4">
        <v>1682</v>
      </c>
      <c r="D37" s="4" t="str">
        <f>=VLOOKUP(B37,[1]在校生综合信息查询!$A$223:$C$293,2,0)</f>
        <v>25q710103043</v>
      </c>
      <c r="E37" s="7">
        <v>9</v>
      </c>
      <c r="F37" s="7">
        <v>24</v>
      </c>
      <c r="G37" s="7">
        <v>0</v>
      </c>
      <c r="H37" s="6">
        <v>0</v>
      </c>
      <c r="I37" s="6">
        <v>0</v>
      </c>
      <c r="J37" s="6">
        <v>0</v>
      </c>
    </row>
    <row r="38" spans="1:10" ht="18.75">
      <c r="A38" s="4">
        <v>37</v>
      </c>
      <c r="B38" s="15" t="s">
        <v>589</v>
      </c>
      <c r="C38" s="4">
        <v>1668</v>
      </c>
      <c r="D38" s="4" t="str">
        <f>=VLOOKUP(B38,[1]在校生综合信息查询!$A$223:$C$293,2,0)</f>
        <v>25q710103014</v>
      </c>
      <c r="E38" s="7">
        <v>24</v>
      </c>
      <c r="F38" s="7">
        <v>20</v>
      </c>
      <c r="G38" s="7">
        <v>22</v>
      </c>
      <c r="H38" s="6">
        <v>24</v>
      </c>
      <c r="I38" s="6">
        <v>10</v>
      </c>
      <c r="J38" s="6">
        <v>18</v>
      </c>
    </row>
    <row r="39" spans="1:10" ht="18.75">
      <c r="A39" s="4">
        <v>38</v>
      </c>
      <c r="B39" s="15" t="s">
        <v>591</v>
      </c>
      <c r="C39" s="4">
        <v>1686</v>
      </c>
      <c r="D39" s="4" t="str">
        <f>=VLOOKUP(B39,[1]在校生综合信息查询!$A$223:$C$293,2,0)</f>
        <v>25q710103055</v>
      </c>
      <c r="E39" s="7">
        <v>23</v>
      </c>
      <c r="F39" s="7">
        <v>28</v>
      </c>
      <c r="G39" s="7">
        <v>16.5</v>
      </c>
      <c r="H39" s="6">
        <v>28</v>
      </c>
      <c r="I39" s="6">
        <v>10</v>
      </c>
      <c r="J39" s="6">
        <v>12</v>
      </c>
    </row>
    <row r="40" spans="1:10" ht="18.75">
      <c r="A40" s="4">
        <v>39</v>
      </c>
      <c r="B40" s="15" t="s">
        <v>593</v>
      </c>
      <c r="C40" s="4">
        <v>1627</v>
      </c>
      <c r="D40" s="4" t="str">
        <f>=VLOOKUP(B40,[1]在校生综合信息查询!$A$223:$C$293,2,0)</f>
        <v>25q710103042</v>
      </c>
      <c r="E40" s="7">
        <v>0</v>
      </c>
      <c r="F40" s="7">
        <v>0</v>
      </c>
      <c r="G40" s="7">
        <v>0</v>
      </c>
      <c r="H40" s="5" t="s"/>
      <c r="I40" s="5" t="s"/>
      <c r="J40" s="5" t="s"/>
    </row>
    <row r="41" spans="1:10" ht="18.75">
      <c r="A41" s="4">
        <v>40</v>
      </c>
      <c r="B41" s="15" t="s">
        <v>595</v>
      </c>
      <c r="C41" s="4">
        <v>1641</v>
      </c>
      <c r="D41" s="4" t="e">
        <f>=VLOOKUP(B41,[1]在校生综合信息查询!$A$223:$C$293,2,0)</f>
        <v>#N/A</v>
      </c>
      <c r="E41" s="7">
        <v>0</v>
      </c>
      <c r="F41" s="7">
        <v>0</v>
      </c>
      <c r="G41" s="7">
        <v>0</v>
      </c>
      <c r="H41" s="5" t="s"/>
      <c r="I41" s="5" t="s"/>
      <c r="J41" s="5" t="s"/>
    </row>
    <row r="42" spans="1:10" ht="18.75">
      <c r="A42" s="4">
        <v>41</v>
      </c>
      <c r="B42" s="15" t="s">
        <v>596</v>
      </c>
      <c r="C42" s="4">
        <v>1646</v>
      </c>
      <c r="D42" s="4" t="str">
        <f>=VLOOKUP(B42,[1]在校生综合信息查询!$A$223:$C$293,2,0)</f>
        <v>25q710103036</v>
      </c>
      <c r="E42" s="7">
        <v>0</v>
      </c>
      <c r="F42" s="7">
        <v>0</v>
      </c>
      <c r="G42" s="7">
        <v>0</v>
      </c>
      <c r="H42" s="5" t="s"/>
      <c r="I42" s="5" t="s"/>
      <c r="J42" s="5" t="s"/>
    </row>
    <row r="43" spans="1:10" ht="18.75">
      <c r="A43" s="4">
        <v>42</v>
      </c>
      <c r="B43" s="15" t="s">
        <v>598</v>
      </c>
      <c r="C43" s="4">
        <v>1689</v>
      </c>
      <c r="D43" s="4" t="str">
        <f>=VLOOKUP(B43,[1]在校生综合信息查询!$A$223:$C$293,2,0)</f>
        <v>25q710103015</v>
      </c>
      <c r="E43" s="7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</row>
    <row r="44" spans="1:10" ht="18.75">
      <c r="A44" s="4">
        <v>43</v>
      </c>
      <c r="B44" s="15" t="s">
        <v>600</v>
      </c>
      <c r="C44" s="4">
        <v>1692</v>
      </c>
      <c r="D44" s="4" t="str">
        <f>=VLOOKUP(B44,[1]在校生综合信息查询!$A$223:$C$293,2,0)</f>
        <v>25q710103026</v>
      </c>
      <c r="E44" s="7">
        <v>6</v>
      </c>
      <c r="F44" s="7">
        <v>0</v>
      </c>
      <c r="G44" s="7">
        <v>18.5</v>
      </c>
      <c r="H44" s="6">
        <v>16</v>
      </c>
      <c r="I44" s="6">
        <v>16</v>
      </c>
      <c r="J44" s="6">
        <v>15</v>
      </c>
    </row>
    <row r="45" spans="1:10" ht="18.75">
      <c r="A45" s="4">
        <v>44</v>
      </c>
      <c r="B45" s="15" t="s">
        <v>602</v>
      </c>
      <c r="C45" s="4">
        <v>1679</v>
      </c>
      <c r="D45" s="4" t="str">
        <f>=VLOOKUP(B45,[1]在校生综合信息查询!$A$223:$C$293,2,0)</f>
        <v>25q710103054</v>
      </c>
      <c r="E45" s="7">
        <v>12</v>
      </c>
      <c r="F45" s="7">
        <v>8</v>
      </c>
      <c r="G45" s="7">
        <v>21</v>
      </c>
      <c r="H45" s="6">
        <v>16</v>
      </c>
      <c r="I45" s="6">
        <v>10</v>
      </c>
      <c r="J45" s="6">
        <v>21</v>
      </c>
    </row>
    <row r="46" spans="1:10" ht="18.75">
      <c r="A46" s="4">
        <v>45</v>
      </c>
      <c r="B46" s="15" t="s">
        <v>604</v>
      </c>
      <c r="C46" s="4">
        <v>1680</v>
      </c>
      <c r="D46" s="4" t="str">
        <f>=VLOOKUP(B46,[1]在校生综合信息查询!$A$223:$C$293,2,0)</f>
        <v>25q710103061</v>
      </c>
      <c r="E46" s="7">
        <v>9</v>
      </c>
      <c r="F46" s="7">
        <v>12</v>
      </c>
      <c r="G46" s="7">
        <v>21</v>
      </c>
      <c r="H46" s="6">
        <v>14</v>
      </c>
      <c r="I46" s="6">
        <v>12</v>
      </c>
      <c r="J46" s="6">
        <v>24</v>
      </c>
    </row>
    <row r="47" spans="1:10" ht="18.75">
      <c r="A47" s="4">
        <v>46</v>
      </c>
      <c r="B47" s="15" t="s">
        <v>606</v>
      </c>
      <c r="C47" s="4">
        <v>1669</v>
      </c>
      <c r="D47" s="4" t="str">
        <f>=VLOOKUP(B47,[1]在校生综合信息查询!$A$223:$C$293,2,0)</f>
        <v>25q710103046</v>
      </c>
      <c r="E47" s="7">
        <v>12</v>
      </c>
      <c r="F47" s="7">
        <v>8</v>
      </c>
      <c r="G47" s="7">
        <v>8</v>
      </c>
      <c r="H47" s="6">
        <v>18</v>
      </c>
      <c r="I47" s="6">
        <v>10</v>
      </c>
      <c r="J47" s="6">
        <v>24</v>
      </c>
    </row>
    <row r="48" spans="1:10" ht="18.75">
      <c r="A48" s="4">
        <v>47</v>
      </c>
      <c r="B48" s="15" t="s">
        <v>608</v>
      </c>
      <c r="C48" s="4">
        <v>1633</v>
      </c>
      <c r="D48" s="4" t="str">
        <f>=VLOOKUP(B48,[1]在校生综合信息查询!$A$223:$C$293,2,0)</f>
        <v>25q710103065</v>
      </c>
      <c r="E48" s="7">
        <v>9</v>
      </c>
      <c r="F48" s="7">
        <v>0</v>
      </c>
      <c r="G48" s="7">
        <v>0</v>
      </c>
      <c r="H48" s="5" t="s"/>
      <c r="I48" s="5" t="s"/>
      <c r="J48" s="6">
        <v>9</v>
      </c>
    </row>
    <row r="49" spans="1:10" ht="18.75">
      <c r="A49" s="4">
        <v>48</v>
      </c>
      <c r="B49" s="15" t="s">
        <v>610</v>
      </c>
      <c r="C49" s="4">
        <v>1663</v>
      </c>
      <c r="D49" s="4" t="str">
        <f>=VLOOKUP(B49,[1]在校生综合信息查询!$A$223:$C$293,2,0)</f>
        <v>25q710103002</v>
      </c>
      <c r="E49" s="7">
        <v>60</v>
      </c>
      <c r="F49" s="7">
        <v>24</v>
      </c>
      <c r="G49" s="7">
        <v>26.5</v>
      </c>
      <c r="H49" s="6">
        <v>18</v>
      </c>
      <c r="I49" s="6">
        <v>20</v>
      </c>
      <c r="J49" s="6">
        <v>40</v>
      </c>
    </row>
    <row r="50" spans="1:10" ht="18.75">
      <c r="A50" s="4">
        <v>49</v>
      </c>
      <c r="B50" s="15" t="s">
        <v>612</v>
      </c>
      <c r="C50" s="4">
        <v>1657</v>
      </c>
      <c r="D50" s="4" t="str">
        <f>=VLOOKUP(B50,[1]在校生综合信息查询!$A$223:$C$293,2,0)</f>
        <v>25q710103017</v>
      </c>
      <c r="E50" s="7">
        <v>40</v>
      </c>
      <c r="F50" s="7">
        <v>12</v>
      </c>
      <c r="G50" s="7">
        <v>27.5</v>
      </c>
      <c r="H50" s="6">
        <v>16</v>
      </c>
      <c r="I50" s="6">
        <v>14</v>
      </c>
      <c r="J50" s="6">
        <v>38</v>
      </c>
    </row>
    <row r="51" spans="1:10" ht="18.75">
      <c r="A51" s="4">
        <v>50</v>
      </c>
      <c r="B51" s="15" t="s">
        <v>614</v>
      </c>
      <c r="C51" s="4">
        <v>1651</v>
      </c>
      <c r="D51" s="4" t="str">
        <f>=VLOOKUP(B51,[1]在校生综合信息查询!$A$223:$C$293,2,0)</f>
        <v>25q710103022</v>
      </c>
      <c r="E51" s="7">
        <v>49</v>
      </c>
      <c r="F51" s="7">
        <v>90</v>
      </c>
      <c r="G51" s="7">
        <v>51.5</v>
      </c>
      <c r="H51" s="6">
        <v>36</v>
      </c>
      <c r="I51" s="6">
        <v>18</v>
      </c>
      <c r="J51" s="6">
        <v>42</v>
      </c>
    </row>
    <row r="52" spans="1:10" ht="18.75">
      <c r="A52" s="4">
        <v>51</v>
      </c>
      <c r="B52" s="15" t="s">
        <v>616</v>
      </c>
      <c r="C52" s="4">
        <v>1693</v>
      </c>
      <c r="D52" s="4" t="str">
        <f>=VLOOKUP(B52,[1]在校生综合信息查询!$A$223:$C$293,2,0)</f>
        <v>25q710103008</v>
      </c>
      <c r="E52" s="7">
        <v>9</v>
      </c>
      <c r="F52" s="7">
        <v>8</v>
      </c>
      <c r="G52" s="7">
        <v>21</v>
      </c>
      <c r="H52" s="6">
        <v>12</v>
      </c>
      <c r="I52" s="6">
        <v>12</v>
      </c>
      <c r="J52" s="6">
        <v>9</v>
      </c>
    </row>
    <row r="53" spans="1:10" ht="18.75">
      <c r="A53" s="4">
        <v>52</v>
      </c>
      <c r="B53" s="15" t="s">
        <v>618</v>
      </c>
      <c r="C53" s="4">
        <v>1645</v>
      </c>
      <c r="D53" s="4" t="str">
        <f>=VLOOKUP(B53,[1]在校生综合信息查询!$A$223:$C$293,2,0)</f>
        <v>25q710103049</v>
      </c>
      <c r="E53" s="7">
        <v>21</v>
      </c>
      <c r="F53" s="7">
        <v>36</v>
      </c>
      <c r="G53" s="7">
        <v>16.5</v>
      </c>
      <c r="H53" s="6">
        <v>16</v>
      </c>
      <c r="I53" s="6">
        <v>6</v>
      </c>
      <c r="J53" s="6">
        <v>21</v>
      </c>
    </row>
    <row r="54" spans="1:10" ht="18.75">
      <c r="A54" s="4">
        <v>53</v>
      </c>
      <c r="B54" s="15" t="s">
        <v>620</v>
      </c>
      <c r="C54" s="4">
        <v>1671</v>
      </c>
      <c r="D54" s="4" t="str">
        <f>=VLOOKUP(B54,[1]在校生综合信息查询!$A$223:$C$293,2,0)</f>
        <v>25q710103058</v>
      </c>
      <c r="E54" s="7">
        <v>23</v>
      </c>
      <c r="F54" s="7">
        <v>28</v>
      </c>
      <c r="G54" s="7">
        <v>20.5</v>
      </c>
      <c r="H54" s="6">
        <v>18</v>
      </c>
      <c r="I54" s="6">
        <v>18</v>
      </c>
      <c r="J54" s="6">
        <v>30</v>
      </c>
    </row>
    <row r="55" spans="1:10" ht="18.75">
      <c r="A55" s="4">
        <v>54</v>
      </c>
      <c r="B55" s="15" t="s">
        <v>622</v>
      </c>
      <c r="C55" s="4">
        <v>1631</v>
      </c>
      <c r="D55" s="4" t="str">
        <f>=VLOOKUP(B55,[1]在校生综合信息查询!$A$223:$C$293,2,0)</f>
        <v>25q710103059</v>
      </c>
      <c r="E55" s="7">
        <v>24</v>
      </c>
      <c r="F55" s="7">
        <v>16</v>
      </c>
      <c r="G55" s="7">
        <v>25.5</v>
      </c>
      <c r="H55" s="6">
        <v>22</v>
      </c>
      <c r="I55" s="6">
        <v>18</v>
      </c>
      <c r="J55" s="6">
        <v>18</v>
      </c>
    </row>
    <row r="56" spans="1:10" ht="18.75">
      <c r="A56" s="4">
        <v>55</v>
      </c>
      <c r="B56" s="15" t="s">
        <v>624</v>
      </c>
      <c r="C56" s="4">
        <v>1683</v>
      </c>
      <c r="D56" s="4" t="str">
        <f>=VLOOKUP(B56,[1]在校生综合信息查询!$A$223:$C$293,2,0)</f>
        <v>25q710103047</v>
      </c>
      <c r="E56" s="7">
        <v>0</v>
      </c>
      <c r="F56" s="7">
        <v>32</v>
      </c>
      <c r="G56" s="7">
        <v>22</v>
      </c>
      <c r="H56" s="6">
        <v>12</v>
      </c>
      <c r="I56" s="6">
        <v>12</v>
      </c>
      <c r="J56" s="6">
        <v>18</v>
      </c>
    </row>
    <row r="57" spans="1:10" ht="18.75">
      <c r="A57" s="4">
        <v>56</v>
      </c>
      <c r="B57" s="15" t="s">
        <v>626</v>
      </c>
      <c r="C57" s="4">
        <v>1670</v>
      </c>
      <c r="D57" s="4" t="str">
        <f>=VLOOKUP(B57,[1]在校生综合信息查询!$A$223:$C$293,2,0)</f>
        <v>25q710103009</v>
      </c>
      <c r="E57" s="7">
        <v>51</v>
      </c>
      <c r="F57" s="7">
        <v>20</v>
      </c>
      <c r="G57" s="7">
        <v>20</v>
      </c>
      <c r="H57" s="6">
        <v>12</v>
      </c>
      <c r="I57" s="6">
        <v>8</v>
      </c>
      <c r="J57" s="6">
        <v>32</v>
      </c>
    </row>
    <row r="58" spans="1:10" ht="18.75">
      <c r="A58" s="4">
        <v>57</v>
      </c>
      <c r="B58" s="15" t="s">
        <v>628</v>
      </c>
      <c r="C58" s="4">
        <v>1629</v>
      </c>
      <c r="D58" s="4" t="str">
        <f>=VLOOKUP(B58,[1]在校生综合信息查询!$A$223:$C$293,2,0)</f>
        <v>25q710103041</v>
      </c>
      <c r="E58" s="7">
        <v>12</v>
      </c>
      <c r="F58" s="7">
        <v>12</v>
      </c>
      <c r="G58" s="7">
        <v>15.5</v>
      </c>
      <c r="H58" s="6">
        <v>0</v>
      </c>
      <c r="I58" s="6">
        <v>0</v>
      </c>
      <c r="J58" s="6">
        <v>0</v>
      </c>
    </row>
    <row r="59" spans="1:10" ht="18.75">
      <c r="A59" s="4">
        <v>58</v>
      </c>
      <c r="B59" s="15" t="s">
        <v>630</v>
      </c>
      <c r="C59" s="4">
        <v>1681</v>
      </c>
      <c r="D59" s="4" t="str">
        <f>=VLOOKUP(B59,[1]在校生综合信息查询!$A$223:$C$293,2,0)</f>
        <v>25q710103033</v>
      </c>
      <c r="E59" s="7">
        <v>0</v>
      </c>
      <c r="F59" s="7">
        <v>0</v>
      </c>
      <c r="G59" s="7">
        <v>0</v>
      </c>
      <c r="H59" s="6">
        <v>0</v>
      </c>
      <c r="I59" s="6">
        <v>0</v>
      </c>
      <c r="J59" s="6">
        <v>0</v>
      </c>
    </row>
    <row r="60" spans="1:10" ht="18.75">
      <c r="A60" s="4">
        <v>59</v>
      </c>
      <c r="B60" s="15" t="s">
        <v>632</v>
      </c>
      <c r="C60" s="4">
        <v>1653</v>
      </c>
      <c r="D60" s="4" t="str">
        <f>=VLOOKUP(B60,[1]在校生综合信息查询!$A$223:$C$293,2,0)</f>
        <v>25q710103027</v>
      </c>
      <c r="E60" s="7">
        <v>9</v>
      </c>
      <c r="F60" s="7">
        <v>16</v>
      </c>
      <c r="G60" s="7">
        <v>16</v>
      </c>
      <c r="H60" s="6">
        <v>12</v>
      </c>
      <c r="I60" s="6">
        <v>10</v>
      </c>
      <c r="J60" s="6">
        <v>30</v>
      </c>
    </row>
    <row r="61" spans="1:10" ht="18.75">
      <c r="A61" s="4">
        <v>60</v>
      </c>
      <c r="B61" s="15" t="s">
        <v>634</v>
      </c>
      <c r="C61" s="4">
        <v>1687</v>
      </c>
      <c r="D61" s="4" t="str">
        <f>=VLOOKUP(B61,[1]在校生综合信息查询!$A$223:$C$293,2,0)</f>
        <v>25q770101021</v>
      </c>
      <c r="E61" s="7">
        <v>0</v>
      </c>
      <c r="F61" s="7">
        <v>0</v>
      </c>
      <c r="G61" s="7">
        <v>0</v>
      </c>
      <c r="H61" s="5" t="s"/>
      <c r="I61" s="5" t="s"/>
      <c r="J61" s="5" t="s"/>
    </row>
    <row r="62" spans="1:10" ht="18.75">
      <c r="A62" s="4">
        <v>61</v>
      </c>
      <c r="B62" s="15" t="s">
        <v>636</v>
      </c>
      <c r="C62" s="4">
        <v>1656</v>
      </c>
      <c r="D62" s="4" t="str">
        <f>=VLOOKUP(B62,[1]在校生综合信息查询!$A$223:$C$293,2,0)</f>
        <v>25q710103021</v>
      </c>
      <c r="E62" s="7">
        <v>0</v>
      </c>
      <c r="F62" s="7">
        <v>0</v>
      </c>
      <c r="G62" s="7">
        <v>0</v>
      </c>
      <c r="H62" s="6">
        <v>0</v>
      </c>
      <c r="I62" s="6">
        <v>0</v>
      </c>
      <c r="J62" s="6">
        <v>0</v>
      </c>
    </row>
    <row r="63" spans="1:10" ht="18.75">
      <c r="A63" s="4">
        <v>62</v>
      </c>
      <c r="B63" s="4" t="s">
        <v>638</v>
      </c>
      <c r="C63" s="4">
        <v>1626</v>
      </c>
      <c r="D63" s="4" t="str">
        <f>=VLOOKUP(B63,[1]在校生综合信息查询!$A$223:$C$293,2,0)</f>
        <v>25q710103050</v>
      </c>
      <c r="E63" s="7">
        <v>9</v>
      </c>
      <c r="F63" s="7">
        <v>20</v>
      </c>
      <c r="G63" s="7">
        <v>19</v>
      </c>
      <c r="H63" s="6">
        <v>14</v>
      </c>
      <c r="I63" s="6">
        <v>14</v>
      </c>
      <c r="J63" s="6">
        <v>15</v>
      </c>
    </row>
    <row r="64" spans="1:10" ht="18.75">
      <c r="A64" s="4">
        <v>63</v>
      </c>
      <c r="B64" s="4" t="s">
        <v>640</v>
      </c>
      <c r="C64" s="4">
        <v>1649</v>
      </c>
      <c r="D64" s="4" t="str">
        <f>=VLOOKUP(B64,[1]在校生综合信息查询!$A$223:$C$293,2,0)</f>
        <v>25q710103006</v>
      </c>
      <c r="E64" s="7">
        <v>3</v>
      </c>
      <c r="F64" s="7">
        <v>8</v>
      </c>
      <c r="G64" s="7">
        <v>24</v>
      </c>
      <c r="H64" s="6">
        <v>18</v>
      </c>
      <c r="I64" s="6">
        <v>14</v>
      </c>
      <c r="J64" s="6">
        <v>24</v>
      </c>
    </row>
    <row r="65" spans="1:10" ht="18.75">
      <c r="A65" s="4">
        <v>64</v>
      </c>
      <c r="B65" s="4" t="s">
        <v>642</v>
      </c>
      <c r="C65" s="4" t="s"/>
      <c r="D65" s="4" t="str">
        <f>=VLOOKUP(B65,[1]在校生综合信息查询!$A$223:$C$293,2,0)</f>
        <v>25q710103062</v>
      </c>
      <c r="E65" s="7">
        <v>17</v>
      </c>
      <c r="F65" s="7">
        <v>24</v>
      </c>
      <c r="G65" s="7">
        <v>19.5</v>
      </c>
      <c r="H65" s="6">
        <v>16</v>
      </c>
      <c r="I65" s="6">
        <v>18</v>
      </c>
      <c r="J65" s="6">
        <v>21</v>
      </c>
    </row>
    <row r="66" spans="1:10" ht="18.75">
      <c r="A66" s="4">
        <v>65</v>
      </c>
      <c r="B66" s="4" t="s">
        <v>644</v>
      </c>
      <c r="C66" s="4" t="s"/>
      <c r="D66" s="4" t="str">
        <f>=VLOOKUP(B66,[1]在校生综合信息查询!$A$223:$C$293,2,0)</f>
        <v>25q710103048</v>
      </c>
      <c r="E66" s="7">
        <v>10</v>
      </c>
      <c r="F66" s="7">
        <v>8</v>
      </c>
      <c r="G66" s="7">
        <v>24.5</v>
      </c>
      <c r="H66" s="6">
        <v>16</v>
      </c>
      <c r="I66" s="6">
        <v>12</v>
      </c>
      <c r="J66" s="6">
        <v>24</v>
      </c>
    </row>
    <row r="67" spans="1:10" ht="18.75">
      <c r="A67" s="4">
        <v>66</v>
      </c>
      <c r="B67" s="4" t="s">
        <v>646</v>
      </c>
      <c r="C67" s="4" t="s"/>
      <c r="D67" s="4" t="str">
        <f>=VLOOKUP(B67,[1]在校生综合信息查询!$A$223:$C$293,2,0)</f>
        <v>25q710103004</v>
      </c>
      <c r="E67" s="7">
        <v>9</v>
      </c>
      <c r="F67" s="7">
        <v>12</v>
      </c>
      <c r="G67" s="7">
        <v>23</v>
      </c>
      <c r="H67" s="6">
        <v>20</v>
      </c>
      <c r="I67" s="6">
        <v>20</v>
      </c>
      <c r="J67" s="6">
        <v>27</v>
      </c>
    </row>
    <row r="68" spans="1:10" ht="18.75">
      <c r="A68" s="4">
        <v>67</v>
      </c>
      <c r="B68" s="4" t="s">
        <v>648</v>
      </c>
      <c r="C68" s="4" t="s"/>
      <c r="D68" s="4" t="str">
        <f>=VLOOKUP(B68,[1]在校生综合信息查询!$A$223:$C$293,2,0)</f>
        <v>25q710103060</v>
      </c>
      <c r="E68" s="7">
        <v>38</v>
      </c>
      <c r="F68" s="7">
        <v>24</v>
      </c>
      <c r="G68" s="7">
        <v>27.5</v>
      </c>
      <c r="H68" s="6">
        <v>16</v>
      </c>
      <c r="I68" s="6">
        <v>10</v>
      </c>
      <c r="J68" s="6">
        <v>27</v>
      </c>
    </row>
    <row r="69" spans="1:10" ht="18.75">
      <c r="A69" s="4">
        <v>68</v>
      </c>
      <c r="B69" s="4" t="s">
        <v>650</v>
      </c>
      <c r="C69" s="4" t="s"/>
      <c r="D69" s="4" t="str">
        <f>=VLOOKUP(B69,[1]在校生综合信息查询!$A$223:$C$293,2,0)</f>
        <v>25q710103029</v>
      </c>
      <c r="E69" s="7">
        <v>9</v>
      </c>
      <c r="F69" s="7">
        <v>16</v>
      </c>
      <c r="G69" s="7">
        <v>11.5</v>
      </c>
      <c r="H69" s="6">
        <v>20</v>
      </c>
      <c r="I69" s="6">
        <v>14</v>
      </c>
      <c r="J69" s="6">
        <v>27</v>
      </c>
    </row>
    <row r="70" spans="1:10" ht="18.75">
      <c r="A70" s="4">
        <v>69</v>
      </c>
      <c r="B70" s="4" t="s">
        <v>652</v>
      </c>
      <c r="C70" s="4" t="s"/>
      <c r="D70" s="4" t="str">
        <f>=VLOOKUP(B70,[1]在校生综合信息查询!$A$223:$C$293,2,0)</f>
        <v>25q710103351</v>
      </c>
      <c r="E70" s="7">
        <v>0</v>
      </c>
      <c r="F70" s="7">
        <v>0</v>
      </c>
      <c r="G70" s="7">
        <v>0</v>
      </c>
      <c r="H70" s="5" t="s"/>
      <c r="I70" s="5" t="s"/>
      <c r="J70" s="5" t="s"/>
    </row>
    <row r="71" spans="1:10" ht="18.75">
      <c r="A71" s="4">
        <v>70</v>
      </c>
      <c r="B71" s="4" t="s">
        <v>654</v>
      </c>
      <c r="C71" s="4" t="s"/>
      <c r="D71" s="4" t="str">
        <f>=VLOOKUP(B71,[1]在校生综合信息查询!$A$223:$C$293,2,0)</f>
        <v>25q710103032</v>
      </c>
      <c r="E71" s="7">
        <v>0</v>
      </c>
      <c r="F71" s="7">
        <v>0</v>
      </c>
      <c r="G71" s="7">
        <v>0</v>
      </c>
      <c r="H71" s="6">
        <v>0</v>
      </c>
      <c r="I71" s="6">
        <v>0</v>
      </c>
      <c r="J71" s="6">
        <v>0</v>
      </c>
    </row>
    <row r="72" spans="1:10" ht="18.75">
      <c r="A72" s="4">
        <v>71</v>
      </c>
      <c r="B72" s="4" t="s">
        <v>656</v>
      </c>
      <c r="C72" s="4" t="s"/>
      <c r="D72" s="4" t="str">
        <f>=VLOOKUP(B72,[1]在校生综合信息查询!$A$223:$C$293,2,0)</f>
        <v>25q710103001</v>
      </c>
      <c r="E72" s="7">
        <v>0</v>
      </c>
      <c r="F72" s="7">
        <v>0</v>
      </c>
      <c r="G72" s="7">
        <v>0</v>
      </c>
      <c r="H72" s="6">
        <v>0</v>
      </c>
      <c r="I72" s="6">
        <v>0</v>
      </c>
      <c r="J72" s="6">
        <v>0</v>
      </c>
    </row>
    <row r="73" spans="1:10" ht="18.75">
      <c r="A73" s="4">
        <v>72</v>
      </c>
      <c r="B73" s="4" t="s">
        <v>658</v>
      </c>
      <c r="C73" s="4" t="s"/>
      <c r="D73" s="4" t="str">
        <f>=VLOOKUP(B73,[1]在校生综合信息查询!$A$223:$C$293,2,0)</f>
        <v>25q710103025</v>
      </c>
      <c r="E73" s="7">
        <v>12</v>
      </c>
      <c r="F73" s="7">
        <v>20</v>
      </c>
      <c r="G73" s="7">
        <v>13.5</v>
      </c>
      <c r="H73" s="6">
        <v>12</v>
      </c>
      <c r="I73" s="6">
        <v>22</v>
      </c>
      <c r="J73" s="6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/>
  <dimension ref="J58"/>
  <sheetViews>
    <sheetView showGridLines="1" topLeftCell="A45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8" max="8" width="30.25" customWidth="1"/>
    <col min="9" max="9" width="30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143</v>
      </c>
      <c r="I1" s="5" t="s">
        <v>144</v>
      </c>
      <c r="J1" s="5" t="s">
        <v>11</v>
      </c>
      <c r="K1" s="5" t="s">
        <v>12</v>
      </c>
      <c r="L1" s="5" t="s"/>
    </row>
    <row r="2" spans="1:12" ht="18.75">
      <c r="A2" s="4">
        <v>1</v>
      </c>
      <c r="B2" s="4" t="s">
        <v>660</v>
      </c>
      <c r="C2" s="4">
        <v>1873</v>
      </c>
      <c r="D2" s="4" t="str">
        <f>=VLOOKUP(B2,[1]在校生综合信息查询!$A$349:$C$404,2,0)</f>
        <v>25q710103254</v>
      </c>
      <c r="E2" s="6">
        <v>74</v>
      </c>
      <c r="F2" s="6">
        <v>100</v>
      </c>
      <c r="G2" s="6">
        <v>33</v>
      </c>
      <c r="H2" s="6">
        <v>48</v>
      </c>
      <c r="I2" s="6">
        <v>42</v>
      </c>
      <c r="J2" s="5">
        <f>=E2+F2+G2+H2+I2</f>
        <v>297</v>
      </c>
      <c r="K2" s="5" t="s"/>
      <c r="L2" s="5" t="s"/>
    </row>
    <row r="3" spans="1:12" ht="18.75">
      <c r="A3" s="4">
        <v>2</v>
      </c>
      <c r="B3" s="4" t="s">
        <v>662</v>
      </c>
      <c r="C3" s="4">
        <v>1879</v>
      </c>
      <c r="D3" s="4" t="str">
        <f>=VLOOKUP(B3,[1]在校生综合信息查询!$A$349:$C$404,2,0)</f>
        <v>25q710103264</v>
      </c>
      <c r="E3" s="6">
        <v>63</v>
      </c>
      <c r="F3" s="6">
        <v>67</v>
      </c>
      <c r="G3" s="6">
        <v>48.5</v>
      </c>
      <c r="H3" s="6">
        <v>53</v>
      </c>
      <c r="I3" s="6">
        <v>56</v>
      </c>
      <c r="J3" s="5">
        <f>=E3+F3+G3+H3+I3</f>
        <v>287.5</v>
      </c>
      <c r="K3" s="5" t="s"/>
      <c r="L3" s="5" t="s"/>
    </row>
    <row r="4" spans="1:12" ht="18.75">
      <c r="A4" s="4">
        <v>3</v>
      </c>
      <c r="B4" s="4" t="s">
        <v>664</v>
      </c>
      <c r="C4" s="4">
        <v>1860</v>
      </c>
      <c r="D4" s="4" t="str">
        <f>=VLOOKUP(B4,[1]在校生综合信息查询!$A$349:$C$404,2,0)</f>
        <v>25q710103237</v>
      </c>
      <c r="E4" s="6">
        <v>56</v>
      </c>
      <c r="F4" s="6">
        <v>20</v>
      </c>
      <c r="G4" s="6">
        <v>59.5</v>
      </c>
      <c r="H4" s="6">
        <v>27</v>
      </c>
      <c r="I4" s="6">
        <v>60</v>
      </c>
      <c r="J4" s="5">
        <f>=E4+F4+G4+H4+I4</f>
        <v>222.5</v>
      </c>
      <c r="K4" s="5" t="s"/>
      <c r="L4" s="5" t="s"/>
    </row>
    <row r="5" spans="1:12" ht="18.75">
      <c r="A5" s="4">
        <v>4</v>
      </c>
      <c r="B5" s="4" t="s">
        <v>666</v>
      </c>
      <c r="C5" s="4">
        <v>1888</v>
      </c>
      <c r="D5" s="4" t="str">
        <f>=VLOOKUP(B5,[1]在校生综合信息查询!$A$349:$C$404,2,0)</f>
        <v>25q710103286</v>
      </c>
      <c r="E5" s="6">
        <v>79</v>
      </c>
      <c r="F5" s="6">
        <v>48</v>
      </c>
      <c r="G5" s="6">
        <v>19</v>
      </c>
      <c r="H5" s="6">
        <v>43</v>
      </c>
      <c r="I5" s="6">
        <v>52</v>
      </c>
      <c r="J5" s="5">
        <f>=E5+F5+G5+H5+I5</f>
        <v>241</v>
      </c>
      <c r="K5" s="5" t="s"/>
      <c r="L5" s="5" t="s"/>
    </row>
    <row r="6" spans="1:12" ht="18.75">
      <c r="A6" s="4">
        <v>5</v>
      </c>
      <c r="B6" s="4" t="s">
        <v>397</v>
      </c>
      <c r="C6" s="4">
        <v>1849</v>
      </c>
      <c r="D6" s="4" t="str">
        <f>=VLOOKUP(B6,[1]在校生综合信息查询!$A$349:$C$404,2,0)</f>
        <v>25q710103224</v>
      </c>
      <c r="E6" s="6">
        <v>78</v>
      </c>
      <c r="F6" s="6">
        <v>69</v>
      </c>
      <c r="G6" s="6">
        <v>35</v>
      </c>
      <c r="H6" s="6">
        <v>32</v>
      </c>
      <c r="I6" s="6">
        <v>26</v>
      </c>
      <c r="J6" s="5">
        <f>=E6+F6+G6+H6+I6</f>
        <v>240</v>
      </c>
      <c r="K6" s="5" t="s"/>
      <c r="L6" s="5" t="s"/>
    </row>
    <row r="7" spans="1:12" ht="18.75">
      <c r="A7" s="4">
        <v>6</v>
      </c>
      <c r="B7" s="4" t="s">
        <v>669</v>
      </c>
      <c r="C7" s="4">
        <v>1857</v>
      </c>
      <c r="D7" s="4" t="str">
        <f>=VLOOKUP(B7,[1]在校生综合信息查询!$A$349:$C$404,2,0)</f>
        <v>25q710103234</v>
      </c>
      <c r="E7" s="6">
        <v>75</v>
      </c>
      <c r="F7" s="6">
        <v>84</v>
      </c>
      <c r="G7" s="6">
        <v>25</v>
      </c>
      <c r="H7" s="6">
        <v>56</v>
      </c>
      <c r="I7" s="6">
        <v>42</v>
      </c>
      <c r="J7" s="5">
        <f>=E7+F7+G7+H7+I7</f>
        <v>282</v>
      </c>
      <c r="K7" s="5" t="s"/>
      <c r="L7" s="5" t="s"/>
    </row>
    <row r="8" spans="1:12" ht="18.75">
      <c r="A8" s="4">
        <v>7</v>
      </c>
      <c r="B8" s="4" t="s">
        <v>671</v>
      </c>
      <c r="C8" s="4">
        <v>1880</v>
      </c>
      <c r="D8" s="4" t="str">
        <f>=VLOOKUP(B8,[1]在校生综合信息查询!$A$349:$C$404,2,0)</f>
        <v>25q710103265</v>
      </c>
      <c r="E8" s="6">
        <v>73</v>
      </c>
      <c r="F8" s="6">
        <v>16</v>
      </c>
      <c r="G8" s="6">
        <v>47</v>
      </c>
      <c r="H8" s="6">
        <v>34</v>
      </c>
      <c r="I8" s="6">
        <v>24</v>
      </c>
      <c r="J8" s="5">
        <f>=E8+F8+G8+H8+I8</f>
        <v>194</v>
      </c>
      <c r="K8" s="5" t="s"/>
      <c r="L8" s="5" t="s"/>
    </row>
    <row r="9" spans="1:12" ht="18.75">
      <c r="A9" s="4">
        <v>8</v>
      </c>
      <c r="B9" s="4" t="s">
        <v>673</v>
      </c>
      <c r="C9" s="4">
        <v>1894</v>
      </c>
      <c r="D9" s="4" t="str">
        <f>=VLOOKUP(B9,[1]在校生综合信息查询!$A$349:$C$404,2,0)</f>
        <v>25q710103266</v>
      </c>
      <c r="E9" s="6">
        <v>67</v>
      </c>
      <c r="F9" s="6">
        <v>32</v>
      </c>
      <c r="G9" s="6">
        <v>33</v>
      </c>
      <c r="H9" s="6">
        <v>22</v>
      </c>
      <c r="I9" s="6">
        <v>30</v>
      </c>
      <c r="J9" s="5">
        <f>=E9+F9+G9+H9+I9</f>
        <v>184</v>
      </c>
      <c r="K9" s="5" t="s"/>
      <c r="L9" s="5" t="s"/>
    </row>
    <row r="10" spans="1:12" ht="18.75">
      <c r="A10" s="4">
        <v>9</v>
      </c>
      <c r="B10" s="4" t="s">
        <v>675</v>
      </c>
      <c r="C10" s="4">
        <v>1875</v>
      </c>
      <c r="D10" s="4" t="str">
        <f>=VLOOKUP(B10,[1]在校生综合信息查询!$A$349:$C$404,2,0)</f>
        <v>25q710103256</v>
      </c>
      <c r="E10" s="6">
        <v>91</v>
      </c>
      <c r="F10" s="6">
        <v>108</v>
      </c>
      <c r="G10" s="6">
        <v>80.5</v>
      </c>
      <c r="H10" s="6">
        <v>58</v>
      </c>
      <c r="I10" s="6">
        <v>87</v>
      </c>
      <c r="J10" s="5">
        <f>=E10+F10+G10+H10+I10</f>
        <v>424.5</v>
      </c>
      <c r="K10" s="5" t="s"/>
      <c r="L10" s="5" t="s"/>
    </row>
    <row r="11" spans="1:12" ht="18.75">
      <c r="A11" s="4">
        <v>10</v>
      </c>
      <c r="B11" s="4" t="s">
        <v>677</v>
      </c>
      <c r="C11" s="4">
        <v>1863</v>
      </c>
      <c r="D11" s="4" t="str">
        <f>=VLOOKUP(B11,[1]在校生综合信息查询!$A$349:$C$404,2,0)</f>
        <v>25q710103240</v>
      </c>
      <c r="E11" s="6">
        <v>57</v>
      </c>
      <c r="F11" s="6">
        <v>115</v>
      </c>
      <c r="G11" s="6">
        <v>39</v>
      </c>
      <c r="H11" s="6">
        <v>62</v>
      </c>
      <c r="I11" s="6">
        <v>28</v>
      </c>
      <c r="J11" s="5">
        <f>=E11+F11+G11+H11+I11</f>
        <v>301</v>
      </c>
      <c r="K11" s="5" t="s"/>
      <c r="L11" s="5" t="s"/>
    </row>
    <row r="12" spans="1:12" ht="18.75">
      <c r="A12" s="4">
        <v>11</v>
      </c>
      <c r="B12" s="4" t="s">
        <v>679</v>
      </c>
      <c r="C12" s="4">
        <v>1867</v>
      </c>
      <c r="D12" s="4" t="str">
        <f>=VLOOKUP(B12,[1]在校生综合信息查询!$A$349:$C$404,2,0)</f>
        <v>25q710103246</v>
      </c>
      <c r="E12" s="6">
        <v>56</v>
      </c>
      <c r="F12" s="6">
        <v>69</v>
      </c>
      <c r="G12" s="6">
        <v>49</v>
      </c>
      <c r="H12" s="6">
        <v>30</v>
      </c>
      <c r="I12" s="6">
        <v>27</v>
      </c>
      <c r="J12" s="5">
        <f>=E12+F12+G12+H12+I12</f>
        <v>231</v>
      </c>
      <c r="K12" s="5" t="s"/>
      <c r="L12" s="5" t="s"/>
    </row>
    <row r="13" spans="1:12" ht="18.75">
      <c r="A13" s="4">
        <v>12</v>
      </c>
      <c r="B13" s="4" t="s">
        <v>681</v>
      </c>
      <c r="C13" s="4">
        <v>1859</v>
      </c>
      <c r="D13" s="4" t="str">
        <f>=VLOOKUP(B13,[1]在校生综合信息查询!$A$349:$C$404,2,0)</f>
        <v>25q710103236</v>
      </c>
      <c r="E13" s="6">
        <v>89</v>
      </c>
      <c r="F13" s="6">
        <v>63</v>
      </c>
      <c r="G13" s="6">
        <v>39.5</v>
      </c>
      <c r="H13" s="6">
        <v>33</v>
      </c>
      <c r="I13" s="6">
        <v>32</v>
      </c>
      <c r="J13" s="5">
        <f>=E13+F13+G13+H13+I13</f>
        <v>256.5</v>
      </c>
      <c r="K13" s="5" t="s"/>
      <c r="L13" s="5" t="s"/>
    </row>
    <row r="14" spans="1:12" ht="18.75">
      <c r="A14" s="4">
        <v>13</v>
      </c>
      <c r="B14" s="4" t="s">
        <v>683</v>
      </c>
      <c r="C14" s="4">
        <v>1886</v>
      </c>
      <c r="D14" s="4" t="str">
        <f>=VLOOKUP(B14,[1]在校生综合信息查询!$A$349:$C$404,2,0)</f>
        <v>25q710103284</v>
      </c>
      <c r="E14" s="6">
        <v>73</v>
      </c>
      <c r="F14" s="6">
        <v>92</v>
      </c>
      <c r="G14" s="6">
        <v>65.5</v>
      </c>
      <c r="H14" s="6">
        <v>70</v>
      </c>
      <c r="I14" s="6">
        <v>83</v>
      </c>
      <c r="J14" s="5">
        <f>=E14+F14+G14+H14+I14</f>
        <v>383.5</v>
      </c>
      <c r="K14" s="5" t="s"/>
      <c r="L14" s="5" t="s"/>
    </row>
    <row r="15" spans="1:12" ht="18.75">
      <c r="A15" s="4">
        <v>14</v>
      </c>
      <c r="B15" s="4" t="s">
        <v>685</v>
      </c>
      <c r="C15" s="4">
        <v>1881</v>
      </c>
      <c r="D15" s="4" t="str">
        <f>=VLOOKUP(B15,[1]在校生综合信息查询!$A$349:$C$404,2,0)</f>
        <v>25q710103268</v>
      </c>
      <c r="E15" s="6">
        <v>50</v>
      </c>
      <c r="F15" s="6">
        <v>16</v>
      </c>
      <c r="G15" s="6">
        <v>33.5</v>
      </c>
      <c r="H15" s="6">
        <v>29</v>
      </c>
      <c r="I15" s="6">
        <v>20</v>
      </c>
      <c r="J15" s="5">
        <f>=E15+F15+G15+H15+I15</f>
        <v>148.5</v>
      </c>
      <c r="K15" s="5" t="s"/>
      <c r="L15" s="5" t="s"/>
    </row>
    <row r="16" spans="1:12" ht="18.75">
      <c r="A16" s="4">
        <v>15</v>
      </c>
      <c r="B16" s="4" t="s">
        <v>687</v>
      </c>
      <c r="C16" s="4">
        <v>1904</v>
      </c>
      <c r="D16" s="4" t="e">
        <f>=VLOOKUP(B16,[1]在校生综合信息查询!$A$349:$C$404,2,0)</f>
        <v>#N/A</v>
      </c>
      <c r="E16" s="6">
        <v>74</v>
      </c>
      <c r="F16" s="6">
        <v>84</v>
      </c>
      <c r="G16" s="6">
        <v>50.5</v>
      </c>
      <c r="H16" s="6">
        <v>28</v>
      </c>
      <c r="I16" s="5" t="s"/>
      <c r="J16" s="5">
        <f>=E16+F16+G16+H16+I16</f>
        <v>236.5</v>
      </c>
      <c r="K16" s="5" t="s"/>
      <c r="L16" s="5" t="s"/>
    </row>
    <row r="17" spans="1:12" ht="18.75">
      <c r="A17" s="4">
        <v>16</v>
      </c>
      <c r="B17" s="4" t="s">
        <v>688</v>
      </c>
      <c r="C17" s="4">
        <v>1877</v>
      </c>
      <c r="D17" s="4" t="str">
        <f>=VLOOKUP(B17,[1]在校生综合信息查询!$A$349:$C$404,2,0)</f>
        <v>25q710103260</v>
      </c>
      <c r="E17" s="6">
        <v>80</v>
      </c>
      <c r="F17" s="6">
        <v>62</v>
      </c>
      <c r="G17" s="6">
        <v>35</v>
      </c>
      <c r="H17" s="6">
        <v>32</v>
      </c>
      <c r="I17" s="6">
        <v>18</v>
      </c>
      <c r="J17" s="5">
        <f>=E17+F17+G17+H17+I17</f>
        <v>227</v>
      </c>
      <c r="K17" s="5" t="s"/>
      <c r="L17" s="5" t="s"/>
    </row>
    <row r="18" spans="1:12" ht="18.75">
      <c r="A18" s="4">
        <v>17</v>
      </c>
      <c r="B18" s="4" t="s">
        <v>690</v>
      </c>
      <c r="C18" s="4">
        <v>1902</v>
      </c>
      <c r="D18" s="4" t="str">
        <f>=VLOOKUP(B18,[1]在校生综合信息查询!$A$349:$C$404,2,0)</f>
        <v>25q710201565</v>
      </c>
      <c r="E18" s="6">
        <v>86</v>
      </c>
      <c r="F18" s="6">
        <v>130</v>
      </c>
      <c r="G18" s="6">
        <v>62</v>
      </c>
      <c r="H18" s="6">
        <v>38</v>
      </c>
      <c r="I18" s="6">
        <v>68</v>
      </c>
      <c r="J18" s="5">
        <f>=E18+F18+G18+H18+I18</f>
        <v>384</v>
      </c>
      <c r="K18" s="5" t="s"/>
      <c r="L18" s="5" t="s"/>
    </row>
    <row r="19" spans="1:12" ht="18.75">
      <c r="A19" s="4">
        <v>18</v>
      </c>
      <c r="B19" s="4" t="s">
        <v>692</v>
      </c>
      <c r="C19" s="4">
        <v>1850</v>
      </c>
      <c r="D19" s="4" t="str">
        <f>=VLOOKUP(B19,[1]在校生综合信息查询!$A$349:$C$404,2,0)</f>
        <v>25q710103225</v>
      </c>
      <c r="E19" s="6">
        <v>96</v>
      </c>
      <c r="F19" s="6">
        <v>128</v>
      </c>
      <c r="G19" s="6">
        <v>39.5</v>
      </c>
      <c r="H19" s="6">
        <v>37</v>
      </c>
      <c r="I19" s="6">
        <v>47</v>
      </c>
      <c r="J19" s="5">
        <f>=E19+F19+G19+H19+I19</f>
        <v>347.5</v>
      </c>
      <c r="K19" s="5" t="s"/>
      <c r="L19" s="5" t="s"/>
    </row>
    <row r="20" spans="1:12" ht="18.75">
      <c r="A20" s="4">
        <v>19</v>
      </c>
      <c r="B20" s="4" t="s">
        <v>694</v>
      </c>
      <c r="C20" s="4">
        <v>1899</v>
      </c>
      <c r="D20" s="4" t="str">
        <f>=VLOOKUP(B20,[1]在校生综合信息查询!$A$349:$C$404,2,0)</f>
        <v>25q710201556</v>
      </c>
      <c r="E20" s="6">
        <v>89</v>
      </c>
      <c r="F20" s="6">
        <v>34</v>
      </c>
      <c r="G20" s="6">
        <v>46</v>
      </c>
      <c r="H20" s="6">
        <v>18</v>
      </c>
      <c r="I20" s="6">
        <v>16</v>
      </c>
      <c r="J20" s="5">
        <f>=E20+F20+G20+H20+I20</f>
        <v>203</v>
      </c>
      <c r="K20" s="5" t="s"/>
      <c r="L20" s="5" t="s"/>
    </row>
    <row r="21" spans="1:12" ht="18.75">
      <c r="A21" s="4">
        <v>20</v>
      </c>
      <c r="B21" s="4" t="s">
        <v>696</v>
      </c>
      <c r="C21" s="4">
        <v>1896</v>
      </c>
      <c r="D21" s="4" t="str">
        <f>=VLOOKUP(B21,[1]在校生综合信息查询!$A$349:$C$404,2,0)</f>
        <v>25q710103143</v>
      </c>
      <c r="E21" s="6">
        <v>59</v>
      </c>
      <c r="F21" s="6">
        <v>123</v>
      </c>
      <c r="G21" s="6">
        <v>25.5</v>
      </c>
      <c r="H21" s="6">
        <v>63</v>
      </c>
      <c r="I21" s="6">
        <v>60</v>
      </c>
      <c r="J21" s="5">
        <f>=E21+F21+G21+H21+I21</f>
        <v>330.5</v>
      </c>
      <c r="K21" s="5" t="s"/>
      <c r="L21" s="5" t="s"/>
    </row>
    <row r="22" spans="1:12" ht="18.75">
      <c r="A22" s="4">
        <v>21</v>
      </c>
      <c r="B22" s="4" t="s">
        <v>698</v>
      </c>
      <c r="C22" s="4">
        <v>1874</v>
      </c>
      <c r="D22" s="4" t="str">
        <f>=VLOOKUP(B22,[1]在校生综合信息查询!$A$349:$C$404,2,0)</f>
        <v>25q710103255</v>
      </c>
      <c r="E22" s="6">
        <v>70</v>
      </c>
      <c r="F22" s="6">
        <v>51</v>
      </c>
      <c r="G22" s="6">
        <v>38.5</v>
      </c>
      <c r="H22" s="6">
        <v>32</v>
      </c>
      <c r="I22" s="6">
        <v>28</v>
      </c>
      <c r="J22" s="5">
        <f>=E22+F22+G22+H22+I22</f>
        <v>219.5</v>
      </c>
      <c r="K22" s="5" t="s"/>
      <c r="L22" s="5" t="s"/>
    </row>
    <row r="23" spans="1:12" ht="18.75">
      <c r="A23" s="4">
        <v>22</v>
      </c>
      <c r="B23" s="4" t="s">
        <v>700</v>
      </c>
      <c r="C23" s="4">
        <v>1893</v>
      </c>
      <c r="D23" s="4" t="str">
        <f>=VLOOKUP(B23,[1]在校生综合信息查询!$A$349:$C$404,2,0)</f>
        <v>25q710103259</v>
      </c>
      <c r="E23" s="6">
        <v>74</v>
      </c>
      <c r="F23" s="6">
        <v>39</v>
      </c>
      <c r="G23" s="6">
        <v>64</v>
      </c>
      <c r="H23" s="6">
        <v>27</v>
      </c>
      <c r="I23" s="6">
        <v>26</v>
      </c>
      <c r="J23" s="5">
        <f>=E23+F23+G23+H23+I23</f>
        <v>230</v>
      </c>
      <c r="K23" s="5" t="s"/>
      <c r="L23" s="5" t="s"/>
    </row>
    <row r="24" spans="1:12" ht="18.75">
      <c r="A24" s="4">
        <v>23</v>
      </c>
      <c r="B24" s="4" t="s">
        <v>702</v>
      </c>
      <c r="C24" s="4">
        <v>1869</v>
      </c>
      <c r="D24" s="4" t="str">
        <f>=VLOOKUP(B24,[1]在校生综合信息查询!$A$349:$C$404,2,0)</f>
        <v>25q710103250</v>
      </c>
      <c r="E24" s="6">
        <v>67</v>
      </c>
      <c r="F24" s="6">
        <v>58</v>
      </c>
      <c r="G24" s="6">
        <v>48</v>
      </c>
      <c r="H24" s="6">
        <v>41</v>
      </c>
      <c r="I24" s="6">
        <v>36</v>
      </c>
      <c r="J24" s="5">
        <f>=E24+F24+G24+H24+I24</f>
        <v>250</v>
      </c>
      <c r="K24" s="5" t="s"/>
      <c r="L24" s="5" t="s"/>
    </row>
    <row r="25" spans="1:12" ht="18.75">
      <c r="A25" s="4">
        <v>24</v>
      </c>
      <c r="B25" s="4" t="s">
        <v>704</v>
      </c>
      <c r="C25" s="4">
        <v>1856</v>
      </c>
      <c r="D25" s="4" t="str">
        <f>=VLOOKUP(B25,[1]在校生综合信息查询!$A$349:$C$404,2,0)</f>
        <v>25q710103232</v>
      </c>
      <c r="E25" s="6">
        <v>66</v>
      </c>
      <c r="F25" s="6">
        <v>53</v>
      </c>
      <c r="G25" s="6">
        <v>44.5</v>
      </c>
      <c r="H25" s="6">
        <v>37</v>
      </c>
      <c r="I25" s="6">
        <v>39</v>
      </c>
      <c r="J25" s="5">
        <f>=E25+F25+G25+H25+I25</f>
        <v>239.5</v>
      </c>
      <c r="K25" s="5" t="s"/>
      <c r="L25" s="5" t="s"/>
    </row>
    <row r="26" spans="1:12" ht="18.75">
      <c r="A26" s="4">
        <v>25</v>
      </c>
      <c r="B26" s="4" t="s">
        <v>706</v>
      </c>
      <c r="C26" s="4">
        <v>1892</v>
      </c>
      <c r="D26" s="4" t="str">
        <f>=VLOOKUP(B26,[1]在校生综合信息查询!$A$349:$C$404,2,0)</f>
        <v>25q710103247</v>
      </c>
      <c r="E26" s="6">
        <v>75</v>
      </c>
      <c r="F26" s="6">
        <v>68</v>
      </c>
      <c r="G26" s="6">
        <v>39.5</v>
      </c>
      <c r="H26" s="6">
        <v>38</v>
      </c>
      <c r="I26" s="6">
        <v>21</v>
      </c>
      <c r="J26" s="5">
        <f>=E26+F26+G26+H26+I26</f>
        <v>241.5</v>
      </c>
      <c r="K26" s="5" t="s"/>
      <c r="L26" s="5" t="s"/>
    </row>
    <row r="27" spans="1:12" ht="18.75">
      <c r="A27" s="4">
        <v>26</v>
      </c>
      <c r="B27" s="4" t="s">
        <v>708</v>
      </c>
      <c r="C27" s="4">
        <v>1876</v>
      </c>
      <c r="D27" s="4" t="str">
        <f>=VLOOKUP(B27,[1]在校生综合信息查询!$A$349:$C$404,2,0)</f>
        <v>25q710103258</v>
      </c>
      <c r="E27" s="6">
        <v>94</v>
      </c>
      <c r="F27" s="6">
        <v>113</v>
      </c>
      <c r="G27" s="6">
        <v>68</v>
      </c>
      <c r="H27" s="6">
        <v>51</v>
      </c>
      <c r="I27" s="6">
        <v>76</v>
      </c>
      <c r="J27" s="5">
        <f>=E27+F27+G27+H27+I27</f>
        <v>402</v>
      </c>
      <c r="K27" s="5" t="s"/>
      <c r="L27" s="5" t="s"/>
    </row>
    <row r="28" spans="1:12" ht="18.75">
      <c r="A28" s="4">
        <v>27</v>
      </c>
      <c r="B28" s="4" t="s">
        <v>710</v>
      </c>
      <c r="C28" s="4">
        <v>1861</v>
      </c>
      <c r="D28" s="4" t="str">
        <f>=VLOOKUP(B28,[1]在校生综合信息查询!$A$349:$C$404,2,0)</f>
        <v>25q710103238</v>
      </c>
      <c r="E28" s="6">
        <v>72</v>
      </c>
      <c r="F28" s="6">
        <v>34</v>
      </c>
      <c r="G28" s="6">
        <v>36.5</v>
      </c>
      <c r="H28" s="6">
        <v>33</v>
      </c>
      <c r="I28" s="6">
        <v>18</v>
      </c>
      <c r="J28" s="5">
        <f>=E28+F28+G28+H28+I28</f>
        <v>193.5</v>
      </c>
      <c r="K28" s="5" t="s"/>
      <c r="L28" s="5" t="s"/>
    </row>
    <row r="29" spans="1:12" ht="18.75">
      <c r="A29" s="4">
        <v>28</v>
      </c>
      <c r="B29" s="4" t="s">
        <v>712</v>
      </c>
      <c r="C29" s="4">
        <v>1864</v>
      </c>
      <c r="D29" s="4" t="str">
        <f>=VLOOKUP(B29,[1]在校生综合信息查询!$A$349:$C$404,2,0)</f>
        <v>25q710103241</v>
      </c>
      <c r="E29" s="6">
        <v>69</v>
      </c>
      <c r="F29" s="6">
        <v>53</v>
      </c>
      <c r="G29" s="6">
        <v>51</v>
      </c>
      <c r="H29" s="6">
        <v>41</v>
      </c>
      <c r="I29" s="6">
        <v>47</v>
      </c>
      <c r="J29" s="5">
        <f>=E29+F29+G29+H29+I29</f>
        <v>261</v>
      </c>
      <c r="K29" s="5" t="s"/>
      <c r="L29" s="5" t="s"/>
    </row>
    <row r="30" spans="1:12" ht="18.75">
      <c r="A30" s="4">
        <v>29</v>
      </c>
      <c r="B30" s="4" t="s">
        <v>714</v>
      </c>
      <c r="C30" s="4">
        <v>1887</v>
      </c>
      <c r="D30" s="4" t="str">
        <f>=VLOOKUP(B30,[1]在校生综合信息查询!$A$349:$C$404,2,0)</f>
        <v>25q710103285</v>
      </c>
      <c r="E30" s="6">
        <v>99</v>
      </c>
      <c r="F30" s="6">
        <v>73</v>
      </c>
      <c r="G30" s="6">
        <v>54.5</v>
      </c>
      <c r="H30" s="6">
        <v>47</v>
      </c>
      <c r="I30" s="6">
        <v>44</v>
      </c>
      <c r="J30" s="5">
        <f>=E30+F30+G30+H30+I30</f>
        <v>317.5</v>
      </c>
      <c r="K30" s="5" t="s"/>
      <c r="L30" s="5" t="s"/>
    </row>
    <row r="31" spans="1:12" ht="18.75">
      <c r="A31" s="4">
        <v>30</v>
      </c>
      <c r="B31" s="4" t="s">
        <v>716</v>
      </c>
      <c r="C31" s="4">
        <v>1898</v>
      </c>
      <c r="D31" s="4" t="str">
        <f>=VLOOKUP(B31,[1]在校生综合信息查询!$A$349:$C$404,2,0)</f>
        <v>25q710103157</v>
      </c>
      <c r="E31" s="6">
        <v>42</v>
      </c>
      <c r="F31" s="6">
        <v>57</v>
      </c>
      <c r="G31" s="6">
        <v>28.5</v>
      </c>
      <c r="H31" s="6">
        <v>45</v>
      </c>
      <c r="I31" s="6">
        <v>23</v>
      </c>
      <c r="J31" s="5">
        <f>=E31+F31+G31+H31+I31</f>
        <v>195.5</v>
      </c>
      <c r="K31" s="5" t="s"/>
      <c r="L31" s="5" t="s"/>
    </row>
    <row r="32" spans="1:12" ht="18.75">
      <c r="A32" s="4">
        <v>31</v>
      </c>
      <c r="B32" s="4" t="s">
        <v>718</v>
      </c>
      <c r="C32" s="4">
        <v>1891</v>
      </c>
      <c r="D32" s="4" t="str">
        <f>=VLOOKUP(B32,[1]在校生综合信息查询!$A$349:$C$404,2,0)</f>
        <v>25q710103293</v>
      </c>
      <c r="E32" s="6">
        <v>85</v>
      </c>
      <c r="F32" s="6">
        <v>142</v>
      </c>
      <c r="G32" s="6">
        <v>66.5</v>
      </c>
      <c r="H32" s="6">
        <v>61</v>
      </c>
      <c r="I32" s="6">
        <v>85</v>
      </c>
      <c r="J32" s="5">
        <f>=E32+F32+G32+H32+I32</f>
        <v>439.5</v>
      </c>
      <c r="K32" s="5" t="s"/>
      <c r="L32" s="5" t="s"/>
    </row>
    <row r="33" spans="1:12" ht="18.75">
      <c r="A33" s="4">
        <v>32</v>
      </c>
      <c r="B33" s="4" t="s">
        <v>720</v>
      </c>
      <c r="C33" s="4">
        <v>1858</v>
      </c>
      <c r="D33" s="4" t="str">
        <f>=VLOOKUP(B33,[1]在校生综合信息查询!$A$349:$C$404,2,0)</f>
        <v>25q710103235</v>
      </c>
      <c r="E33" s="6">
        <v>66</v>
      </c>
      <c r="F33" s="6">
        <v>80</v>
      </c>
      <c r="G33" s="6">
        <v>38</v>
      </c>
      <c r="H33" s="6">
        <v>41</v>
      </c>
      <c r="I33" s="6">
        <v>49</v>
      </c>
      <c r="J33" s="5">
        <f>=E33+F33+G33+H33+I33</f>
        <v>274</v>
      </c>
      <c r="K33" s="5" t="s"/>
      <c r="L33" s="5" t="s"/>
    </row>
    <row r="34" spans="1:12" ht="18.75">
      <c r="A34" s="4">
        <v>33</v>
      </c>
      <c r="B34" s="4" t="s">
        <v>722</v>
      </c>
      <c r="C34" s="4">
        <v>1862</v>
      </c>
      <c r="D34" s="4" t="str">
        <f>=VLOOKUP(B34,[1]在校生综合信息查询!$A$349:$C$404,2,0)</f>
        <v>25q710103239</v>
      </c>
      <c r="E34" s="6">
        <v>82</v>
      </c>
      <c r="F34" s="6">
        <v>133</v>
      </c>
      <c r="G34" s="6">
        <v>27</v>
      </c>
      <c r="H34" s="6">
        <v>82</v>
      </c>
      <c r="I34" s="6">
        <v>88</v>
      </c>
      <c r="J34" s="5">
        <f>=E34+F34+G34+H34+I34</f>
        <v>412</v>
      </c>
      <c r="K34" s="5" t="s"/>
      <c r="L34" s="5" t="s"/>
    </row>
    <row r="35" spans="1:12" ht="18.75">
      <c r="A35" s="4">
        <v>34</v>
      </c>
      <c r="B35" s="4" t="s">
        <v>724</v>
      </c>
      <c r="C35" s="4">
        <v>1882</v>
      </c>
      <c r="D35" s="4" t="str">
        <f>=VLOOKUP(B35,[1]在校生综合信息查询!$A$349:$C$404,2,0)</f>
        <v>25q710103270</v>
      </c>
      <c r="E35" s="6">
        <v>89</v>
      </c>
      <c r="F35" s="6">
        <v>91</v>
      </c>
      <c r="G35" s="6">
        <v>48.5</v>
      </c>
      <c r="H35" s="6">
        <v>49</v>
      </c>
      <c r="I35" s="6">
        <v>27</v>
      </c>
      <c r="J35" s="5">
        <f>=E35+F35+G35+H35+I35</f>
        <v>304.5</v>
      </c>
      <c r="K35" s="5" t="s"/>
      <c r="L35" s="5" t="s"/>
    </row>
    <row r="36" spans="1:10" ht="18.75">
      <c r="A36" s="4">
        <v>35</v>
      </c>
      <c r="B36" s="15" t="s">
        <v>726</v>
      </c>
      <c r="C36" s="4">
        <v>1883</v>
      </c>
      <c r="D36" s="4" t="str">
        <f>=VLOOKUP(B36,[1]在校生综合信息查询!$A$349:$C$404,2,0)</f>
        <v>25q710103249</v>
      </c>
      <c r="E36" s="6">
        <v>63</v>
      </c>
      <c r="F36" s="6">
        <v>38</v>
      </c>
      <c r="G36" s="6">
        <v>56.5</v>
      </c>
      <c r="H36" s="6">
        <v>28</v>
      </c>
      <c r="I36" s="6">
        <v>13</v>
      </c>
      <c r="J36" s="25">
        <f>=E36+F36+G36+H36+I36</f>
        <v>198.5</v>
      </c>
    </row>
    <row r="37" spans="1:10" ht="18.75">
      <c r="A37" s="4">
        <v>36</v>
      </c>
      <c r="B37" s="15" t="s">
        <v>728</v>
      </c>
      <c r="C37" s="4">
        <v>1866</v>
      </c>
      <c r="D37" s="4" t="str">
        <f>=VLOOKUP(B37,[1]在校生综合信息查询!$A$349:$C$404,2,0)</f>
        <v>25q710103227</v>
      </c>
      <c r="E37" s="6">
        <v>79</v>
      </c>
      <c r="F37" s="6">
        <v>83</v>
      </c>
      <c r="G37" s="6">
        <v>70.5</v>
      </c>
      <c r="H37" s="6">
        <v>32</v>
      </c>
      <c r="I37" s="6">
        <v>36</v>
      </c>
      <c r="J37" s="25">
        <f>=E37+F37+G37+H37+I37</f>
        <v>300.5</v>
      </c>
    </row>
    <row r="38" spans="1:10" ht="18.75">
      <c r="A38" s="4">
        <v>37</v>
      </c>
      <c r="B38" s="15" t="s">
        <v>730</v>
      </c>
      <c r="C38" s="4">
        <v>1901</v>
      </c>
      <c r="D38" s="4" t="str">
        <f>=VLOOKUP(B38,[1]在校生综合信息查询!$A$349:$C$404,2,0)</f>
        <v>25q710103231</v>
      </c>
      <c r="E38" s="6">
        <v>73</v>
      </c>
      <c r="F38" s="6">
        <v>57</v>
      </c>
      <c r="G38" s="6">
        <v>33</v>
      </c>
      <c r="H38" s="6">
        <v>64</v>
      </c>
      <c r="I38" s="6">
        <v>74</v>
      </c>
      <c r="J38" s="25">
        <f>=E38+F38+G38+H38+I38</f>
        <v>301</v>
      </c>
    </row>
    <row r="39" spans="1:10" ht="18.75">
      <c r="A39" s="4">
        <v>38</v>
      </c>
      <c r="B39" s="15" t="s">
        <v>732</v>
      </c>
      <c r="C39" s="4">
        <v>1885</v>
      </c>
      <c r="D39" s="4" t="str">
        <f>=VLOOKUP(B39,[1]在校生综合信息查询!$A$349:$C$404,2,0)</f>
        <v>25q710103244</v>
      </c>
      <c r="E39" s="6">
        <v>80</v>
      </c>
      <c r="F39" s="6">
        <v>56</v>
      </c>
      <c r="G39" s="6">
        <v>50.5</v>
      </c>
      <c r="H39" s="6">
        <v>28</v>
      </c>
      <c r="I39" s="6">
        <v>19</v>
      </c>
      <c r="J39" s="25">
        <f>=E39+F39+G39+H39+I39</f>
        <v>233.5</v>
      </c>
    </row>
    <row r="40" spans="1:10" ht="18.75">
      <c r="A40" s="4">
        <v>39</v>
      </c>
      <c r="B40" s="15" t="s">
        <v>734</v>
      </c>
      <c r="C40" s="4">
        <v>1872</v>
      </c>
      <c r="D40" s="4" t="str">
        <f>=VLOOKUP(B40,[1]在校生综合信息查询!$A$349:$C$404,2,0)</f>
        <v>25q710103304</v>
      </c>
      <c r="E40" s="6">
        <v>91</v>
      </c>
      <c r="F40" s="6">
        <v>42</v>
      </c>
      <c r="G40" s="6">
        <v>27</v>
      </c>
      <c r="H40" s="6">
        <v>36</v>
      </c>
      <c r="I40" s="6">
        <v>24</v>
      </c>
      <c r="J40" s="25">
        <f>=E40+F40+G40+H40+I40</f>
        <v>220</v>
      </c>
    </row>
    <row r="41" spans="1:10" ht="18.75">
      <c r="A41" s="4">
        <v>40</v>
      </c>
      <c r="B41" s="15" t="s">
        <v>736</v>
      </c>
      <c r="C41" s="4">
        <v>1854</v>
      </c>
      <c r="D41" s="4" t="str">
        <f>=VLOOKUP(B41,[1]在校生综合信息查询!$A$349:$C$404,2,0)</f>
        <v>25q710103248</v>
      </c>
      <c r="E41" s="6">
        <v>42</v>
      </c>
      <c r="F41" s="6">
        <v>50</v>
      </c>
      <c r="G41" s="6">
        <v>28.5</v>
      </c>
      <c r="H41" s="6">
        <v>42</v>
      </c>
      <c r="I41" s="6">
        <v>6</v>
      </c>
      <c r="J41" s="25">
        <f>=E41+F41+G41+H41+I41</f>
        <v>168.5</v>
      </c>
    </row>
    <row r="42" spans="1:10" ht="18.75">
      <c r="A42" s="4">
        <v>41</v>
      </c>
      <c r="B42" s="15" t="s">
        <v>738</v>
      </c>
      <c r="C42" s="4">
        <v>1889</v>
      </c>
      <c r="D42" s="4" t="str">
        <f>=VLOOKUP(B42,[1]在校生综合信息查询!$A$349:$C$404,2,0)</f>
        <v>25q710103223</v>
      </c>
      <c r="E42" s="6">
        <v>85</v>
      </c>
      <c r="F42" s="6">
        <v>103</v>
      </c>
      <c r="G42" s="6">
        <v>26.5</v>
      </c>
      <c r="H42" s="6">
        <v>53</v>
      </c>
      <c r="I42" s="6">
        <v>48</v>
      </c>
      <c r="J42" s="25">
        <f>=E42+F42+G42+H42+I42</f>
        <v>315.5</v>
      </c>
    </row>
    <row r="43" spans="1:10" ht="18.75">
      <c r="A43" s="4">
        <v>42</v>
      </c>
      <c r="B43" s="15" t="s">
        <v>740</v>
      </c>
      <c r="C43" s="4">
        <v>1900</v>
      </c>
      <c r="D43" s="4" t="str">
        <f>=VLOOKUP(B43,[1]在校生综合信息查询!$A$349:$C$404,2,0)</f>
        <v>25q710103261</v>
      </c>
      <c r="E43" s="6">
        <v>64</v>
      </c>
      <c r="F43" s="6">
        <v>46</v>
      </c>
      <c r="G43" s="6">
        <v>68</v>
      </c>
      <c r="H43" s="6">
        <v>58</v>
      </c>
      <c r="I43" s="6">
        <v>63</v>
      </c>
      <c r="J43" s="25">
        <f>=E43+F43+G43+H43+I43</f>
        <v>299</v>
      </c>
    </row>
    <row r="44" spans="1:10" ht="18.75">
      <c r="A44" s="4">
        <v>43</v>
      </c>
      <c r="B44" s="15" t="s">
        <v>742</v>
      </c>
      <c r="C44" s="4">
        <v>1851</v>
      </c>
      <c r="D44" s="4" t="str">
        <f>=VLOOKUP(B44,[1]在校生综合信息查询!$A$349:$C$404,2,0)</f>
        <v>25q710103251</v>
      </c>
      <c r="E44" s="6">
        <v>82</v>
      </c>
      <c r="F44" s="6">
        <v>43</v>
      </c>
      <c r="G44" s="6">
        <v>49.5</v>
      </c>
      <c r="H44" s="6">
        <v>30</v>
      </c>
      <c r="I44" s="6">
        <v>34</v>
      </c>
      <c r="J44" s="25">
        <f>=E44+F44+G44+H44+I44</f>
        <v>238.5</v>
      </c>
    </row>
    <row r="45" spans="1:10" ht="18.75">
      <c r="A45" s="4">
        <v>44</v>
      </c>
      <c r="B45" s="15" t="s">
        <v>744</v>
      </c>
      <c r="C45" s="4">
        <v>1890</v>
      </c>
      <c r="D45" s="4" t="str">
        <f>=VLOOKUP(B45,[1]在校生综合信息查询!$A$349:$C$404,2,0)</f>
        <v>25q710103273</v>
      </c>
      <c r="E45" s="6">
        <v>64</v>
      </c>
      <c r="F45" s="6">
        <v>95</v>
      </c>
      <c r="G45" s="6">
        <v>31</v>
      </c>
      <c r="H45" s="6">
        <v>63</v>
      </c>
      <c r="I45" s="6">
        <v>27</v>
      </c>
      <c r="J45" s="25">
        <f>=E45+F45+G45+H45+I45</f>
        <v>280</v>
      </c>
    </row>
    <row r="46" spans="1:10" ht="18.75">
      <c r="A46" s="4">
        <v>45</v>
      </c>
      <c r="B46" s="15" t="s">
        <v>746</v>
      </c>
      <c r="C46" s="4">
        <v>1884</v>
      </c>
      <c r="D46" s="4" t="str">
        <f>=VLOOKUP(B46,[1]在校生综合信息查询!$A$349:$C$404,2,0)</f>
        <v>25q710103245</v>
      </c>
      <c r="E46" s="6">
        <v>70</v>
      </c>
      <c r="F46" s="6">
        <v>85</v>
      </c>
      <c r="G46" s="6">
        <v>31</v>
      </c>
      <c r="H46" s="6">
        <v>46</v>
      </c>
      <c r="I46" s="6">
        <v>46</v>
      </c>
      <c r="J46" s="25">
        <f>=E46+F46+G46+H46+I46</f>
        <v>278</v>
      </c>
    </row>
    <row r="47" spans="1:10" ht="18.75">
      <c r="A47" s="4">
        <v>46</v>
      </c>
      <c r="B47" s="15" t="s">
        <v>748</v>
      </c>
      <c r="C47" s="4">
        <v>1853</v>
      </c>
      <c r="D47" s="4" t="str">
        <f>=VLOOKUP(B47,[1]在校生综合信息查询!$A$349:$C$404,2,0)</f>
        <v>24q710103315</v>
      </c>
      <c r="E47" s="6">
        <v>85</v>
      </c>
      <c r="F47" s="6">
        <v>98</v>
      </c>
      <c r="G47" s="6">
        <v>54</v>
      </c>
      <c r="H47" s="6">
        <v>37</v>
      </c>
      <c r="I47" s="6">
        <v>31</v>
      </c>
      <c r="J47" s="25">
        <f>=E47+F47+G47+H47+I47</f>
        <v>305</v>
      </c>
    </row>
    <row r="48" spans="1:10" ht="18.75">
      <c r="A48" s="4">
        <v>47</v>
      </c>
      <c r="B48" s="4" t="s">
        <v>750</v>
      </c>
      <c r="C48" s="4">
        <v>1871</v>
      </c>
      <c r="D48" s="4" t="str">
        <f>=VLOOKUP(B48,[1]在校生综合信息查询!$A$349:$C$404,2,0)</f>
        <v>25q710103279</v>
      </c>
      <c r="E48" s="6">
        <v>87</v>
      </c>
      <c r="F48" s="6">
        <v>111</v>
      </c>
      <c r="G48" s="6">
        <v>61</v>
      </c>
      <c r="H48" s="6">
        <v>43</v>
      </c>
      <c r="I48" s="6">
        <v>89</v>
      </c>
      <c r="J48" s="25">
        <f>=E48+F48+G48+H48+I48</f>
        <v>391</v>
      </c>
    </row>
    <row r="49" spans="1:10" ht="18.75">
      <c r="A49" s="4">
        <v>48</v>
      </c>
      <c r="B49" s="4" t="s">
        <v>752</v>
      </c>
      <c r="C49" s="4">
        <v>1903</v>
      </c>
      <c r="D49" s="4" t="str">
        <f>=VLOOKUP(B49,[1]在校生综合信息查询!$A$349:$C$404,2,0)</f>
        <v>25q710103253</v>
      </c>
      <c r="E49" s="6">
        <v>103</v>
      </c>
      <c r="F49" s="6">
        <v>83</v>
      </c>
      <c r="G49" s="6">
        <v>58</v>
      </c>
      <c r="H49" s="6">
        <v>38</v>
      </c>
      <c r="I49" s="6">
        <v>36</v>
      </c>
      <c r="J49" s="25">
        <f>=E49+F49+G49+H49+I49</f>
        <v>318</v>
      </c>
    </row>
    <row r="50" spans="1:10" ht="18.75">
      <c r="A50" s="4">
        <v>49</v>
      </c>
      <c r="B50" s="4" t="s">
        <v>754</v>
      </c>
      <c r="C50" s="4" t="s"/>
      <c r="D50" s="4" t="str">
        <f>=VLOOKUP(B50,[1]在校生综合信息查询!$A$349:$C$404,2,0)</f>
        <v>25q710103230</v>
      </c>
      <c r="E50" s="6">
        <v>48</v>
      </c>
      <c r="F50" s="6">
        <v>41</v>
      </c>
      <c r="G50" s="6">
        <v>13</v>
      </c>
      <c r="H50" s="6">
        <v>59</v>
      </c>
      <c r="I50" s="6">
        <v>24</v>
      </c>
      <c r="J50" s="25">
        <f>=E50+F50+G50+H50+I50</f>
        <v>185</v>
      </c>
    </row>
    <row r="51" spans="1:10" ht="18.75">
      <c r="A51" s="4">
        <v>50</v>
      </c>
      <c r="B51" s="4" t="s">
        <v>756</v>
      </c>
      <c r="C51" s="4" t="s"/>
      <c r="D51" s="4" t="str">
        <f>=VLOOKUP(B51,[1]在校生综合信息查询!$A$349:$C$404,2,0)</f>
        <v>25q710103289</v>
      </c>
      <c r="E51" s="6">
        <v>84</v>
      </c>
      <c r="F51" s="6">
        <v>53</v>
      </c>
      <c r="G51" s="6">
        <v>27</v>
      </c>
      <c r="H51" s="6">
        <v>51</v>
      </c>
      <c r="I51" s="6">
        <v>27</v>
      </c>
      <c r="J51" s="25">
        <f>=E51+F51+G51+H51+I51</f>
        <v>242</v>
      </c>
    </row>
    <row r="52" spans="1:10" ht="18.75">
      <c r="A52" s="4">
        <v>51</v>
      </c>
      <c r="B52" s="4" t="s">
        <v>758</v>
      </c>
      <c r="C52" s="4" t="s"/>
      <c r="D52" s="4" t="str">
        <f>=VLOOKUP(B52,[1]在校生综合信息查询!$A$349:$C$404,2,0)</f>
        <v>20250719</v>
      </c>
      <c r="E52" s="6">
        <v>59</v>
      </c>
      <c r="F52" s="6">
        <v>59</v>
      </c>
      <c r="G52" s="6">
        <v>45</v>
      </c>
      <c r="H52" s="6">
        <v>22</v>
      </c>
      <c r="I52" s="6">
        <v>36</v>
      </c>
      <c r="J52" s="25">
        <f>=E52+F52+G52+H52+I52</f>
        <v>221</v>
      </c>
    </row>
    <row r="53" spans="1:10" ht="18.75">
      <c r="A53" s="4">
        <v>52</v>
      </c>
      <c r="B53" s="4" t="s">
        <v>760</v>
      </c>
      <c r="C53" s="4" t="s"/>
      <c r="D53" s="4" t="str">
        <f>=VLOOKUP(B53,[1]在校生综合信息查询!$A$349:$C$404,2,0)</f>
        <v>25q710103226</v>
      </c>
      <c r="E53" s="6">
        <v>77</v>
      </c>
      <c r="F53" s="6">
        <v>105</v>
      </c>
      <c r="G53" s="6">
        <v>44</v>
      </c>
      <c r="H53" s="6">
        <v>62</v>
      </c>
      <c r="I53" s="6">
        <v>26</v>
      </c>
      <c r="J53" s="25">
        <f>=E53+F53+G53+H53+I53</f>
        <v>314</v>
      </c>
    </row>
    <row r="54" spans="1:10" ht="18.75">
      <c r="A54" s="4">
        <v>53</v>
      </c>
      <c r="B54" s="4" t="s">
        <v>762</v>
      </c>
      <c r="C54" s="4" t="s"/>
      <c r="D54" s="4" t="str">
        <f>=VLOOKUP(B54,[1]在校生综合信息查询!$A$349:$C$404,2,0)</f>
        <v>25q710103292</v>
      </c>
      <c r="E54" s="6">
        <v>76</v>
      </c>
      <c r="F54" s="6">
        <v>37</v>
      </c>
      <c r="G54" s="6">
        <v>54.5</v>
      </c>
      <c r="H54" s="6">
        <v>33</v>
      </c>
      <c r="I54" s="6">
        <v>22</v>
      </c>
      <c r="J54" s="25">
        <f>=E54+F54+G54+H54+I54</f>
        <v>222.5</v>
      </c>
    </row>
    <row r="55" spans="1:10" ht="18.75">
      <c r="A55" s="4">
        <v>54</v>
      </c>
      <c r="B55" s="4" t="s">
        <v>764</v>
      </c>
      <c r="C55" s="4" t="s"/>
      <c r="D55" s="4" t="str">
        <f>=VLOOKUP(B55,[1]在校生综合信息查询!$A$349:$C$404,2,0)</f>
        <v>25q710103278</v>
      </c>
      <c r="E55" s="6">
        <v>61</v>
      </c>
      <c r="F55" s="6">
        <v>69</v>
      </c>
      <c r="G55" s="6">
        <v>58.5</v>
      </c>
      <c r="H55" s="6">
        <v>38</v>
      </c>
      <c r="I55" s="6">
        <v>34</v>
      </c>
      <c r="J55" s="25">
        <f>=E55+F55+G55+H55+I55</f>
        <v>260.5</v>
      </c>
    </row>
    <row r="56" spans="1:10" ht="18.75">
      <c r="A56" s="4">
        <v>55</v>
      </c>
      <c r="B56" s="4" t="s">
        <v>766</v>
      </c>
      <c r="C56" s="4" t="s"/>
      <c r="D56" s="4" t="str">
        <f>=VLOOKUP(B56,[1]在校生综合信息查询!$A$349:$C$404,2,0)</f>
        <v>25q710103229</v>
      </c>
      <c r="E56" s="6">
        <v>48</v>
      </c>
      <c r="F56" s="6">
        <v>59</v>
      </c>
      <c r="G56" s="6">
        <v>29.5</v>
      </c>
      <c r="H56" s="6">
        <v>52</v>
      </c>
      <c r="I56" s="6">
        <v>25</v>
      </c>
      <c r="J56" s="25">
        <f>=E56+F56+G56+H56+I56</f>
        <v>213.5</v>
      </c>
    </row>
    <row r="57" spans="1:10" ht="18.75">
      <c r="A57" s="4">
        <v>56</v>
      </c>
      <c r="B57" s="4" t="s">
        <v>768</v>
      </c>
      <c r="C57" s="4" t="s"/>
      <c r="D57" s="4" t="str">
        <f>=VLOOKUP(B57,[1]在校生综合信息查询!$A$349:$C$404,2,0)</f>
        <v>25q710103252</v>
      </c>
      <c r="E57" s="6">
        <v>80</v>
      </c>
      <c r="F57" s="6">
        <v>129</v>
      </c>
      <c r="G57" s="6">
        <v>42</v>
      </c>
      <c r="H57" s="6">
        <v>69</v>
      </c>
      <c r="I57" s="6">
        <v>86</v>
      </c>
      <c r="J57" s="25">
        <f>=E57+F57+G57+H57+I57</f>
        <v>406</v>
      </c>
    </row>
    <row r="58" spans="1:10" ht="18.75">
      <c r="A58" s="4">
        <v>57</v>
      </c>
      <c r="B58" s="4" t="s">
        <v>770</v>
      </c>
      <c r="C58" s="4" t="s"/>
      <c r="D58" s="4" t="str">
        <f>=VLOOKUP(B58,[1]在校生综合信息查询!$A$349:$C$404,2,0)</f>
        <v>25q710201568</v>
      </c>
      <c r="E58" s="6">
        <v>90</v>
      </c>
      <c r="F58" s="6">
        <v>76</v>
      </c>
      <c r="G58" s="6">
        <v>81.5</v>
      </c>
      <c r="H58" s="6">
        <v>28</v>
      </c>
      <c r="I58" s="6">
        <v>14</v>
      </c>
      <c r="J58" s="25">
        <f>=E58+F58+G58+H58+I58</f>
        <v>289.5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/>
  <dimension ref="L44"/>
  <sheetViews>
    <sheetView showGridLines="1" topLeftCell="A37" workbookViewId="0"/>
  </sheetViews>
  <sheetFormatPr defaultColWidth="8.75" defaultRowHeight="14.25"/>
  <cols>
    <col min="1" max="1" width="8.75" style="122"/>
    <col min="2" max="2" width="9.5" style="123"/>
    <col min="3" max="3" width="0" style="123" customWidth="1"/>
    <col min="4" max="4" width="17.375" style="123" customWidth="1"/>
    <col min="8" max="8" width="30.25" customWidth="1"/>
    <col min="9" max="9" width="30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143</v>
      </c>
      <c r="I1" s="5" t="s">
        <v>144</v>
      </c>
      <c r="J1" s="5" t="s">
        <v>11</v>
      </c>
      <c r="K1" s="5" t="s">
        <v>12</v>
      </c>
      <c r="L1" s="5" t="s"/>
    </row>
    <row r="2" spans="1:12" ht="18.75">
      <c r="A2" s="4">
        <v>1</v>
      </c>
      <c r="B2" s="4" t="s">
        <v>772</v>
      </c>
      <c r="C2" s="4">
        <v>1053</v>
      </c>
      <c r="D2" s="4" t="str">
        <f>=VLOOKUP(B2,[1]在校生综合信息查询!$A$405:$C$447,2,0)</f>
        <v>25q710103124</v>
      </c>
      <c r="E2" s="6">
        <v>38</v>
      </c>
      <c r="F2" s="12">
        <v>20</v>
      </c>
      <c r="G2" s="6">
        <v>18.5</v>
      </c>
      <c r="H2" s="6">
        <v>73</v>
      </c>
      <c r="I2" s="6">
        <v>80</v>
      </c>
      <c r="J2" s="6" t="s"/>
      <c r="K2" s="5" t="s"/>
      <c r="L2" s="5" t="s"/>
    </row>
    <row r="3" spans="1:12" ht="18.75">
      <c r="A3" s="4">
        <v>2</v>
      </c>
      <c r="B3" s="4" t="s">
        <v>774</v>
      </c>
      <c r="C3" s="4">
        <v>1085</v>
      </c>
      <c r="D3" s="4" t="str">
        <f>=VLOOKUP(B3,[1]在校生综合信息查询!$A$405:$C$447,2,0)</f>
        <v>25q710103154</v>
      </c>
      <c r="E3" s="6">
        <v>59</v>
      </c>
      <c r="F3" s="12">
        <v>18</v>
      </c>
      <c r="G3" s="6">
        <v>32</v>
      </c>
      <c r="H3" s="6">
        <v>32</v>
      </c>
      <c r="I3" s="6">
        <v>30</v>
      </c>
      <c r="J3" s="5" t="s"/>
      <c r="K3" s="5" t="s"/>
      <c r="L3" s="5" t="s"/>
    </row>
    <row r="4" spans="1:12" ht="18.75">
      <c r="A4" s="4">
        <v>3</v>
      </c>
      <c r="B4" s="4" t="s">
        <v>776</v>
      </c>
      <c r="C4" s="4">
        <v>1083</v>
      </c>
      <c r="D4" s="4" t="str">
        <f>=VLOOKUP(B4,[1]在校生综合信息查询!$A$405:$C$447,2,0)</f>
        <v>25q710103152</v>
      </c>
      <c r="E4" s="6">
        <v>66.5</v>
      </c>
      <c r="F4" s="12">
        <v>35</v>
      </c>
      <c r="G4" s="6">
        <v>66.5</v>
      </c>
      <c r="H4" s="6">
        <v>45</v>
      </c>
      <c r="I4" s="6">
        <v>56.5</v>
      </c>
      <c r="J4" s="5" t="s"/>
      <c r="K4" s="5" t="s"/>
      <c r="L4" s="5" t="s"/>
    </row>
    <row r="5" spans="1:12" ht="18.75">
      <c r="A5" s="4">
        <v>4</v>
      </c>
      <c r="B5" s="4" t="s">
        <v>778</v>
      </c>
      <c r="C5" s="4">
        <v>1062</v>
      </c>
      <c r="D5" s="4" t="str">
        <f>=VLOOKUP(B5,[1]在校生综合信息查询!$A$405:$C$447,2,0)</f>
        <v>25q710103126</v>
      </c>
      <c r="E5" s="6">
        <v>75</v>
      </c>
      <c r="F5" s="12">
        <v>25</v>
      </c>
      <c r="G5" s="6">
        <v>46</v>
      </c>
      <c r="H5" s="6">
        <v>20</v>
      </c>
      <c r="I5" s="6">
        <v>36</v>
      </c>
      <c r="J5" s="5" t="s"/>
      <c r="K5" s="5" t="s"/>
      <c r="L5" s="5" t="s"/>
    </row>
    <row r="6" spans="1:12" ht="18.75">
      <c r="A6" s="4">
        <v>5</v>
      </c>
      <c r="B6" s="4" t="s">
        <v>780</v>
      </c>
      <c r="C6" s="4">
        <v>1084</v>
      </c>
      <c r="D6" s="4" t="str">
        <f>=VLOOKUP(B6,[1]在校生综合信息查询!$A$405:$C$447,2,0)</f>
        <v>25q710103153</v>
      </c>
      <c r="E6" s="6">
        <v>66</v>
      </c>
      <c r="F6" s="12">
        <v>34</v>
      </c>
      <c r="G6" s="6">
        <v>53</v>
      </c>
      <c r="H6" s="6">
        <v>84</v>
      </c>
      <c r="I6" s="6">
        <v>79</v>
      </c>
      <c r="J6" s="5" t="s"/>
      <c r="K6" s="5" t="s"/>
      <c r="L6" s="5" t="s"/>
    </row>
    <row r="7" spans="1:12" ht="18.75">
      <c r="A7" s="4">
        <v>6</v>
      </c>
      <c r="B7" s="4" t="s">
        <v>782</v>
      </c>
      <c r="C7" s="4">
        <v>1058</v>
      </c>
      <c r="D7" s="4" t="str">
        <f>=VLOOKUP(B7,[1]在校生综合信息查询!$A$405:$C$447,2,0)</f>
        <v>25q710103121</v>
      </c>
      <c r="E7" s="6">
        <v>72</v>
      </c>
      <c r="F7" s="12">
        <v>16</v>
      </c>
      <c r="G7" s="6">
        <v>34.5</v>
      </c>
      <c r="H7" s="6">
        <v>26</v>
      </c>
      <c r="I7" s="6">
        <v>34</v>
      </c>
      <c r="J7" s="5" t="s"/>
      <c r="K7" s="5" t="s"/>
      <c r="L7" s="5" t="s"/>
    </row>
    <row r="8" spans="1:12" ht="18.75">
      <c r="A8" s="4">
        <v>7</v>
      </c>
      <c r="B8" s="4" t="s">
        <v>784</v>
      </c>
      <c r="C8" s="4">
        <v>1078</v>
      </c>
      <c r="D8" s="4" t="str">
        <f>=VLOOKUP(B8,[1]在校生综合信息查询!$A$405:$C$447,2,0)</f>
        <v>25q710103142</v>
      </c>
      <c r="E8" s="6">
        <v>65</v>
      </c>
      <c r="F8" s="12">
        <v>5</v>
      </c>
      <c r="G8" s="6">
        <v>48</v>
      </c>
      <c r="H8" s="6">
        <v>26</v>
      </c>
      <c r="I8" s="6">
        <v>44</v>
      </c>
      <c r="J8" s="5" t="s"/>
      <c r="K8" s="5" t="s"/>
      <c r="L8" s="5" t="s"/>
    </row>
    <row r="9" spans="1:12" ht="18.75">
      <c r="A9" s="4">
        <v>8</v>
      </c>
      <c r="B9" s="4" t="s">
        <v>786</v>
      </c>
      <c r="C9" s="4">
        <v>1080</v>
      </c>
      <c r="D9" s="4" t="str">
        <f>=VLOOKUP(B9,[1]在校生综合信息查询!$A$405:$C$447,2,0)</f>
        <v>25q710103149</v>
      </c>
      <c r="E9" s="6">
        <v>53</v>
      </c>
      <c r="F9" s="12">
        <v>94</v>
      </c>
      <c r="G9" s="6">
        <v>89</v>
      </c>
      <c r="H9" s="6">
        <v>34</v>
      </c>
      <c r="I9" s="6">
        <v>23</v>
      </c>
      <c r="J9" s="5" t="s"/>
      <c r="K9" s="5" t="s"/>
      <c r="L9" s="5" t="s"/>
    </row>
    <row r="10" spans="1:12" ht="18.75">
      <c r="A10" s="4">
        <v>9</v>
      </c>
      <c r="B10" s="4" t="s">
        <v>788</v>
      </c>
      <c r="C10" s="4">
        <v>1059</v>
      </c>
      <c r="D10" s="4" t="str">
        <f>=VLOOKUP(B10,[1]在校生综合信息查询!$A$405:$C$447,2,0)</f>
        <v>25q710103122</v>
      </c>
      <c r="E10" s="6">
        <v>85.5</v>
      </c>
      <c r="F10" s="12">
        <v>40</v>
      </c>
      <c r="G10" s="6">
        <v>21</v>
      </c>
      <c r="H10" s="6">
        <v>30</v>
      </c>
      <c r="I10" s="6">
        <v>30</v>
      </c>
      <c r="J10" s="5" t="s"/>
      <c r="K10" s="5" t="s"/>
      <c r="L10" s="5" t="s"/>
    </row>
    <row r="11" spans="1:12" ht="18.75">
      <c r="A11" s="4">
        <v>10</v>
      </c>
      <c r="B11" s="4" t="s">
        <v>790</v>
      </c>
      <c r="C11" s="4">
        <v>1068</v>
      </c>
      <c r="D11" s="4" t="str">
        <f>=VLOOKUP(B11,[1]在校生综合信息查询!$A$405:$C$447,2,0)</f>
        <v>25q710103132</v>
      </c>
      <c r="E11" s="6">
        <v>62.5</v>
      </c>
      <c r="F11" s="12">
        <v>10</v>
      </c>
      <c r="G11" s="6">
        <v>55</v>
      </c>
      <c r="H11" s="6">
        <v>58</v>
      </c>
      <c r="I11" s="6">
        <v>67</v>
      </c>
      <c r="J11" s="5" t="s"/>
      <c r="K11" s="5" t="s"/>
      <c r="L11" s="5" t="s"/>
    </row>
    <row r="12" spans="1:12" ht="18.75">
      <c r="A12" s="4">
        <v>11</v>
      </c>
      <c r="B12" s="4" t="s">
        <v>792</v>
      </c>
      <c r="C12" s="4">
        <v>1090</v>
      </c>
      <c r="D12" s="4" t="str">
        <f>=VLOOKUP(B12,[1]在校生综合信息查询!$A$405:$C$447,2,0)</f>
        <v>25q710103161</v>
      </c>
      <c r="E12" s="6" t="s">
        <v>105</v>
      </c>
      <c r="F12" s="12" t="s">
        <v>105</v>
      </c>
      <c r="G12" s="6" t="s">
        <v>105</v>
      </c>
      <c r="H12" s="5" t="s"/>
      <c r="I12" s="5" t="s"/>
      <c r="J12" s="5" t="s"/>
      <c r="K12" s="5" t="s"/>
      <c r="L12" s="5" t="s"/>
    </row>
    <row r="13" spans="1:12" ht="18.75">
      <c r="A13" s="4">
        <v>12</v>
      </c>
      <c r="B13" s="4" t="s">
        <v>794</v>
      </c>
      <c r="C13" s="4">
        <v>1067</v>
      </c>
      <c r="D13" s="4" t="str">
        <f>=VLOOKUP(B13,[1]在校生综合信息查询!$A$405:$C$447,2,0)</f>
        <v>25q710103131</v>
      </c>
      <c r="E13" s="6">
        <v>64</v>
      </c>
      <c r="F13" s="12">
        <v>20</v>
      </c>
      <c r="G13" s="6">
        <v>43.5</v>
      </c>
      <c r="H13" s="6">
        <v>36</v>
      </c>
      <c r="I13" s="6">
        <v>33.5</v>
      </c>
      <c r="J13" s="5" t="s"/>
      <c r="K13" s="5" t="s"/>
      <c r="L13" s="5" t="s"/>
    </row>
    <row r="14" spans="1:12" ht="18.75">
      <c r="A14" s="4">
        <v>13</v>
      </c>
      <c r="B14" s="4" t="s">
        <v>796</v>
      </c>
      <c r="C14" s="4">
        <v>1089</v>
      </c>
      <c r="D14" s="4" t="str">
        <f>=VLOOKUP(B14,[1]在校生综合信息查询!$A$405:$C$447,2,0)</f>
        <v>25q710103159</v>
      </c>
      <c r="E14" s="6">
        <v>61</v>
      </c>
      <c r="F14" s="12">
        <v>41</v>
      </c>
      <c r="G14" s="6">
        <v>42.5</v>
      </c>
      <c r="H14" s="6">
        <v>21</v>
      </c>
      <c r="I14" s="6">
        <v>37</v>
      </c>
      <c r="J14" s="5" t="s"/>
      <c r="K14" s="5" t="s"/>
      <c r="L14" s="5" t="s"/>
    </row>
    <row r="15" spans="1:12" ht="18.75">
      <c r="A15" s="4">
        <v>14</v>
      </c>
      <c r="B15" s="4" t="s">
        <v>798</v>
      </c>
      <c r="C15" s="4">
        <v>1074</v>
      </c>
      <c r="D15" s="4" t="str">
        <f>=VLOOKUP(B15,[1]在校生综合信息查询!$A$405:$C$447,2,0)</f>
        <v>25q710103138</v>
      </c>
      <c r="E15" s="6">
        <v>70.5</v>
      </c>
      <c r="F15" s="12">
        <v>25</v>
      </c>
      <c r="G15" s="6">
        <v>31.5</v>
      </c>
      <c r="H15" s="6">
        <v>30</v>
      </c>
      <c r="I15" s="6">
        <v>48.5</v>
      </c>
      <c r="J15" s="5" t="s"/>
      <c r="K15" s="5" t="s"/>
      <c r="L15" s="5" t="s"/>
    </row>
    <row r="16" spans="1:12" ht="18.75">
      <c r="A16" s="4">
        <v>15</v>
      </c>
      <c r="B16" s="4" t="s">
        <v>800</v>
      </c>
      <c r="C16" s="4">
        <v>1088</v>
      </c>
      <c r="D16" s="4" t="str">
        <f>=VLOOKUP(B16,[1]在校生综合信息查询!$A$405:$C$447,2,0)</f>
        <v>25q710103158</v>
      </c>
      <c r="E16" s="6">
        <v>64.5</v>
      </c>
      <c r="F16" s="12">
        <v>23</v>
      </c>
      <c r="G16" s="6">
        <v>32</v>
      </c>
      <c r="H16" s="6">
        <v>44</v>
      </c>
      <c r="I16" s="6">
        <v>48.5</v>
      </c>
      <c r="J16" s="5" t="s"/>
      <c r="K16" s="5" t="s"/>
      <c r="L16" s="5" t="s"/>
    </row>
    <row r="17" spans="1:12" ht="18.75">
      <c r="A17" s="4">
        <v>16</v>
      </c>
      <c r="B17" s="4" t="s">
        <v>802</v>
      </c>
      <c r="C17" s="4">
        <v>1060</v>
      </c>
      <c r="D17" s="4" t="str">
        <f>=VLOOKUP(B17,[1]在校生综合信息查询!$A$405:$C$447,2,0)</f>
        <v>25q710103123</v>
      </c>
      <c r="E17" s="6">
        <v>90</v>
      </c>
      <c r="F17" s="12">
        <v>82</v>
      </c>
      <c r="G17" s="6">
        <v>42</v>
      </c>
      <c r="H17" s="6">
        <v>31</v>
      </c>
      <c r="I17" s="6">
        <v>59.5</v>
      </c>
      <c r="J17" s="5" t="s"/>
      <c r="K17" s="5" t="s"/>
      <c r="L17" s="5" t="s"/>
    </row>
    <row r="18" spans="1:12" ht="18.75">
      <c r="A18" s="4">
        <v>17</v>
      </c>
      <c r="B18" s="4" t="s">
        <v>804</v>
      </c>
      <c r="C18" s="4">
        <v>1086</v>
      </c>
      <c r="D18" s="4" t="str">
        <f>=VLOOKUP(B18,[1]在校生综合信息查询!$A$405:$C$447,2,0)</f>
        <v>25q710103155</v>
      </c>
      <c r="E18" s="6">
        <v>61</v>
      </c>
      <c r="F18" s="12">
        <v>22</v>
      </c>
      <c r="G18" s="6">
        <v>59</v>
      </c>
      <c r="H18" s="6">
        <v>57</v>
      </c>
      <c r="I18" s="6">
        <v>40.5</v>
      </c>
      <c r="J18" s="5" t="s"/>
      <c r="K18" s="5" t="s"/>
      <c r="L18" s="5" t="s"/>
    </row>
    <row r="19" spans="1:12" ht="18.75">
      <c r="A19" s="4">
        <v>18</v>
      </c>
      <c r="B19" s="4" t="s">
        <v>806</v>
      </c>
      <c r="C19" s="4">
        <v>1056</v>
      </c>
      <c r="D19" s="4" t="str">
        <f>=VLOOKUP(B19,[1]在校生综合信息查询!$A$405:$C$447,2,0)</f>
        <v>25q710103119</v>
      </c>
      <c r="E19" s="6">
        <v>67</v>
      </c>
      <c r="F19" s="12">
        <v>30</v>
      </c>
      <c r="G19" s="6">
        <v>98</v>
      </c>
      <c r="H19" s="6">
        <v>54</v>
      </c>
      <c r="I19" s="6">
        <v>39</v>
      </c>
      <c r="J19" s="5" t="s"/>
      <c r="K19" s="5" t="s"/>
      <c r="L19" s="5" t="s"/>
    </row>
    <row r="20" spans="1:12" ht="18.75">
      <c r="A20" s="4">
        <v>19</v>
      </c>
      <c r="B20" s="4" t="s">
        <v>808</v>
      </c>
      <c r="C20" s="4">
        <v>1072</v>
      </c>
      <c r="D20" s="4" t="str">
        <f>=VLOOKUP(B20,[1]在校生综合信息查询!$A$405:$C$447,2,0)</f>
        <v>25q710103136</v>
      </c>
      <c r="E20" s="6">
        <v>62.5</v>
      </c>
      <c r="F20" s="12">
        <v>16</v>
      </c>
      <c r="G20" s="6">
        <v>22.5</v>
      </c>
      <c r="H20" s="6">
        <v>48</v>
      </c>
      <c r="I20" s="6">
        <v>76</v>
      </c>
      <c r="J20" s="5" t="s"/>
      <c r="K20" s="5" t="s"/>
      <c r="L20" s="5" t="s"/>
    </row>
    <row r="21" spans="1:12" ht="18.75">
      <c r="A21" s="4">
        <v>20</v>
      </c>
      <c r="B21" s="4" t="s">
        <v>810</v>
      </c>
      <c r="C21" s="4">
        <v>1082</v>
      </c>
      <c r="D21" s="4" t="str">
        <f>=VLOOKUP(B21,[1]在校生综合信息查询!$A$405:$C$447,2,0)</f>
        <v>25q710103151</v>
      </c>
      <c r="E21" s="6">
        <v>66</v>
      </c>
      <c r="F21" s="12">
        <v>67</v>
      </c>
      <c r="G21" s="6">
        <v>42.5</v>
      </c>
      <c r="H21" s="6">
        <v>62</v>
      </c>
      <c r="I21" s="6">
        <v>77</v>
      </c>
      <c r="J21" s="5" t="s"/>
      <c r="K21" s="5" t="s"/>
      <c r="L21" s="5" t="s"/>
    </row>
    <row r="22" spans="1:12" ht="18.75">
      <c r="A22" s="4">
        <v>21</v>
      </c>
      <c r="B22" s="4" t="s">
        <v>812</v>
      </c>
      <c r="C22" s="4">
        <v>1087</v>
      </c>
      <c r="D22" s="4" t="str">
        <f>=VLOOKUP(B22,[1]在校生综合信息查询!$A$405:$C$447,2,0)</f>
        <v>25q710103156</v>
      </c>
      <c r="E22" s="6">
        <v>69</v>
      </c>
      <c r="F22" s="12">
        <v>32</v>
      </c>
      <c r="G22" s="6">
        <v>48</v>
      </c>
      <c r="H22" s="6">
        <v>49</v>
      </c>
      <c r="I22" s="6">
        <v>33.5</v>
      </c>
      <c r="J22" s="5" t="s"/>
      <c r="K22" s="5" t="s"/>
      <c r="L22" s="5" t="s"/>
    </row>
    <row r="23" spans="1:12" ht="18.75">
      <c r="A23" s="4">
        <v>22</v>
      </c>
      <c r="B23" s="4" t="s">
        <v>814</v>
      </c>
      <c r="C23" s="4">
        <v>1075</v>
      </c>
      <c r="D23" s="4" t="str">
        <f>=VLOOKUP(B23,[1]在校生综合信息查询!$A$405:$C$447,2,0)</f>
        <v>25q710103139</v>
      </c>
      <c r="E23" s="6">
        <v>68.5</v>
      </c>
      <c r="F23" s="12">
        <v>5</v>
      </c>
      <c r="G23" s="6">
        <v>66.5</v>
      </c>
      <c r="H23" s="6">
        <v>36</v>
      </c>
      <c r="I23" s="6">
        <v>77</v>
      </c>
      <c r="J23" s="5" t="s"/>
      <c r="K23" s="5" t="s"/>
      <c r="L23" s="5" t="s"/>
    </row>
    <row r="24" spans="1:12" ht="18.75">
      <c r="A24" s="4">
        <v>23</v>
      </c>
      <c r="B24" s="4" t="s">
        <v>816</v>
      </c>
      <c r="C24" s="4">
        <v>1093</v>
      </c>
      <c r="D24" s="4" t="str">
        <f>=VLOOKUP(B24,[1]在校生综合信息查询!$A$405:$C$447,2,0)</f>
        <v>20250702</v>
      </c>
      <c r="E24" s="6">
        <v>41</v>
      </c>
      <c r="F24" s="12">
        <v>41</v>
      </c>
      <c r="G24" s="6">
        <v>34.5</v>
      </c>
      <c r="H24" s="6">
        <v>29</v>
      </c>
      <c r="I24" s="6">
        <v>20</v>
      </c>
      <c r="J24" s="5" t="s"/>
      <c r="K24" s="5" t="s"/>
      <c r="L24" s="5" t="s"/>
    </row>
    <row r="25" spans="1:12" ht="18.75">
      <c r="A25" s="4">
        <v>24</v>
      </c>
      <c r="B25" s="4" t="s">
        <v>818</v>
      </c>
      <c r="C25" s="4">
        <v>1057</v>
      </c>
      <c r="D25" s="4" t="str">
        <f>=VLOOKUP(B25,[1]在校生综合信息查询!$A$405:$C$447,2,0)</f>
        <v>25q710103120</v>
      </c>
      <c r="E25" s="6">
        <v>67</v>
      </c>
      <c r="F25" s="12">
        <v>25</v>
      </c>
      <c r="G25" s="6">
        <v>35.5</v>
      </c>
      <c r="H25" s="6">
        <v>62</v>
      </c>
      <c r="I25" s="6">
        <v>66.5</v>
      </c>
      <c r="J25" s="5" t="s"/>
      <c r="K25" s="5" t="s"/>
      <c r="L25" s="5" t="s"/>
    </row>
    <row r="26" spans="1:12" ht="18.75">
      <c r="A26" s="4">
        <v>25</v>
      </c>
      <c r="B26" s="4" t="s">
        <v>820</v>
      </c>
      <c r="C26" s="4">
        <v>1094</v>
      </c>
      <c r="D26" s="4" t="str">
        <f>=VLOOKUP(B26,[1]在校生综合信息查询!$A$405:$C$447,2,0)</f>
        <v>25q710201560</v>
      </c>
      <c r="E26" s="6">
        <v>70</v>
      </c>
      <c r="F26" s="12">
        <v>5</v>
      </c>
      <c r="G26" s="6">
        <v>61</v>
      </c>
      <c r="H26" s="6">
        <v>16</v>
      </c>
      <c r="I26" s="6">
        <v>28</v>
      </c>
      <c r="J26" s="5" t="s"/>
      <c r="K26" s="5" t="s"/>
      <c r="L26" s="5" t="s"/>
    </row>
    <row r="27" spans="1:12" ht="18.75">
      <c r="A27" s="4">
        <v>26</v>
      </c>
      <c r="B27" s="4" t="s">
        <v>822</v>
      </c>
      <c r="C27" s="4">
        <v>1069</v>
      </c>
      <c r="D27" s="4" t="str">
        <f>=VLOOKUP(B27,[1]在校生综合信息查询!$A$405:$C$447,2,0)</f>
        <v>25q710103133</v>
      </c>
      <c r="E27" s="6">
        <v>72</v>
      </c>
      <c r="F27" s="12">
        <v>81</v>
      </c>
      <c r="G27" s="6">
        <v>73</v>
      </c>
      <c r="H27" s="6">
        <v>52</v>
      </c>
      <c r="I27" s="6">
        <v>65</v>
      </c>
      <c r="J27" s="5" t="s"/>
      <c r="K27" s="5" t="s"/>
      <c r="L27" s="5" t="s"/>
    </row>
    <row r="28" spans="1:12" ht="18.75">
      <c r="A28" s="4">
        <v>27</v>
      </c>
      <c r="B28" s="4" t="s">
        <v>824</v>
      </c>
      <c r="C28" s="4">
        <v>1092</v>
      </c>
      <c r="D28" s="4" t="str">
        <f>=VLOOKUP(B28,[1]在校生综合信息查询!$A$405:$C$447,2,0)</f>
        <v>25q710103163</v>
      </c>
      <c r="E28" s="6">
        <v>72</v>
      </c>
      <c r="F28" s="12">
        <v>46</v>
      </c>
      <c r="G28" s="6">
        <v>27</v>
      </c>
      <c r="H28" s="6">
        <v>33</v>
      </c>
      <c r="I28" s="6">
        <v>40</v>
      </c>
      <c r="J28" s="5" t="s"/>
      <c r="K28" s="5" t="s"/>
      <c r="L28" s="5" t="s"/>
    </row>
    <row r="29" spans="1:12" ht="18.75">
      <c r="A29" s="4">
        <v>28</v>
      </c>
      <c r="B29" s="4" t="s">
        <v>826</v>
      </c>
      <c r="C29" s="4">
        <v>1079</v>
      </c>
      <c r="D29" s="4" t="str">
        <f>=VLOOKUP(B29,[1]在校生综合信息查询!$A$405:$C$447,2,0)</f>
        <v>25q710103148</v>
      </c>
      <c r="E29" s="6">
        <v>76</v>
      </c>
      <c r="F29" s="12">
        <v>70</v>
      </c>
      <c r="G29" s="6">
        <v>41.5</v>
      </c>
      <c r="H29" s="6">
        <v>48</v>
      </c>
      <c r="I29" s="6">
        <v>54.5</v>
      </c>
      <c r="J29" s="5" t="s"/>
      <c r="K29" s="5" t="s"/>
      <c r="L29" s="5" t="s"/>
    </row>
    <row r="30" spans="1:12" ht="18.75">
      <c r="A30" s="4">
        <v>29</v>
      </c>
      <c r="B30" s="4" t="s">
        <v>738</v>
      </c>
      <c r="C30" s="4">
        <v>1055</v>
      </c>
      <c r="D30" s="4" t="str">
        <f>=VLOOKUP(B30,[1]在校生综合信息查询!$A$405:$C$447,2,0)</f>
        <v>25q710103118</v>
      </c>
      <c r="E30" s="6">
        <v>65.5</v>
      </c>
      <c r="F30" s="12">
        <v>38</v>
      </c>
      <c r="G30" s="6">
        <v>73</v>
      </c>
      <c r="H30" s="6">
        <v>30</v>
      </c>
      <c r="I30" s="6">
        <v>37.5</v>
      </c>
      <c r="J30" s="5" t="s"/>
      <c r="K30" s="5" t="s"/>
      <c r="L30" s="5" t="s"/>
    </row>
    <row r="31" spans="1:12" ht="18.75">
      <c r="A31" s="4">
        <v>30</v>
      </c>
      <c r="B31" s="4" t="s">
        <v>829</v>
      </c>
      <c r="C31" s="4">
        <v>1081</v>
      </c>
      <c r="D31" s="4" t="str">
        <f>=VLOOKUP(B31,[1]在校生综合信息查询!$A$405:$C$447,2,0)</f>
        <v>25q710103150</v>
      </c>
      <c r="E31" s="6">
        <v>79.5</v>
      </c>
      <c r="F31" s="12">
        <v>5</v>
      </c>
      <c r="G31" s="6">
        <v>55</v>
      </c>
      <c r="H31" s="6">
        <v>46</v>
      </c>
      <c r="I31" s="6">
        <v>56</v>
      </c>
      <c r="J31" s="5" t="s"/>
      <c r="K31" s="5" t="s"/>
      <c r="L31" s="5" t="s"/>
    </row>
    <row r="32" spans="1:12" ht="18.75">
      <c r="A32" s="4">
        <v>31</v>
      </c>
      <c r="B32" s="4" t="s">
        <v>831</v>
      </c>
      <c r="C32" s="4">
        <v>1073</v>
      </c>
      <c r="D32" s="4" t="str">
        <f>=VLOOKUP(B32,[1]在校生综合信息查询!$A$405:$C$447,2,0)</f>
        <v>25q710103137</v>
      </c>
      <c r="E32" s="6">
        <v>56.5</v>
      </c>
      <c r="F32" s="12">
        <v>35</v>
      </c>
      <c r="G32" s="6">
        <v>36</v>
      </c>
      <c r="H32" s="6">
        <v>42</v>
      </c>
      <c r="I32" s="6">
        <v>35</v>
      </c>
      <c r="J32" s="5" t="s"/>
      <c r="K32" s="5" t="s"/>
      <c r="L32" s="5" t="s"/>
    </row>
    <row r="33" spans="1:12" ht="18.75">
      <c r="A33" s="4">
        <v>32</v>
      </c>
      <c r="B33" s="4" t="s">
        <v>833</v>
      </c>
      <c r="C33" s="4">
        <v>1077</v>
      </c>
      <c r="D33" s="4" t="str">
        <f>=VLOOKUP(B33,[1]在校生综合信息查询!$A$405:$C$447,2,0)</f>
        <v>25q710103141</v>
      </c>
      <c r="E33" s="6">
        <v>52</v>
      </c>
      <c r="F33" s="12">
        <v>23</v>
      </c>
      <c r="G33" s="6">
        <v>35.5</v>
      </c>
      <c r="H33" s="6">
        <v>61</v>
      </c>
      <c r="I33" s="6">
        <v>63</v>
      </c>
      <c r="J33" s="5" t="s"/>
      <c r="K33" s="5" t="s"/>
      <c r="L33" s="5" t="s"/>
    </row>
    <row r="34" spans="1:12" ht="18.75">
      <c r="A34" s="4">
        <v>33</v>
      </c>
      <c r="B34" s="4" t="s">
        <v>835</v>
      </c>
      <c r="C34" s="4">
        <v>1064</v>
      </c>
      <c r="D34" s="4" t="str">
        <f>=VLOOKUP(B34,[1]在校生综合信息查询!$A$405:$C$447,2,0)</f>
        <v>25q710103128</v>
      </c>
      <c r="E34" s="6">
        <v>61</v>
      </c>
      <c r="F34" s="12">
        <v>73</v>
      </c>
      <c r="G34" s="6">
        <v>58</v>
      </c>
      <c r="H34" s="6">
        <v>65</v>
      </c>
      <c r="I34" s="6">
        <v>79</v>
      </c>
      <c r="J34" s="5" t="s"/>
      <c r="K34" s="5" t="s"/>
      <c r="L34" s="5" t="s"/>
    </row>
    <row r="35" spans="1:12" ht="18.75">
      <c r="A35" s="4">
        <v>34</v>
      </c>
      <c r="B35" s="4" t="s">
        <v>837</v>
      </c>
      <c r="C35" s="4">
        <v>1063</v>
      </c>
      <c r="D35" s="4" t="str">
        <f>=VLOOKUP(B35,[1]在校生综合信息查询!$A$405:$C$447,2,0)</f>
        <v>25q710103127</v>
      </c>
      <c r="E35" s="6">
        <v>64</v>
      </c>
      <c r="F35" s="12">
        <v>20</v>
      </c>
      <c r="G35" s="6">
        <v>23.5</v>
      </c>
      <c r="H35" s="6">
        <v>30</v>
      </c>
      <c r="I35" s="6">
        <v>30</v>
      </c>
      <c r="J35" s="5" t="s"/>
      <c r="K35" s="5" t="s"/>
      <c r="L35" s="5" t="s"/>
    </row>
    <row r="36" spans="1:12" ht="18.75">
      <c r="A36" s="4">
        <v>35</v>
      </c>
      <c r="B36" s="4" t="s">
        <v>839</v>
      </c>
      <c r="C36" s="4" t="s"/>
      <c r="D36" s="4" t="str">
        <f>=VLOOKUP(B36,[1]在校生综合信息查询!$A$405:$C$447,2,0)</f>
        <v>25q710103135</v>
      </c>
      <c r="E36" s="6">
        <v>66.5</v>
      </c>
      <c r="F36" s="12">
        <v>33</v>
      </c>
      <c r="G36" s="6">
        <v>34.5</v>
      </c>
      <c r="H36" s="6">
        <v>42</v>
      </c>
      <c r="I36" s="6">
        <v>29.5</v>
      </c>
      <c r="J36" s="5" t="s"/>
      <c r="K36" s="5" t="s"/>
      <c r="L36" s="5" t="s"/>
    </row>
    <row r="37" spans="1:12" ht="18.75">
      <c r="A37" s="4">
        <v>36</v>
      </c>
      <c r="B37" s="4" t="s">
        <v>841</v>
      </c>
      <c r="C37" s="4" t="s"/>
      <c r="D37" s="4" t="str">
        <f>=VLOOKUP(B37,[1]在校生综合信息查询!$A$405:$C$447,2,0)</f>
        <v>25q710103125</v>
      </c>
      <c r="E37" s="6">
        <v>67</v>
      </c>
      <c r="F37" s="12">
        <v>44</v>
      </c>
      <c r="G37" s="6">
        <v>30</v>
      </c>
      <c r="H37" s="6">
        <v>77</v>
      </c>
      <c r="I37" s="6">
        <v>66</v>
      </c>
      <c r="J37" s="5" t="s"/>
      <c r="K37" s="5" t="s"/>
      <c r="L37" s="5" t="s"/>
    </row>
    <row r="38" spans="1:12" ht="18.75">
      <c r="A38" s="4">
        <v>37</v>
      </c>
      <c r="B38" s="4" t="s">
        <v>843</v>
      </c>
      <c r="C38" s="4" t="s"/>
      <c r="D38" s="4" t="str">
        <f>=VLOOKUP(B38,[1]在校生综合信息查询!$A$405:$C$447,2,0)</f>
        <v>25q710103162</v>
      </c>
      <c r="E38" s="6" t="s">
        <v>105</v>
      </c>
      <c r="F38" s="12" t="s">
        <v>105</v>
      </c>
      <c r="G38" s="6" t="s">
        <v>105</v>
      </c>
      <c r="H38" s="5" t="s"/>
      <c r="I38" s="5" t="s"/>
      <c r="J38" s="5" t="s"/>
      <c r="K38" s="5" t="s"/>
      <c r="L38" s="5" t="s"/>
    </row>
    <row r="39" spans="1:12" ht="18.75">
      <c r="A39" s="4">
        <v>38</v>
      </c>
      <c r="B39" s="4" t="s">
        <v>845</v>
      </c>
      <c r="C39" s="4" t="s"/>
      <c r="D39" s="4" t="str">
        <f>=VLOOKUP(B39,[1]在校生综合信息查询!$A$405:$C$447,2,0)</f>
        <v>20250222</v>
      </c>
      <c r="E39" s="6">
        <v>66.5</v>
      </c>
      <c r="F39" s="12">
        <v>15</v>
      </c>
      <c r="G39" s="6">
        <v>48.5</v>
      </c>
      <c r="H39" s="6">
        <v>17</v>
      </c>
      <c r="I39" s="6">
        <v>49</v>
      </c>
      <c r="J39" s="5" t="s"/>
      <c r="K39" s="5" t="s"/>
      <c r="L39" s="5" t="s"/>
    </row>
    <row r="40" spans="1:12" ht="18.75">
      <c r="A40" s="4">
        <v>39</v>
      </c>
      <c r="B40" s="4" t="s">
        <v>847</v>
      </c>
      <c r="C40" s="4" t="s"/>
      <c r="D40" s="4" t="str">
        <f>=VLOOKUP(B40,[1]在校生综合信息查询!$A$405:$C$447,2,0)</f>
        <v>25q710103134</v>
      </c>
      <c r="E40" s="6">
        <v>75</v>
      </c>
      <c r="F40" s="12">
        <v>95</v>
      </c>
      <c r="G40" s="6">
        <v>51</v>
      </c>
      <c r="H40" s="6">
        <v>50</v>
      </c>
      <c r="I40" s="6">
        <v>53</v>
      </c>
      <c r="J40" s="5" t="s"/>
      <c r="K40" s="5" t="s"/>
      <c r="L40" s="5" t="s"/>
    </row>
    <row r="41" spans="1:12" ht="18.75">
      <c r="A41" s="4">
        <v>40</v>
      </c>
      <c r="B41" s="4" t="s">
        <v>849</v>
      </c>
      <c r="C41" s="4" t="s"/>
      <c r="D41" s="4" t="str">
        <f>=VLOOKUP(B41,[1]在校生综合信息查询!$A$405:$C$447,2,0)</f>
        <v>25q710103130</v>
      </c>
      <c r="E41" s="6">
        <v>61</v>
      </c>
      <c r="F41" s="12">
        <v>82</v>
      </c>
      <c r="G41" s="6">
        <v>45.5</v>
      </c>
      <c r="H41" s="6">
        <v>63</v>
      </c>
      <c r="I41" s="6">
        <v>80</v>
      </c>
      <c r="J41" s="5" t="s"/>
      <c r="K41" s="5" t="s"/>
      <c r="L41" s="5" t="s"/>
    </row>
    <row r="42" spans="1:12" ht="18.75">
      <c r="A42" s="4">
        <v>41</v>
      </c>
      <c r="B42" s="4" t="s">
        <v>851</v>
      </c>
      <c r="C42" s="4" t="s"/>
      <c r="D42" s="4" t="str">
        <f>=VLOOKUP(B42,[1]在校生综合信息查询!$A$405:$C$447,2,0)</f>
        <v>25q710103140</v>
      </c>
      <c r="E42" s="6">
        <v>81</v>
      </c>
      <c r="F42" s="12">
        <v>28</v>
      </c>
      <c r="G42" s="6">
        <v>36.5</v>
      </c>
      <c r="H42" s="6">
        <v>26</v>
      </c>
      <c r="I42" s="6">
        <v>30.5</v>
      </c>
      <c r="J42" s="5" t="s"/>
      <c r="K42" s="5" t="s"/>
      <c r="L42" s="5" t="s"/>
    </row>
    <row r="43" spans="1:12" ht="18.75">
      <c r="A43" s="4">
        <v>42</v>
      </c>
      <c r="B43" s="4" t="s">
        <v>853</v>
      </c>
      <c r="C43" s="4" t="s"/>
      <c r="D43" s="4" t="str">
        <f>=VLOOKUP(B43,[1]在校生综合信息查询!$A$405:$C$447,2,0)</f>
        <v>25q710103129</v>
      </c>
      <c r="E43" s="6">
        <v>64.5</v>
      </c>
      <c r="F43" s="12">
        <v>25</v>
      </c>
      <c r="G43" s="6">
        <v>60.5</v>
      </c>
      <c r="H43" s="6">
        <v>27</v>
      </c>
      <c r="I43" s="6">
        <v>35</v>
      </c>
      <c r="J43" s="5" t="s"/>
      <c r="K43" s="5" t="s"/>
      <c r="L43" s="5" t="s"/>
    </row>
    <row r="44" spans="1:12" ht="18.75">
      <c r="A44" s="4">
        <v>43</v>
      </c>
      <c r="B44" s="4" t="s">
        <v>855</v>
      </c>
      <c r="C44" s="4" t="s"/>
      <c r="D44" s="4" t="str">
        <f>=VLOOKUP(B44,[1]在校生综合信息查询!$A$405:$C$447,2,0)</f>
        <v>25q710103144</v>
      </c>
      <c r="E44" s="6">
        <v>52</v>
      </c>
      <c r="F44" s="12">
        <v>20</v>
      </c>
      <c r="G44" s="6">
        <v>56</v>
      </c>
      <c r="H44" s="6">
        <v>28</v>
      </c>
      <c r="I44" s="6">
        <v>54</v>
      </c>
      <c r="J44" s="5" t="s"/>
      <c r="K44" s="5" t="s"/>
      <c r="L44" s="5" t="s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/>
  <dimension ref="K73"/>
  <sheetViews>
    <sheetView showGridLines="1" topLeftCell="A64" workbookViewId="0"/>
  </sheetViews>
  <sheetFormatPr defaultColWidth="8.75" defaultRowHeight="14.25"/>
  <cols>
    <col min="1" max="1" width="8.75" style="122"/>
    <col min="2" max="2" width="9.5" style="123"/>
    <col min="3" max="3" width="0" style="123" customWidth="1"/>
    <col min="4" max="4" width="17.375" style="123" customWidth="1"/>
    <col min="5" max="7" width="8.75" hidden="1"/>
    <col min="8" max="8" width="15.375" hidden="1" customWidth="1"/>
    <col min="9" max="9" width="22.1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857</v>
      </c>
      <c r="I1" s="5" t="s">
        <v>858</v>
      </c>
      <c r="J1" s="5" t="s">
        <v>11</v>
      </c>
      <c r="K1" s="5" t="s">
        <v>12</v>
      </c>
      <c r="L1" s="5" t="s"/>
    </row>
    <row r="2" spans="1:12" ht="18.75">
      <c r="A2" s="4">
        <v>1</v>
      </c>
      <c r="B2" s="4" t="s">
        <v>859</v>
      </c>
      <c r="C2" s="4">
        <v>1445</v>
      </c>
      <c r="D2" s="4" t="str">
        <f>=VLOOKUP(B2,[1]在校生综合信息查询!$A$448:$C$518,2,0)</f>
        <v>25q710201054</v>
      </c>
      <c r="E2" s="26">
        <v>12</v>
      </c>
      <c r="F2" s="6">
        <v>4</v>
      </c>
      <c r="G2" s="6">
        <v>22.5</v>
      </c>
      <c r="H2" s="6">
        <v>14</v>
      </c>
      <c r="I2" s="6">
        <v>12</v>
      </c>
      <c r="J2" s="6">
        <v>64.5</v>
      </c>
      <c r="K2" s="5">
        <f>=RANK(J2,J$2:J$72,0)</f>
        <v>59</v>
      </c>
      <c r="L2" s="5" t="s"/>
    </row>
    <row r="3" spans="1:12" ht="18.75">
      <c r="A3" s="4">
        <v>2</v>
      </c>
      <c r="B3" s="4" t="s">
        <v>861</v>
      </c>
      <c r="C3" s="4">
        <v>1405</v>
      </c>
      <c r="D3" s="4" t="str">
        <f>=VLOOKUP(B3,[1]在校生综合信息查询!$A$448:$C$518,2,0)</f>
        <v>25q710201210</v>
      </c>
      <c r="E3" s="6">
        <v>76</v>
      </c>
      <c r="F3" s="6">
        <v>20</v>
      </c>
      <c r="G3" s="6">
        <v>28</v>
      </c>
      <c r="H3" s="6">
        <v>63</v>
      </c>
      <c r="I3" s="6">
        <v>59</v>
      </c>
      <c r="J3" s="6">
        <v>246</v>
      </c>
      <c r="K3" s="5">
        <f>=RANK(J3,J$2:J$72,0)</f>
        <v>2</v>
      </c>
      <c r="L3" s="5" t="s"/>
    </row>
    <row r="4" spans="1:12" ht="18.75">
      <c r="A4" s="4">
        <v>3</v>
      </c>
      <c r="B4" s="4" t="s">
        <v>863</v>
      </c>
      <c r="C4" s="4">
        <v>1422</v>
      </c>
      <c r="D4" s="4" t="str">
        <f>=VLOOKUP(B4,[1]在校生综合信息查询!$A$448:$C$518,2,0)</f>
        <v>25q710201230</v>
      </c>
      <c r="E4" s="6">
        <v>52</v>
      </c>
      <c r="F4" s="6">
        <v>28</v>
      </c>
      <c r="G4" s="6">
        <v>35.5</v>
      </c>
      <c r="H4" s="6">
        <v>39</v>
      </c>
      <c r="I4" s="6">
        <v>35</v>
      </c>
      <c r="J4" s="6">
        <v>189.5</v>
      </c>
      <c r="K4" s="5">
        <f>=RANK(J4,J$2:J$72,0)</f>
        <v>13</v>
      </c>
      <c r="L4" s="5" t="s"/>
    </row>
    <row r="5" spans="1:12" ht="18.75">
      <c r="A5" s="4">
        <v>4</v>
      </c>
      <c r="B5" s="4" t="s">
        <v>865</v>
      </c>
      <c r="C5" s="4">
        <v>1384</v>
      </c>
      <c r="D5" s="4" t="str">
        <f>=VLOOKUP(B5,[1]在校生综合信息查询!$A$448:$C$518,2,0)</f>
        <v>25q710201184</v>
      </c>
      <c r="E5" s="6">
        <v>62</v>
      </c>
      <c r="F5" s="6">
        <v>8</v>
      </c>
      <c r="G5" s="6">
        <v>25.5</v>
      </c>
      <c r="H5" s="6">
        <v>45</v>
      </c>
      <c r="I5" s="6">
        <v>56</v>
      </c>
      <c r="J5" s="6">
        <v>196.5</v>
      </c>
      <c r="K5" s="5">
        <f>=RANK(J5,J$2:J$72,0)</f>
        <v>11</v>
      </c>
      <c r="L5" s="5" t="s"/>
    </row>
    <row r="6" spans="1:12" ht="18.75">
      <c r="A6" s="4">
        <v>5</v>
      </c>
      <c r="B6" s="4" t="s">
        <v>867</v>
      </c>
      <c r="C6" s="4">
        <v>1401</v>
      </c>
      <c r="D6" s="4" t="str">
        <f>=VLOOKUP(B6,[1]在校生综合信息查询!$A$448:$C$518,2,0)</f>
        <v>25q710201205</v>
      </c>
      <c r="E6" s="6">
        <v>60</v>
      </c>
      <c r="F6" s="6">
        <v>24</v>
      </c>
      <c r="G6" s="6">
        <v>23</v>
      </c>
      <c r="H6" s="6">
        <v>48</v>
      </c>
      <c r="I6" s="6">
        <v>43</v>
      </c>
      <c r="J6" s="6">
        <v>198</v>
      </c>
      <c r="K6" s="5">
        <f>=RANK(J6,J$2:J$72,0)</f>
        <v>10</v>
      </c>
      <c r="L6" s="5" t="s"/>
    </row>
    <row r="7" spans="1:12" ht="18.75">
      <c r="A7" s="4">
        <v>6</v>
      </c>
      <c r="B7" s="4" t="s">
        <v>869</v>
      </c>
      <c r="C7" s="4">
        <v>1437</v>
      </c>
      <c r="D7" s="4" t="e">
        <f>=VLOOKUP(B7,[1]在校生综合信息查询!$A$448:$C$518,2,0)</f>
        <v>#N/A</v>
      </c>
      <c r="E7" s="6">
        <v>26</v>
      </c>
      <c r="F7" s="6">
        <v>36</v>
      </c>
      <c r="G7" s="6">
        <v>23</v>
      </c>
      <c r="H7" s="6">
        <v>31</v>
      </c>
      <c r="I7" s="6">
        <v>46</v>
      </c>
      <c r="J7" s="6">
        <v>153.5</v>
      </c>
      <c r="K7" s="5">
        <f>=RANK(J7,J$2:J$72,0)</f>
        <v>24</v>
      </c>
      <c r="L7" s="5" t="s"/>
    </row>
    <row r="8" spans="1:12" ht="18.75">
      <c r="A8" s="4">
        <v>7</v>
      </c>
      <c r="B8" s="4" t="s">
        <v>870</v>
      </c>
      <c r="C8" s="4">
        <v>1429</v>
      </c>
      <c r="D8" s="4" t="str">
        <f>=VLOOKUP(B8,[1]在校生综合信息查询!$A$448:$C$518,2,0)</f>
        <v>25q710201195</v>
      </c>
      <c r="E8" s="6">
        <v>46</v>
      </c>
      <c r="F8" s="6">
        <v>24</v>
      </c>
      <c r="G8" s="6">
        <v>25.5</v>
      </c>
      <c r="H8" s="6">
        <v>23</v>
      </c>
      <c r="I8" s="6">
        <v>26</v>
      </c>
      <c r="J8" s="6">
        <v>144.5</v>
      </c>
      <c r="K8" s="5">
        <f>=RANK(J8,J$2:J$72,0)</f>
        <v>31</v>
      </c>
      <c r="L8" s="5" t="s"/>
    </row>
    <row r="9" spans="1:12" ht="18.75">
      <c r="A9" s="4">
        <v>8</v>
      </c>
      <c r="B9" s="4" t="s">
        <v>872</v>
      </c>
      <c r="C9" s="4">
        <v>1392</v>
      </c>
      <c r="D9" s="4" t="str">
        <f>=VLOOKUP(B9,[1]在校生综合信息查询!$A$448:$C$518,2,0)</f>
        <v>25q710201194</v>
      </c>
      <c r="E9" s="6">
        <v>0</v>
      </c>
      <c r="F9" s="6">
        <v>0</v>
      </c>
      <c r="G9" s="6">
        <v>0</v>
      </c>
      <c r="H9" s="5" t="s"/>
      <c r="I9" s="5" t="s"/>
      <c r="J9" s="6">
        <v>0</v>
      </c>
      <c r="K9" s="5">
        <f>=RANK(J9,J$2:J$72,0)</f>
        <v>63</v>
      </c>
      <c r="L9" s="5" t="s"/>
    </row>
    <row r="10" spans="1:12" ht="18.75">
      <c r="A10" s="4">
        <v>9</v>
      </c>
      <c r="B10" s="4" t="s">
        <v>874</v>
      </c>
      <c r="C10" s="4">
        <v>1379</v>
      </c>
      <c r="D10" s="4" t="str">
        <f>=VLOOKUP(B10,[1]在校生综合信息查询!$A$448:$C$518,2,0)</f>
        <v>25q710201179</v>
      </c>
      <c r="E10" s="6">
        <v>53</v>
      </c>
      <c r="F10" s="6">
        <v>12</v>
      </c>
      <c r="G10" s="6">
        <v>22</v>
      </c>
      <c r="H10" s="6">
        <v>28</v>
      </c>
      <c r="I10" s="6">
        <v>36</v>
      </c>
      <c r="J10" s="6">
        <v>151</v>
      </c>
      <c r="K10" s="5">
        <f>=RANK(J10,J$2:J$72,0)</f>
        <v>25</v>
      </c>
      <c r="L10" s="5" t="s"/>
    </row>
    <row r="11" spans="1:12" ht="18.75">
      <c r="A11" s="4">
        <v>10</v>
      </c>
      <c r="B11" s="4" t="s">
        <v>876</v>
      </c>
      <c r="C11" s="4">
        <v>1439</v>
      </c>
      <c r="D11" s="4" t="str">
        <f>=VLOOKUP(B11,[1]在校生综合信息查询!$A$448:$C$518,2,0)</f>
        <v>24q710201007</v>
      </c>
      <c r="E11" s="6">
        <v>0</v>
      </c>
      <c r="F11" s="6">
        <v>0</v>
      </c>
      <c r="G11" s="6">
        <v>0</v>
      </c>
      <c r="H11" s="5" t="s"/>
      <c r="I11" s="5" t="s"/>
      <c r="J11" s="6">
        <v>0</v>
      </c>
      <c r="K11" s="5">
        <f>=RANK(J11,J$2:J$72,0)</f>
        <v>63</v>
      </c>
      <c r="L11" s="5" t="s"/>
    </row>
    <row r="12" spans="1:12" ht="18.75">
      <c r="A12" s="4">
        <v>11</v>
      </c>
      <c r="B12" s="4" t="s">
        <v>878</v>
      </c>
      <c r="C12" s="4">
        <v>1381</v>
      </c>
      <c r="D12" s="4" t="str">
        <f>=VLOOKUP(B12,[1]在校生综合信息查询!$A$448:$C$518,2,0)</f>
        <v>25q710201181</v>
      </c>
      <c r="E12" s="6">
        <v>53</v>
      </c>
      <c r="F12" s="6">
        <v>12</v>
      </c>
      <c r="G12" s="6">
        <v>44.5</v>
      </c>
      <c r="H12" s="6">
        <v>33</v>
      </c>
      <c r="I12" s="6">
        <v>34</v>
      </c>
      <c r="J12" s="6">
        <v>176.5</v>
      </c>
      <c r="K12" s="5">
        <f>=RANK(J12,J$2:J$72,0)</f>
        <v>18</v>
      </c>
      <c r="L12" s="5" t="s"/>
    </row>
    <row r="13" spans="1:12" ht="18.75">
      <c r="A13" s="4">
        <v>12</v>
      </c>
      <c r="B13" s="4" t="s">
        <v>880</v>
      </c>
      <c r="C13" s="4">
        <v>1418</v>
      </c>
      <c r="D13" s="4" t="str">
        <f>=VLOOKUP(B13,[1]在校生综合信息查询!$A$448:$C$518,2,0)</f>
        <v>25q710201226</v>
      </c>
      <c r="E13" s="6">
        <v>15</v>
      </c>
      <c r="F13" s="6">
        <v>16</v>
      </c>
      <c r="G13" s="6">
        <v>32</v>
      </c>
      <c r="H13" s="6">
        <v>29</v>
      </c>
      <c r="I13" s="6">
        <v>29</v>
      </c>
      <c r="J13" s="6">
        <v>121</v>
      </c>
      <c r="K13" s="5">
        <f>=RANK(J13,J$2:J$72,0)</f>
        <v>43</v>
      </c>
      <c r="L13" s="5" t="s"/>
    </row>
    <row r="14" spans="1:12" ht="18.75">
      <c r="A14" s="4">
        <v>13</v>
      </c>
      <c r="B14" s="4" t="s">
        <v>882</v>
      </c>
      <c r="C14" s="4">
        <v>1449</v>
      </c>
      <c r="D14" s="4" t="str">
        <f>=VLOOKUP(B14,[1]在校生综合信息查询!$A$448:$C$518,2,0)</f>
        <v>25q710201062</v>
      </c>
      <c r="E14" s="6">
        <v>30</v>
      </c>
      <c r="F14" s="6">
        <v>24</v>
      </c>
      <c r="G14" s="6">
        <v>20.5</v>
      </c>
      <c r="H14" s="6">
        <v>27</v>
      </c>
      <c r="I14" s="6">
        <v>34</v>
      </c>
      <c r="J14" s="6">
        <v>135.5</v>
      </c>
      <c r="K14" s="5">
        <f>=RANK(J14,J$2:J$72,0)</f>
        <v>37</v>
      </c>
      <c r="L14" s="5" t="s"/>
    </row>
    <row r="15" spans="1:12" ht="18.75">
      <c r="A15" s="4">
        <v>14</v>
      </c>
      <c r="B15" s="4" t="s">
        <v>884</v>
      </c>
      <c r="C15" s="4">
        <v>1400</v>
      </c>
      <c r="D15" s="4" t="str">
        <f>=VLOOKUP(B15,[1]在校生综合信息查询!$A$448:$C$518,2,0)</f>
        <v>25q710201204</v>
      </c>
      <c r="E15" s="6">
        <v>38</v>
      </c>
      <c r="F15" s="6">
        <v>18</v>
      </c>
      <c r="G15" s="6">
        <v>30.5</v>
      </c>
      <c r="H15" s="6">
        <v>59</v>
      </c>
      <c r="I15" s="6">
        <v>63</v>
      </c>
      <c r="J15" s="6">
        <v>208.5</v>
      </c>
      <c r="K15" s="5">
        <f>=RANK(J15,J$2:J$72,0)</f>
        <v>7</v>
      </c>
      <c r="L15" s="5" t="s"/>
    </row>
    <row r="16" spans="1:12" ht="18.75">
      <c r="A16" s="4">
        <v>15</v>
      </c>
      <c r="B16" s="4" t="s">
        <v>886</v>
      </c>
      <c r="C16" s="4">
        <v>1390</v>
      </c>
      <c r="D16" s="4" t="str">
        <f>=VLOOKUP(B16,[1]在校生综合信息查询!$A$448:$C$518,2,0)</f>
        <v>25q710201190</v>
      </c>
      <c r="E16" s="6">
        <v>11</v>
      </c>
      <c r="F16" s="6">
        <v>12</v>
      </c>
      <c r="G16" s="6">
        <v>21</v>
      </c>
      <c r="H16" s="6">
        <v>14</v>
      </c>
      <c r="I16" s="6">
        <v>26</v>
      </c>
      <c r="J16" s="6">
        <v>84</v>
      </c>
      <c r="K16" s="5">
        <f>=RANK(J16,J$2:J$72,0)</f>
        <v>57</v>
      </c>
      <c r="L16" s="5" t="s"/>
    </row>
    <row r="17" spans="1:12" ht="18.75">
      <c r="A17" s="4">
        <v>16</v>
      </c>
      <c r="B17" s="4" t="s">
        <v>888</v>
      </c>
      <c r="C17" s="4">
        <v>1440</v>
      </c>
      <c r="D17" s="4" t="str">
        <f>=VLOOKUP(B17,[1]在校生综合信息查询!$A$448:$C$518,2,0)</f>
        <v>25q710201066</v>
      </c>
      <c r="E17" s="6">
        <v>6</v>
      </c>
      <c r="F17" s="6">
        <v>12</v>
      </c>
      <c r="G17" s="6">
        <v>20.5</v>
      </c>
      <c r="H17" s="6">
        <v>0</v>
      </c>
      <c r="I17" s="6">
        <v>0</v>
      </c>
      <c r="J17" s="6">
        <v>38.5</v>
      </c>
      <c r="K17" s="5">
        <f>=RANK(J17,J$2:J$72,0)</f>
        <v>61</v>
      </c>
      <c r="L17" s="5" t="s"/>
    </row>
    <row r="18" spans="1:12" ht="18.75">
      <c r="A18" s="4">
        <v>17</v>
      </c>
      <c r="B18" s="4" t="s">
        <v>890</v>
      </c>
      <c r="C18" s="4">
        <v>1414</v>
      </c>
      <c r="D18" s="4" t="str">
        <f>=VLOOKUP(B18,[1]在校生综合信息查询!$A$448:$C$518,2,0)</f>
        <v>25q710201220</v>
      </c>
      <c r="E18" s="6">
        <v>2</v>
      </c>
      <c r="F18" s="6">
        <v>24</v>
      </c>
      <c r="G18" s="6">
        <v>22</v>
      </c>
      <c r="H18" s="6">
        <v>15</v>
      </c>
      <c r="I18" s="6">
        <v>26</v>
      </c>
      <c r="J18" s="6">
        <v>89</v>
      </c>
      <c r="K18" s="5">
        <f>=RANK(J18,J$2:J$72,0)</f>
        <v>53</v>
      </c>
      <c r="L18" s="5" t="s"/>
    </row>
    <row r="19" spans="1:12" ht="18.75">
      <c r="A19" s="4">
        <v>18</v>
      </c>
      <c r="B19" s="4" t="s">
        <v>892</v>
      </c>
      <c r="C19" s="4">
        <v>1441</v>
      </c>
      <c r="D19" s="4" t="str">
        <f>=VLOOKUP(B19,[1]在校生综合信息查询!$A$448:$C$518,2,0)</f>
        <v>25q710201068</v>
      </c>
      <c r="E19" s="6">
        <v>6</v>
      </c>
      <c r="F19" s="6">
        <v>28</v>
      </c>
      <c r="G19" s="6">
        <v>22.5</v>
      </c>
      <c r="H19" s="6">
        <v>19</v>
      </c>
      <c r="I19" s="6">
        <v>25</v>
      </c>
      <c r="J19" s="6">
        <v>100.5</v>
      </c>
      <c r="K19" s="5">
        <f>=RANK(J19,J$2:J$72,0)</f>
        <v>50</v>
      </c>
      <c r="L19" s="5" t="s"/>
    </row>
    <row r="20" spans="1:12" ht="18.75">
      <c r="A20" s="4">
        <v>19</v>
      </c>
      <c r="B20" s="4" t="s">
        <v>894</v>
      </c>
      <c r="C20" s="4">
        <v>1435</v>
      </c>
      <c r="D20" s="4" t="str">
        <f>=VLOOKUP(B20,[1]在校生综合信息查询!$A$448:$C$518,2,0)</f>
        <v>25q710201244</v>
      </c>
      <c r="E20" s="6">
        <v>0</v>
      </c>
      <c r="F20" s="6">
        <v>0</v>
      </c>
      <c r="G20" s="6">
        <v>0</v>
      </c>
      <c r="H20" s="5" t="s"/>
      <c r="I20" s="5" t="s"/>
      <c r="J20" s="6">
        <v>0</v>
      </c>
      <c r="K20" s="5">
        <f>=RANK(J20,J$2:J$72,0)</f>
        <v>63</v>
      </c>
      <c r="L20" s="5" t="s"/>
    </row>
    <row r="21" spans="1:12" ht="18.75">
      <c r="A21" s="4">
        <v>20</v>
      </c>
      <c r="B21" s="4" t="s">
        <v>896</v>
      </c>
      <c r="C21" s="4">
        <v>1416</v>
      </c>
      <c r="D21" s="4" t="str">
        <f>=VLOOKUP(B21,[1]在校生综合信息查询!$A$448:$C$518,2,0)</f>
        <v>25q710201222</v>
      </c>
      <c r="E21" s="6">
        <v>22</v>
      </c>
      <c r="F21" s="6">
        <v>20</v>
      </c>
      <c r="G21" s="6">
        <v>33</v>
      </c>
      <c r="H21" s="6">
        <v>15</v>
      </c>
      <c r="I21" s="6">
        <v>36</v>
      </c>
      <c r="J21" s="6">
        <v>126</v>
      </c>
      <c r="K21" s="5">
        <f>=RANK(J21,J$2:J$72,0)</f>
        <v>41</v>
      </c>
      <c r="L21" s="5" t="s"/>
    </row>
    <row r="22" spans="1:12" ht="18.75">
      <c r="A22" s="4">
        <v>21</v>
      </c>
      <c r="B22" s="4" t="s">
        <v>898</v>
      </c>
      <c r="C22" s="4">
        <v>1383</v>
      </c>
      <c r="D22" s="4" t="str">
        <f>=VLOOKUP(B22,[1]在校生综合信息查询!$A$448:$C$518,2,0)</f>
        <v>25q710201183</v>
      </c>
      <c r="E22" s="6">
        <v>60</v>
      </c>
      <c r="F22" s="6">
        <v>42</v>
      </c>
      <c r="G22" s="6">
        <v>68</v>
      </c>
      <c r="H22" s="6">
        <v>87</v>
      </c>
      <c r="I22" s="6">
        <v>58</v>
      </c>
      <c r="J22" s="6">
        <f>=SUM(E22,F22,G22,H22,I22)</f>
        <v>315</v>
      </c>
      <c r="K22" s="5">
        <f>=RANK(J22,J$2:J$72,0)</f>
        <v>1</v>
      </c>
      <c r="L22" s="5" t="s"/>
    </row>
    <row r="23" spans="1:12" ht="18.75">
      <c r="A23" s="4">
        <v>22</v>
      </c>
      <c r="B23" s="4" t="s">
        <v>900</v>
      </c>
      <c r="C23" s="4">
        <v>1394</v>
      </c>
      <c r="D23" s="4" t="str">
        <f>=VLOOKUP(B23,[1]在校生综合信息查询!$A$448:$C$518,2,0)</f>
        <v>25q710201197</v>
      </c>
      <c r="E23" s="6">
        <v>37</v>
      </c>
      <c r="F23" s="6">
        <v>24</v>
      </c>
      <c r="G23" s="6">
        <v>19</v>
      </c>
      <c r="H23" s="6">
        <v>24</v>
      </c>
      <c r="I23" s="6">
        <v>32</v>
      </c>
      <c r="J23" s="6">
        <v>136</v>
      </c>
      <c r="K23" s="5">
        <f>=RANK(J23,J$2:J$72,0)</f>
        <v>36</v>
      </c>
      <c r="L23" s="5" t="s"/>
    </row>
    <row r="24" spans="1:12" ht="18.75">
      <c r="A24" s="4">
        <v>23</v>
      </c>
      <c r="B24" s="4" t="s">
        <v>902</v>
      </c>
      <c r="C24" s="4">
        <v>1386</v>
      </c>
      <c r="D24" s="4" t="str">
        <f>=VLOOKUP(B24,[1]在校生综合信息查询!$A$448:$C$518,2,0)</f>
        <v>25q710201186</v>
      </c>
      <c r="E24" s="6">
        <v>40</v>
      </c>
      <c r="F24" s="6">
        <v>24</v>
      </c>
      <c r="G24" s="6">
        <v>26</v>
      </c>
      <c r="H24" s="6">
        <v>55</v>
      </c>
      <c r="I24" s="6">
        <v>58</v>
      </c>
      <c r="J24" s="6">
        <v>203</v>
      </c>
      <c r="K24" s="5">
        <f>=RANK(J24,J$2:J$72,0)</f>
        <v>8</v>
      </c>
      <c r="L24" s="5" t="s"/>
    </row>
    <row r="25" spans="1:12" ht="18.75">
      <c r="A25" s="4">
        <v>24</v>
      </c>
      <c r="B25" s="4" t="s">
        <v>904</v>
      </c>
      <c r="C25" s="4">
        <v>1415</v>
      </c>
      <c r="D25" s="4" t="str">
        <f>=VLOOKUP(B25,[1]在校生综合信息查询!$A$448:$C$518,2,0)</f>
        <v>25q710201221</v>
      </c>
      <c r="E25" s="6">
        <v>39</v>
      </c>
      <c r="F25" s="6">
        <v>40</v>
      </c>
      <c r="G25" s="6">
        <v>50.5</v>
      </c>
      <c r="H25" s="6">
        <v>35</v>
      </c>
      <c r="I25" s="6">
        <v>44</v>
      </c>
      <c r="J25" s="6">
        <v>191.5</v>
      </c>
      <c r="K25" s="5">
        <f>=RANK(J25,J$2:J$72,0)</f>
        <v>12</v>
      </c>
      <c r="L25" s="5" t="s"/>
    </row>
    <row r="26" spans="1:12" ht="18.75">
      <c r="A26" s="4">
        <v>25</v>
      </c>
      <c r="B26" s="4" t="s">
        <v>906</v>
      </c>
      <c r="C26" s="4">
        <v>1420</v>
      </c>
      <c r="D26" s="4" t="str">
        <f>=VLOOKUP(B26,[1]在校生综合信息查询!$A$448:$C$518,2,0)</f>
        <v>25q710201228</v>
      </c>
      <c r="E26" s="6">
        <v>9</v>
      </c>
      <c r="F26" s="6">
        <v>12</v>
      </c>
      <c r="G26" s="6">
        <v>16</v>
      </c>
      <c r="H26" s="6">
        <v>23</v>
      </c>
      <c r="I26" s="6">
        <v>30</v>
      </c>
      <c r="J26" s="6">
        <v>150</v>
      </c>
      <c r="K26" s="5">
        <f>=RANK(J26,J$2:J$72,0)</f>
        <v>27</v>
      </c>
      <c r="L26" s="5" t="s"/>
    </row>
    <row r="27" spans="1:12" ht="18.75">
      <c r="A27" s="4">
        <v>26</v>
      </c>
      <c r="B27" s="4" t="s">
        <v>908</v>
      </c>
      <c r="C27" s="4">
        <v>1421</v>
      </c>
      <c r="D27" s="4" t="str">
        <f>=VLOOKUP(B27,[1]在校生综合信息查询!$A$448:$C$518,2,0)</f>
        <v>25q710201229</v>
      </c>
      <c r="E27" s="6">
        <v>41</v>
      </c>
      <c r="F27" s="6">
        <v>12</v>
      </c>
      <c r="G27" s="6">
        <v>15</v>
      </c>
      <c r="H27" s="6">
        <v>22</v>
      </c>
      <c r="I27" s="6">
        <v>41</v>
      </c>
      <c r="J27" s="6">
        <v>131</v>
      </c>
      <c r="K27" s="5">
        <f>=RANK(J27,J$2:J$72,0)</f>
        <v>39</v>
      </c>
      <c r="L27" s="5" t="s"/>
    </row>
    <row r="28" spans="1:12" ht="18.75">
      <c r="A28" s="4">
        <v>27</v>
      </c>
      <c r="B28" s="4" t="s">
        <v>910</v>
      </c>
      <c r="C28" s="4">
        <v>1391</v>
      </c>
      <c r="D28" s="4" t="str">
        <f>=VLOOKUP(B28,[1]在校生综合信息查询!$A$448:$C$518,2,0)</f>
        <v>25q710201191</v>
      </c>
      <c r="E28" s="6">
        <v>15</v>
      </c>
      <c r="F28" s="6">
        <v>20</v>
      </c>
      <c r="G28" s="6">
        <v>10.5</v>
      </c>
      <c r="H28" s="6">
        <v>23</v>
      </c>
      <c r="I28" s="6">
        <v>18</v>
      </c>
      <c r="J28" s="6">
        <v>81.5</v>
      </c>
      <c r="K28" s="5">
        <f>=RANK(J28,J$2:J$72,0)</f>
        <v>58</v>
      </c>
      <c r="L28" s="5" t="s"/>
    </row>
    <row r="29" spans="1:12" ht="18.75">
      <c r="A29" s="4">
        <v>28</v>
      </c>
      <c r="B29" s="4" t="s">
        <v>912</v>
      </c>
      <c r="C29" s="4">
        <v>1410</v>
      </c>
      <c r="D29" s="4" t="str">
        <f>=VLOOKUP(B29,[1]在校生综合信息查询!$A$448:$C$518,2,0)</f>
        <v>25q710201215</v>
      </c>
      <c r="E29" s="6">
        <v>0</v>
      </c>
      <c r="F29" s="6">
        <v>0</v>
      </c>
      <c r="G29" s="6">
        <v>0</v>
      </c>
      <c r="H29" s="5" t="s"/>
      <c r="I29" s="5" t="s"/>
      <c r="J29" s="6">
        <v>0</v>
      </c>
      <c r="K29" s="5">
        <f>=RANK(J29,J$2:J$72,0)</f>
        <v>63</v>
      </c>
      <c r="L29" s="5" t="s"/>
    </row>
    <row r="30" spans="1:12" ht="18.75">
      <c r="A30" s="4">
        <v>29</v>
      </c>
      <c r="B30" s="4" t="s">
        <v>914</v>
      </c>
      <c r="C30" s="4">
        <v>1425</v>
      </c>
      <c r="D30" s="4" t="str">
        <f>=VLOOKUP(B30,[1]在校生综合信息查询!$A$448:$C$518,2,0)</f>
        <v>25q710201236</v>
      </c>
      <c r="E30" s="6">
        <v>50</v>
      </c>
      <c r="F30" s="6">
        <v>33</v>
      </c>
      <c r="G30" s="6">
        <v>21</v>
      </c>
      <c r="H30" s="6">
        <v>31</v>
      </c>
      <c r="I30" s="6">
        <v>41</v>
      </c>
      <c r="J30" s="6">
        <v>176</v>
      </c>
      <c r="K30" s="5">
        <f>=RANK(J30,J$2:J$72,0)</f>
        <v>19</v>
      </c>
      <c r="L30" s="5" t="s"/>
    </row>
    <row r="31" spans="1:12" ht="18.75">
      <c r="A31" s="4">
        <v>30</v>
      </c>
      <c r="B31" s="4" t="s">
        <v>916</v>
      </c>
      <c r="C31" s="4">
        <v>1385</v>
      </c>
      <c r="D31" s="4" t="str">
        <f>=VLOOKUP(B31,[1]在校生综合信息查询!$A$448:$C$518,2,0)</f>
        <v>25q710201185</v>
      </c>
      <c r="E31" s="6">
        <v>62</v>
      </c>
      <c r="F31" s="6">
        <v>12</v>
      </c>
      <c r="G31" s="6">
        <v>31.5</v>
      </c>
      <c r="H31" s="6">
        <v>18</v>
      </c>
      <c r="I31" s="6">
        <v>22</v>
      </c>
      <c r="J31" s="6">
        <v>145.5</v>
      </c>
      <c r="K31" s="5">
        <f>=RANK(J31,J$2:J$72,0)</f>
        <v>30</v>
      </c>
      <c r="L31" s="5" t="s"/>
    </row>
    <row r="32" spans="1:12" ht="18.75">
      <c r="A32" s="4">
        <v>31</v>
      </c>
      <c r="B32" s="4" t="s">
        <v>918</v>
      </c>
      <c r="C32" s="4">
        <v>1403</v>
      </c>
      <c r="D32" s="4" t="str">
        <f>=VLOOKUP(B32,[1]在校生综合信息查询!$A$448:$C$518,2,0)</f>
        <v>25q710201207</v>
      </c>
      <c r="E32" s="6">
        <v>19</v>
      </c>
      <c r="F32" s="6">
        <v>28</v>
      </c>
      <c r="G32" s="6">
        <v>29</v>
      </c>
      <c r="H32" s="6">
        <v>24</v>
      </c>
      <c r="I32" s="6">
        <v>18</v>
      </c>
      <c r="J32" s="6">
        <v>118</v>
      </c>
      <c r="K32" s="5">
        <f>=RANK(J32,J$2:J$72,0)</f>
        <v>45</v>
      </c>
      <c r="L32" s="5" t="s"/>
    </row>
    <row r="33" spans="1:12" ht="18.75">
      <c r="A33" s="4">
        <v>32</v>
      </c>
      <c r="B33" s="4" t="s">
        <v>920</v>
      </c>
      <c r="C33" s="4">
        <v>1393</v>
      </c>
      <c r="D33" s="4" t="str">
        <f>=VLOOKUP(B33,[1]在校生综合信息查询!$A$448:$C$518,2,0)</f>
        <v>25q710201196</v>
      </c>
      <c r="E33" s="6">
        <v>17</v>
      </c>
      <c r="F33" s="6">
        <v>20</v>
      </c>
      <c r="G33" s="6">
        <v>24</v>
      </c>
      <c r="H33" s="6">
        <v>29</v>
      </c>
      <c r="I33" s="6">
        <v>48</v>
      </c>
      <c r="J33" s="6">
        <v>138</v>
      </c>
      <c r="K33" s="5">
        <f>=RANK(J33,J$2:J$72,0)</f>
        <v>32</v>
      </c>
      <c r="L33" s="5" t="s"/>
    </row>
    <row r="34" spans="1:12" ht="18.75">
      <c r="A34" s="4">
        <v>33</v>
      </c>
      <c r="B34" s="4" t="s">
        <v>922</v>
      </c>
      <c r="C34" s="4">
        <v>1397</v>
      </c>
      <c r="D34" s="4" t="str">
        <f>=VLOOKUP(B34,[1]在校生综合信息查询!$A$448:$C$518,2,0)</f>
        <v>25q710201201</v>
      </c>
      <c r="E34" s="6">
        <v>0</v>
      </c>
      <c r="F34" s="6">
        <v>0</v>
      </c>
      <c r="G34" s="6">
        <v>0</v>
      </c>
      <c r="H34" s="5" t="s"/>
      <c r="I34" s="5" t="s"/>
      <c r="J34" s="6">
        <v>0</v>
      </c>
      <c r="K34" s="5">
        <f>=RANK(J34,J$2:J$72,0)</f>
        <v>63</v>
      </c>
      <c r="L34" s="5" t="s"/>
    </row>
    <row r="35" spans="1:12" ht="18.75">
      <c r="A35" s="4">
        <v>34</v>
      </c>
      <c r="B35" s="4" t="s">
        <v>924</v>
      </c>
      <c r="C35" s="4">
        <v>1436</v>
      </c>
      <c r="D35" s="4" t="str">
        <f>=VLOOKUP(B35,[1]在校生综合信息查询!$A$448:$C$518,2,0)</f>
        <v>25q710201245</v>
      </c>
      <c r="E35" s="6">
        <v>18</v>
      </c>
      <c r="F35" s="6">
        <v>16</v>
      </c>
      <c r="G35" s="6">
        <v>16</v>
      </c>
      <c r="H35" s="6">
        <v>15</v>
      </c>
      <c r="I35" s="6">
        <v>24</v>
      </c>
      <c r="J35" s="6">
        <v>89</v>
      </c>
      <c r="K35" s="5">
        <f>=RANK(J35,J$2:J$72,0)</f>
        <v>53</v>
      </c>
      <c r="L35" s="5" t="s"/>
    </row>
    <row r="36" spans="1:12" ht="18.75">
      <c r="A36" s="4">
        <v>35</v>
      </c>
      <c r="B36" s="4" t="s">
        <v>926</v>
      </c>
      <c r="C36" s="4">
        <v>1382</v>
      </c>
      <c r="D36" s="4" t="str">
        <f>=VLOOKUP(B36,[1]在校生综合信息查询!$A$448:$C$518,2,0)</f>
        <v>25q710201078</v>
      </c>
      <c r="E36" s="6">
        <v>22</v>
      </c>
      <c r="F36" s="6">
        <v>12</v>
      </c>
      <c r="G36" s="6">
        <v>22.5</v>
      </c>
      <c r="H36" s="6">
        <v>37</v>
      </c>
      <c r="I36" s="6">
        <v>27</v>
      </c>
      <c r="J36" s="6">
        <v>120.5</v>
      </c>
      <c r="K36" s="5">
        <f>=RANK(J36,J$2:J$72,0)</f>
        <v>44</v>
      </c>
      <c r="L36" s="5" t="s"/>
    </row>
    <row r="37" spans="1:12" ht="18.75">
      <c r="A37" s="4">
        <v>36</v>
      </c>
      <c r="B37" s="4" t="s">
        <v>928</v>
      </c>
      <c r="C37" s="4">
        <v>1387</v>
      </c>
      <c r="D37" s="4" t="str">
        <f>=VLOOKUP(B37,[1]在校生综合信息查询!$A$448:$C$518,2,0)</f>
        <v>25q710201235</v>
      </c>
      <c r="E37" s="6">
        <v>34</v>
      </c>
      <c r="F37" s="6">
        <v>20</v>
      </c>
      <c r="G37" s="6">
        <v>14</v>
      </c>
      <c r="H37" s="6">
        <v>28</v>
      </c>
      <c r="I37" s="6">
        <v>34</v>
      </c>
      <c r="J37" s="6">
        <v>130</v>
      </c>
      <c r="K37" s="5">
        <f>=RANK(J37,J$2:J$72,0)</f>
        <v>40</v>
      </c>
      <c r="L37" s="5" t="s"/>
    </row>
    <row r="38" spans="1:12" ht="18.75">
      <c r="A38" s="4">
        <v>37</v>
      </c>
      <c r="B38" s="4" t="s">
        <v>930</v>
      </c>
      <c r="C38" s="4">
        <v>1399</v>
      </c>
      <c r="D38" s="4" t="str">
        <f>=VLOOKUP(B38,[1]在校生综合信息查询!$A$448:$C$518,2,0)</f>
        <v>25q710201081</v>
      </c>
      <c r="E38" s="6">
        <v>25</v>
      </c>
      <c r="F38" s="6">
        <v>28</v>
      </c>
      <c r="G38" s="6">
        <v>22.5</v>
      </c>
      <c r="H38" s="6">
        <v>47</v>
      </c>
      <c r="I38" s="6">
        <v>41</v>
      </c>
      <c r="J38" s="6">
        <v>163.5</v>
      </c>
      <c r="K38" s="5">
        <f>=RANK(J38,J$2:J$72,0)</f>
        <v>23</v>
      </c>
      <c r="L38" s="5" t="s"/>
    </row>
    <row r="39" spans="1:12" ht="18.75">
      <c r="A39" s="4">
        <v>38</v>
      </c>
      <c r="B39" s="4" t="s">
        <v>932</v>
      </c>
      <c r="C39" s="4">
        <v>1402</v>
      </c>
      <c r="D39" s="4" t="str">
        <f>=VLOOKUP(B39,[1]在校生综合信息查询!$A$448:$C$518,2,0)</f>
        <v>25q710201189</v>
      </c>
      <c r="E39" s="6">
        <v>0</v>
      </c>
      <c r="F39" s="6">
        <v>0</v>
      </c>
      <c r="G39" s="6">
        <v>0</v>
      </c>
      <c r="H39" s="5" t="s"/>
      <c r="I39" s="5" t="s"/>
      <c r="J39" s="6">
        <v>0</v>
      </c>
      <c r="K39" s="5">
        <f>=RANK(J39,J$2:J$72,0)</f>
        <v>63</v>
      </c>
      <c r="L39" s="5" t="s"/>
    </row>
    <row r="40" spans="1:12" ht="18.75">
      <c r="A40" s="4">
        <v>39</v>
      </c>
      <c r="B40" s="4" t="s">
        <v>934</v>
      </c>
      <c r="C40" s="4">
        <v>1423</v>
      </c>
      <c r="D40" s="4" t="str">
        <f>=VLOOKUP(B40,[1]在校生综合信息查询!$A$448:$C$518,2,0)</f>
        <v>25q710201213</v>
      </c>
      <c r="E40" s="6">
        <v>26</v>
      </c>
      <c r="F40" s="6">
        <v>16</v>
      </c>
      <c r="G40" s="6">
        <v>43.5</v>
      </c>
      <c r="H40" s="6">
        <v>53</v>
      </c>
      <c r="I40" s="6">
        <v>61</v>
      </c>
      <c r="J40" s="6">
        <v>199.5</v>
      </c>
      <c r="K40" s="5">
        <f>=RANK(J40,J$2:J$72,0)</f>
        <v>9</v>
      </c>
      <c r="L40" s="5" t="s"/>
    </row>
    <row r="41" spans="1:12" ht="18.75">
      <c r="A41" s="4">
        <v>40</v>
      </c>
      <c r="B41" s="4" t="s">
        <v>936</v>
      </c>
      <c r="C41" s="4">
        <v>1432</v>
      </c>
      <c r="D41" s="4" t="str">
        <f>=VLOOKUP(B41,[1]在校生综合信息查询!$A$448:$C$518,2,0)</f>
        <v>25q710201087</v>
      </c>
      <c r="E41" s="6">
        <v>23</v>
      </c>
      <c r="F41" s="6">
        <v>28</v>
      </c>
      <c r="G41" s="6">
        <v>0</v>
      </c>
      <c r="H41" s="5" t="s"/>
      <c r="I41" s="5" t="s"/>
      <c r="J41" s="6">
        <v>0</v>
      </c>
      <c r="K41" s="5">
        <f>=RANK(J41,J$2:J$72,0)</f>
        <v>63</v>
      </c>
      <c r="L41" s="5" t="s"/>
    </row>
    <row r="42" spans="1:12" ht="18.75">
      <c r="A42" s="4">
        <v>41</v>
      </c>
      <c r="B42" s="4" t="s">
        <v>938</v>
      </c>
      <c r="C42" s="4">
        <v>1433</v>
      </c>
      <c r="D42" s="4" t="str">
        <f>=VLOOKUP(B42,[1]在校生综合信息查询!$A$448:$C$518,2,0)</f>
        <v>25q710201089</v>
      </c>
      <c r="E42" s="6">
        <v>19</v>
      </c>
      <c r="F42" s="6">
        <v>4</v>
      </c>
      <c r="G42" s="6">
        <v>20</v>
      </c>
      <c r="H42" s="6">
        <v>32</v>
      </c>
      <c r="I42" s="6">
        <v>63</v>
      </c>
      <c r="J42" s="6">
        <v>138</v>
      </c>
      <c r="K42" s="5">
        <f>=RANK(J42,J$2:J$72,0)</f>
        <v>32</v>
      </c>
      <c r="L42" s="5" t="s"/>
    </row>
    <row r="43" spans="1:12" ht="18.75">
      <c r="A43" s="4">
        <v>42</v>
      </c>
      <c r="B43" s="4" t="s">
        <v>940</v>
      </c>
      <c r="C43" s="4">
        <v>1438</v>
      </c>
      <c r="D43" s="4" t="str">
        <f>=VLOOKUP(B43,[1]在校生综合信息查询!$A$448:$C$518,2,0)</f>
        <v>25q740101019</v>
      </c>
      <c r="E43" s="6">
        <v>61</v>
      </c>
      <c r="F43" s="6">
        <v>20</v>
      </c>
      <c r="G43" s="6">
        <v>35</v>
      </c>
      <c r="H43" s="6">
        <v>34</v>
      </c>
      <c r="I43" s="6">
        <v>35</v>
      </c>
      <c r="J43" s="6">
        <v>185</v>
      </c>
      <c r="K43" s="5">
        <f>=RANK(J43,J$2:J$72,0)</f>
        <v>16</v>
      </c>
      <c r="L43" s="5" t="s"/>
    </row>
    <row r="44" spans="1:12" ht="18.75">
      <c r="A44" s="4">
        <v>43</v>
      </c>
      <c r="B44" s="4" t="s">
        <v>942</v>
      </c>
      <c r="C44" s="4">
        <v>1404</v>
      </c>
      <c r="D44" s="4" t="str">
        <f>=VLOOKUP(B44,[1]在校生综合信息查询!$A$448:$C$518,2,0)</f>
        <v>25q710201198</v>
      </c>
      <c r="E44" s="6">
        <v>21</v>
      </c>
      <c r="F44" s="6">
        <v>12</v>
      </c>
      <c r="G44" s="6">
        <v>17</v>
      </c>
      <c r="H44" s="6">
        <v>24</v>
      </c>
      <c r="I44" s="6">
        <v>32</v>
      </c>
      <c r="J44" s="6">
        <v>106</v>
      </c>
      <c r="K44" s="5">
        <f>=RANK(J44,J$2:J$72,0)</f>
        <v>49</v>
      </c>
      <c r="L44" s="5" t="s"/>
    </row>
    <row r="45" spans="1:12" ht="18.75">
      <c r="A45" s="4">
        <v>44</v>
      </c>
      <c r="B45" s="4" t="s">
        <v>944</v>
      </c>
      <c r="C45" s="4">
        <v>1447</v>
      </c>
      <c r="D45" s="4" t="str">
        <f>=VLOOKUP(B45,[1]在校生综合信息查询!$A$448:$C$518,2,0)</f>
        <v>25q710201182</v>
      </c>
      <c r="E45" s="6">
        <v>55</v>
      </c>
      <c r="F45" s="6">
        <v>24</v>
      </c>
      <c r="G45" s="6">
        <v>24</v>
      </c>
      <c r="H45" s="6">
        <v>61</v>
      </c>
      <c r="I45" s="6">
        <v>45</v>
      </c>
      <c r="J45" s="6">
        <v>209</v>
      </c>
      <c r="K45" s="5">
        <f>=RANK(J45,J$2:J$72,0)</f>
        <v>6</v>
      </c>
      <c r="L45" s="5" t="s"/>
    </row>
    <row r="46" spans="1:12" ht="18.75">
      <c r="A46" s="4">
        <v>45</v>
      </c>
      <c r="B46" s="4" t="s">
        <v>946</v>
      </c>
      <c r="C46" s="4">
        <v>1413</v>
      </c>
      <c r="D46" s="4" t="str">
        <f>=VLOOKUP(B46,[1]在校生综合信息查询!$A$448:$C$518,2,0)</f>
        <v>25q710201187</v>
      </c>
      <c r="E46" s="6">
        <v>29</v>
      </c>
      <c r="F46" s="6">
        <v>4</v>
      </c>
      <c r="G46" s="6">
        <v>15.5</v>
      </c>
      <c r="H46" s="6">
        <v>24</v>
      </c>
      <c r="I46" s="6">
        <v>40</v>
      </c>
      <c r="J46" s="6">
        <v>112.5</v>
      </c>
      <c r="K46" s="5">
        <f>=RANK(J46,J$2:J$72,0)</f>
        <v>46</v>
      </c>
      <c r="L46" s="5" t="s"/>
    </row>
    <row r="47" spans="1:12" ht="20.25" customHeight="1">
      <c r="A47" s="4">
        <v>46</v>
      </c>
      <c r="B47" s="4" t="s">
        <v>948</v>
      </c>
      <c r="C47" s="4">
        <v>1448</v>
      </c>
      <c r="D47" s="4" t="str">
        <f>=VLOOKUP(B47,[1]在校生综合信息查询!$A$448:$C$518,2,0)</f>
        <v>25q710201203</v>
      </c>
      <c r="E47" s="6">
        <v>36</v>
      </c>
      <c r="F47" s="6">
        <v>20</v>
      </c>
      <c r="G47" s="27" t="s">
        <v>950</v>
      </c>
      <c r="H47" s="6">
        <v>50</v>
      </c>
      <c r="I47" s="6">
        <v>46</v>
      </c>
      <c r="J47" s="6">
        <v>186.5</v>
      </c>
      <c r="K47" s="5">
        <f>=RANK(J47,J$2:J$72,0)</f>
        <v>15</v>
      </c>
      <c r="L47" s="5" t="s"/>
    </row>
    <row r="48" spans="1:12" ht="18.75">
      <c r="A48" s="4">
        <v>47</v>
      </c>
      <c r="B48" s="4" t="s">
        <v>951</v>
      </c>
      <c r="C48" s="4">
        <v>1427</v>
      </c>
      <c r="D48" s="4" t="str">
        <f>=VLOOKUP(B48,[1]在校生综合信息查询!$A$448:$C$518,2,0)</f>
        <v>25q710201206</v>
      </c>
      <c r="E48" s="6">
        <v>41</v>
      </c>
      <c r="F48" s="6">
        <v>8</v>
      </c>
      <c r="G48" s="6">
        <v>42</v>
      </c>
      <c r="H48" s="6">
        <v>38</v>
      </c>
      <c r="I48" s="6">
        <v>43</v>
      </c>
      <c r="J48" s="6">
        <v>172</v>
      </c>
      <c r="K48" s="5">
        <f>=RANK(J48,J$2:J$72,0)</f>
        <v>21</v>
      </c>
      <c r="L48" s="5" t="s"/>
    </row>
    <row r="49" spans="1:12" ht="18.75">
      <c r="A49" s="4">
        <v>48</v>
      </c>
      <c r="B49" s="4" t="s">
        <v>953</v>
      </c>
      <c r="C49" s="4">
        <v>1412</v>
      </c>
      <c r="D49" s="4" t="str">
        <f>=VLOOKUP(B49,[1]在校生综合信息查询!$A$448:$C$518,2,0)</f>
        <v>25q710201231</v>
      </c>
      <c r="E49" s="6">
        <v>9</v>
      </c>
      <c r="F49" s="6">
        <v>12</v>
      </c>
      <c r="G49" s="6">
        <v>20</v>
      </c>
      <c r="H49" s="6">
        <v>17</v>
      </c>
      <c r="I49" s="6">
        <v>40</v>
      </c>
      <c r="J49" s="6">
        <v>98</v>
      </c>
      <c r="K49" s="5">
        <f>=RANK(J49,J$2:J$72,0)</f>
        <v>51</v>
      </c>
      <c r="L49" s="5" t="s"/>
    </row>
    <row r="50" spans="1:12" ht="18.75">
      <c r="A50" s="4">
        <v>49</v>
      </c>
      <c r="B50" s="4" t="s">
        <v>955</v>
      </c>
      <c r="C50" s="4">
        <v>1428</v>
      </c>
      <c r="D50" s="4" t="str">
        <f>=VLOOKUP(B50,[1]在校生综合信息查询!$A$448:$C$518,2,0)</f>
        <v>25q710201241</v>
      </c>
      <c r="E50" s="6">
        <v>18</v>
      </c>
      <c r="F50" s="6">
        <v>12</v>
      </c>
      <c r="G50" s="6">
        <v>17.5</v>
      </c>
      <c r="H50" s="6">
        <v>34</v>
      </c>
      <c r="I50" s="6">
        <v>40</v>
      </c>
      <c r="J50" s="6">
        <v>121.5</v>
      </c>
      <c r="K50" s="5">
        <f>=RANK(J50,J$2:J$72,0)</f>
        <v>42</v>
      </c>
      <c r="L50" s="5" t="s"/>
    </row>
    <row r="51" spans="1:12" ht="18.75">
      <c r="A51" s="4">
        <v>50</v>
      </c>
      <c r="B51" s="4" t="s">
        <v>957</v>
      </c>
      <c r="C51" s="4">
        <v>1419</v>
      </c>
      <c r="D51" s="4" t="str">
        <f>=VLOOKUP(B51,[1]在校生综合信息查询!$A$448:$C$518,2,0)</f>
        <v>25q770303024</v>
      </c>
      <c r="E51" s="6">
        <v>11</v>
      </c>
      <c r="F51" s="6">
        <v>16</v>
      </c>
      <c r="G51" s="6">
        <v>29</v>
      </c>
      <c r="H51" s="6">
        <v>12</v>
      </c>
      <c r="I51" s="6">
        <v>28</v>
      </c>
      <c r="J51" s="6">
        <v>96</v>
      </c>
      <c r="K51" s="5">
        <f>=RANK(J51,J$2:J$72,0)</f>
        <v>52</v>
      </c>
      <c r="L51" s="5" t="s"/>
    </row>
    <row r="52" spans="1:12" ht="18.75">
      <c r="A52" s="4">
        <v>51</v>
      </c>
      <c r="B52" s="4" t="s">
        <v>959</v>
      </c>
      <c r="C52" s="4">
        <v>1406</v>
      </c>
      <c r="D52" s="4" t="str">
        <f>=VLOOKUP(B52,[1]在校生综合信息查询!$A$448:$C$518,2,0)</f>
        <v>25q710103219</v>
      </c>
      <c r="E52" s="6">
        <v>6</v>
      </c>
      <c r="F52" s="6">
        <v>20</v>
      </c>
      <c r="G52" s="6">
        <v>0</v>
      </c>
      <c r="H52" s="5" t="s"/>
      <c r="I52" s="5" t="s"/>
      <c r="J52" s="6">
        <v>26</v>
      </c>
      <c r="K52" s="5">
        <f>=RANK(J52,J$2:J$72,0)</f>
        <v>62</v>
      </c>
      <c r="L52" s="5" t="s"/>
    </row>
    <row r="53" spans="1:12" ht="18.75">
      <c r="A53" s="4">
        <v>52</v>
      </c>
      <c r="B53" s="4" t="s">
        <v>961</v>
      </c>
      <c r="C53" s="4">
        <v>1417</v>
      </c>
      <c r="D53" s="4" t="str">
        <f>=VLOOKUP(B53,[1]在校生综合信息查询!$A$448:$C$518,2,0)</f>
        <v>25q710201209</v>
      </c>
      <c r="E53" s="6">
        <v>61</v>
      </c>
      <c r="F53" s="6">
        <v>16</v>
      </c>
      <c r="G53" s="6">
        <v>27.5</v>
      </c>
      <c r="H53" s="6">
        <v>66</v>
      </c>
      <c r="I53" s="6">
        <v>50</v>
      </c>
      <c r="J53" s="6">
        <v>222.5</v>
      </c>
      <c r="K53" s="5">
        <f>=RANK(J53,J$2:J$72,0)</f>
        <v>4</v>
      </c>
      <c r="L53" s="5" t="s"/>
    </row>
    <row r="54" spans="1:12" ht="18.75">
      <c r="A54" s="4">
        <v>53</v>
      </c>
      <c r="B54" s="4" t="s">
        <v>963</v>
      </c>
      <c r="C54" s="4">
        <v>1411</v>
      </c>
      <c r="D54" s="4" t="str">
        <f>=VLOOKUP(B54,[1]在校生综合信息查询!$A$448:$C$518,2,0)</f>
        <v>20250312</v>
      </c>
      <c r="E54" s="6">
        <v>74</v>
      </c>
      <c r="F54" s="6">
        <v>28</v>
      </c>
      <c r="G54" s="6">
        <v>17.5</v>
      </c>
      <c r="H54" s="6">
        <v>26</v>
      </c>
      <c r="I54" s="6">
        <v>30</v>
      </c>
      <c r="J54" s="6">
        <v>175.5</v>
      </c>
      <c r="K54" s="5">
        <f>=RANK(J54,J$2:J$72,0)</f>
        <v>20</v>
      </c>
      <c r="L54" s="5" t="s"/>
    </row>
    <row r="55" spans="1:12" ht="18.75">
      <c r="A55" s="4">
        <v>54</v>
      </c>
      <c r="B55" s="4" t="s">
        <v>965</v>
      </c>
      <c r="C55" s="4">
        <v>1396</v>
      </c>
      <c r="D55" s="4" t="str">
        <f>=VLOOKUP(B55,[1]在校生综合信息查询!$A$448:$C$518,2,0)</f>
        <v>25q710201219</v>
      </c>
      <c r="E55" s="6">
        <v>0</v>
      </c>
      <c r="F55" s="6">
        <v>0</v>
      </c>
      <c r="G55" s="6">
        <v>0</v>
      </c>
      <c r="H55" s="5" t="s"/>
      <c r="I55" s="5" t="s"/>
      <c r="J55" s="6">
        <v>0</v>
      </c>
      <c r="K55" s="5">
        <f>=RANK(J55,J$2:J$72,0)</f>
        <v>63</v>
      </c>
      <c r="L55" s="5" t="s"/>
    </row>
    <row r="56" spans="1:12" ht="18.75">
      <c r="A56" s="4">
        <v>55</v>
      </c>
      <c r="B56" s="4" t="s">
        <v>967</v>
      </c>
      <c r="C56" s="4">
        <v>1407</v>
      </c>
      <c r="D56" s="4" t="str">
        <f>=VLOOKUP(B56,[1]在校生综合信息查询!$A$448:$C$518,2,0)</f>
        <v>20250713</v>
      </c>
      <c r="E56" s="6">
        <v>46</v>
      </c>
      <c r="F56" s="6">
        <v>20</v>
      </c>
      <c r="G56" s="6">
        <v>20</v>
      </c>
      <c r="H56" s="6">
        <v>50</v>
      </c>
      <c r="I56" s="6">
        <v>34</v>
      </c>
      <c r="J56" s="6">
        <v>170</v>
      </c>
      <c r="K56" s="5">
        <f>=RANK(J56,J$2:J$72,0)</f>
        <v>22</v>
      </c>
      <c r="L56" s="5" t="s"/>
    </row>
    <row r="57" spans="1:12" ht="18.75">
      <c r="A57" s="4">
        <v>56</v>
      </c>
      <c r="B57" s="4" t="s">
        <v>969</v>
      </c>
      <c r="C57" s="4">
        <v>1398</v>
      </c>
      <c r="D57" s="4" t="str">
        <f>=VLOOKUP(B57,[1]在校生综合信息查询!$A$448:$C$518,2,0)</f>
        <v>25q710201240</v>
      </c>
      <c r="E57" s="6">
        <v>34</v>
      </c>
      <c r="F57" s="6">
        <v>12</v>
      </c>
      <c r="G57" s="6">
        <v>20.5</v>
      </c>
      <c r="H57" s="6">
        <v>40</v>
      </c>
      <c r="I57" s="6">
        <v>30</v>
      </c>
      <c r="J57" s="6">
        <v>136.5</v>
      </c>
      <c r="K57" s="5">
        <f>=RANK(J57,J$2:J$72,0)</f>
        <v>35</v>
      </c>
      <c r="L57" s="5" t="s"/>
    </row>
    <row r="58" spans="1:12" ht="18.75">
      <c r="A58" s="4">
        <v>57</v>
      </c>
      <c r="B58" s="4" t="s">
        <v>971</v>
      </c>
      <c r="C58" s="4">
        <v>1434</v>
      </c>
      <c r="D58" s="4" t="str">
        <f>=VLOOKUP(B58,[1]在校生综合信息查询!$A$448:$C$518,2,0)</f>
        <v>25q710201217</v>
      </c>
      <c r="E58" s="6">
        <v>18</v>
      </c>
      <c r="F58" s="6">
        <v>16</v>
      </c>
      <c r="G58" s="6">
        <v>14</v>
      </c>
      <c r="H58" s="6">
        <v>38</v>
      </c>
      <c r="I58" s="6">
        <v>46</v>
      </c>
      <c r="J58" s="6">
        <v>132</v>
      </c>
      <c r="K58" s="5">
        <f>=RANK(J58,J$2:J$72,0)</f>
        <v>38</v>
      </c>
      <c r="L58" s="5" t="s"/>
    </row>
    <row r="59" spans="1:12" ht="18.75">
      <c r="A59" s="4">
        <v>58</v>
      </c>
      <c r="B59" s="4" t="s">
        <v>973</v>
      </c>
      <c r="C59" s="4">
        <v>1388</v>
      </c>
      <c r="D59" s="4" t="str">
        <f>=VLOOKUP(B59,[1]在校生综合信息查询!$A$448:$C$518,2,0)</f>
        <v>25q710201193</v>
      </c>
      <c r="E59" s="6">
        <v>24</v>
      </c>
      <c r="F59" s="6">
        <v>20</v>
      </c>
      <c r="G59" s="6">
        <v>0</v>
      </c>
      <c r="H59" s="6">
        <v>0</v>
      </c>
      <c r="I59" s="6">
        <v>0</v>
      </c>
      <c r="J59" s="6">
        <v>44</v>
      </c>
      <c r="K59" s="5">
        <f>=RANK(J59,J$2:J$72,0)</f>
        <v>60</v>
      </c>
      <c r="L59" s="5" t="s"/>
    </row>
    <row r="60" spans="1:12" ht="18.75">
      <c r="A60" s="4">
        <v>59</v>
      </c>
      <c r="B60" s="4" t="s">
        <v>975</v>
      </c>
      <c r="C60" s="4">
        <v>1409</v>
      </c>
      <c r="D60" s="4" t="str">
        <f>=VLOOKUP(B60,[1]在校生综合信息查询!$A$448:$C$518,2,0)</f>
        <v>25q710201227</v>
      </c>
      <c r="E60" s="6">
        <v>54</v>
      </c>
      <c r="F60" s="6">
        <v>8</v>
      </c>
      <c r="G60" s="6">
        <v>32</v>
      </c>
      <c r="H60" s="6">
        <v>38</v>
      </c>
      <c r="I60" s="6">
        <v>41</v>
      </c>
      <c r="J60" s="6">
        <v>137</v>
      </c>
      <c r="K60" s="5">
        <f>=RANK(J60,J$2:J$72,0)</f>
        <v>34</v>
      </c>
      <c r="L60" s="5" t="s"/>
    </row>
    <row r="61" spans="1:12" ht="18.75">
      <c r="A61" s="4">
        <v>60</v>
      </c>
      <c r="B61" s="4" t="s">
        <v>977</v>
      </c>
      <c r="C61" s="4">
        <v>1426</v>
      </c>
      <c r="D61" s="4" t="str">
        <f>=VLOOKUP(B61,[1]在校生综合信息查询!$A$448:$C$518,2,0)</f>
        <v>25q710201211</v>
      </c>
      <c r="E61" s="6">
        <v>68</v>
      </c>
      <c r="F61" s="6">
        <v>20</v>
      </c>
      <c r="G61" s="6">
        <v>26</v>
      </c>
      <c r="H61" s="6">
        <v>67</v>
      </c>
      <c r="I61" s="6">
        <v>61</v>
      </c>
      <c r="J61" s="6">
        <v>242</v>
      </c>
      <c r="K61" s="5">
        <f>=RANK(J61,J$2:J$72,0)</f>
        <v>3</v>
      </c>
      <c r="L61" s="5" t="s"/>
    </row>
    <row r="62" spans="1:12" ht="18.75">
      <c r="A62" s="4">
        <v>61</v>
      </c>
      <c r="B62" s="4" t="s">
        <v>979</v>
      </c>
      <c r="C62" s="4">
        <v>1431</v>
      </c>
      <c r="D62" s="4" t="str">
        <f>=VLOOKUP(B62,[1]在校生综合信息查询!$A$448:$C$518,2,0)</f>
        <v>25q710201225</v>
      </c>
      <c r="E62" s="6">
        <v>18</v>
      </c>
      <c r="F62" s="6">
        <v>20</v>
      </c>
      <c r="G62" s="6">
        <v>18</v>
      </c>
      <c r="H62" s="6">
        <v>20</v>
      </c>
      <c r="I62" s="6">
        <v>36</v>
      </c>
      <c r="J62" s="6">
        <v>112</v>
      </c>
      <c r="K62" s="5">
        <f>=RANK(J62,J$2:J$72,0)</f>
        <v>48</v>
      </c>
      <c r="L62" s="5" t="s"/>
    </row>
    <row r="63" spans="1:12" ht="18.75">
      <c r="A63" s="4">
        <v>62</v>
      </c>
      <c r="B63" s="4" t="s">
        <v>981</v>
      </c>
      <c r="C63" s="4">
        <v>1380</v>
      </c>
      <c r="D63" s="4" t="str">
        <f>=VLOOKUP(B63,[1]在校生综合信息查询!$A$448:$C$518,2,0)</f>
        <v>25q710201216</v>
      </c>
      <c r="E63" s="6">
        <v>39</v>
      </c>
      <c r="F63" s="6">
        <v>12</v>
      </c>
      <c r="G63" s="6">
        <v>29.5</v>
      </c>
      <c r="H63" s="6">
        <v>30</v>
      </c>
      <c r="I63" s="6">
        <v>36</v>
      </c>
      <c r="J63" s="6">
        <v>146.5</v>
      </c>
      <c r="K63" s="5">
        <f>=RANK(J63,J$2:J$72,0)</f>
        <v>29</v>
      </c>
      <c r="L63" s="5" t="s"/>
    </row>
    <row r="64" spans="1:12" ht="18.75">
      <c r="A64" s="4">
        <v>63</v>
      </c>
      <c r="B64" s="4" t="s">
        <v>983</v>
      </c>
      <c r="C64" s="4" t="s"/>
      <c r="D64" s="4" t="str">
        <f>=VLOOKUP(B64,[1]在校生综合信息查询!$A$448:$C$518,2,0)</f>
        <v>25q710201200</v>
      </c>
      <c r="E64" s="6">
        <v>0</v>
      </c>
      <c r="F64" s="6">
        <v>0</v>
      </c>
      <c r="G64" s="6">
        <v>0</v>
      </c>
      <c r="H64" s="5" t="s"/>
      <c r="I64" s="5" t="s"/>
      <c r="J64" s="6">
        <v>0</v>
      </c>
      <c r="K64" s="5">
        <f>=RANK(J64,J$2:J$72,0)</f>
        <v>63</v>
      </c>
      <c r="L64" s="5" t="s"/>
    </row>
    <row r="65" spans="1:12" ht="18.75">
      <c r="A65" s="4">
        <v>64</v>
      </c>
      <c r="B65" s="4" t="s">
        <v>985</v>
      </c>
      <c r="C65" s="4" t="s"/>
      <c r="D65" s="4" t="str">
        <f>=VLOOKUP(B65,[1]在校生综合信息查询!$A$448:$C$518,2,0)</f>
        <v>25q710201212</v>
      </c>
      <c r="E65" s="6">
        <v>65</v>
      </c>
      <c r="F65" s="6">
        <v>31</v>
      </c>
      <c r="G65" s="6">
        <v>14.5</v>
      </c>
      <c r="H65" s="6">
        <v>71</v>
      </c>
      <c r="I65" s="6">
        <v>33</v>
      </c>
      <c r="J65" s="6">
        <v>214.5</v>
      </c>
      <c r="K65" s="5">
        <f>=RANK(J65,J$2:J$72,0)</f>
        <v>5</v>
      </c>
      <c r="L65" s="5" t="s"/>
    </row>
    <row r="66" spans="1:12" ht="18.75">
      <c r="A66" s="4">
        <v>65</v>
      </c>
      <c r="B66" s="4" t="s">
        <v>987</v>
      </c>
      <c r="C66" s="4" t="s"/>
      <c r="D66" s="4" t="str">
        <f>=VLOOKUP(B66,[1]在校生综合信息查询!$A$448:$C$518,2,0)</f>
        <v>25q710201202</v>
      </c>
      <c r="E66" s="6">
        <v>36</v>
      </c>
      <c r="F66" s="6">
        <v>8</v>
      </c>
      <c r="G66" s="6">
        <v>37.5</v>
      </c>
      <c r="H66" s="6">
        <v>54</v>
      </c>
      <c r="I66" s="6">
        <v>48</v>
      </c>
      <c r="J66" s="6">
        <v>188.5</v>
      </c>
      <c r="K66" s="5">
        <f>=RANK(J66,J$2:J$72,0)</f>
        <v>14</v>
      </c>
      <c r="L66" s="5" t="s"/>
    </row>
    <row r="67" spans="1:12" ht="18.75">
      <c r="A67" s="4">
        <v>66</v>
      </c>
      <c r="B67" s="4" t="s">
        <v>989</v>
      </c>
      <c r="C67" s="4" t="s"/>
      <c r="D67" s="4" t="str">
        <f>=VLOOKUP(B67,[1]在校生综合信息查询!$A$448:$C$518,2,0)</f>
        <v>25q770303041</v>
      </c>
      <c r="E67" s="6">
        <v>9</v>
      </c>
      <c r="F67" s="6">
        <v>24</v>
      </c>
      <c r="G67" s="6">
        <v>19.5</v>
      </c>
      <c r="H67" s="6">
        <v>9</v>
      </c>
      <c r="I67" s="6">
        <v>24</v>
      </c>
      <c r="J67" s="6">
        <v>85.5</v>
      </c>
      <c r="K67" s="5">
        <f>=RANK(J67,J$2:J$72,0)</f>
        <v>56</v>
      </c>
      <c r="L67" s="5" t="s"/>
    </row>
    <row r="68" spans="1:12" ht="18.75">
      <c r="A68" s="4">
        <v>67</v>
      </c>
      <c r="B68" s="4" t="s">
        <v>991</v>
      </c>
      <c r="C68" s="4" t="s"/>
      <c r="D68" s="4" t="str">
        <f>=VLOOKUP(B68,[1]在校生综合信息查询!$A$448:$C$518,2,0)</f>
        <v>25q710201188</v>
      </c>
      <c r="E68" s="6">
        <v>29</v>
      </c>
      <c r="F68" s="6">
        <v>4</v>
      </c>
      <c r="G68" s="6">
        <v>25</v>
      </c>
      <c r="H68" s="6">
        <v>49</v>
      </c>
      <c r="I68" s="6">
        <v>42</v>
      </c>
      <c r="J68" s="6">
        <v>149</v>
      </c>
      <c r="K68" s="5">
        <f>=RANK(J68,J$2:J$72,0)</f>
        <v>28</v>
      </c>
      <c r="L68" s="5" t="s"/>
    </row>
    <row r="69" spans="1:12" ht="18.75">
      <c r="A69" s="4">
        <v>68</v>
      </c>
      <c r="B69" s="4" t="s">
        <v>993</v>
      </c>
      <c r="C69" s="4" t="s"/>
      <c r="D69" s="4" t="str">
        <f>=VLOOKUP(B69,[1]在校生综合信息查询!$A$448:$C$518,2,0)</f>
        <v>25q710201214</v>
      </c>
      <c r="E69" s="6">
        <v>44</v>
      </c>
      <c r="F69" s="6">
        <v>24</v>
      </c>
      <c r="G69" s="6">
        <v>17.5</v>
      </c>
      <c r="H69" s="6">
        <v>23</v>
      </c>
      <c r="I69" s="6">
        <v>42</v>
      </c>
      <c r="J69" s="6">
        <v>150.5</v>
      </c>
      <c r="K69" s="5">
        <f>=RANK(J69,J$2:J$72,0)</f>
        <v>26</v>
      </c>
      <c r="L69" s="5" t="s"/>
    </row>
    <row r="70" spans="1:12" ht="18.75">
      <c r="A70" s="4">
        <v>69</v>
      </c>
      <c r="B70" s="4" t="s">
        <v>995</v>
      </c>
      <c r="C70" s="4" t="s"/>
      <c r="D70" s="4" t="str">
        <f>=VLOOKUP(B70,[1]在校生综合信息查询!$A$448:$C$518,2,0)</f>
        <v>25q710201238</v>
      </c>
      <c r="E70" s="6">
        <v>6</v>
      </c>
      <c r="F70" s="6">
        <v>16</v>
      </c>
      <c r="G70" s="6">
        <v>15</v>
      </c>
      <c r="H70" s="6">
        <v>21</v>
      </c>
      <c r="I70" s="6">
        <v>28</v>
      </c>
      <c r="J70" s="6">
        <v>86</v>
      </c>
      <c r="K70" s="5">
        <f>=RANK(J70,J$2:J$72,0)</f>
        <v>55</v>
      </c>
      <c r="L70" s="5" t="s"/>
    </row>
    <row r="71" spans="1:12" ht="18.75">
      <c r="A71" s="4">
        <v>70</v>
      </c>
      <c r="B71" s="4" t="s">
        <v>997</v>
      </c>
      <c r="C71" s="4" t="s"/>
      <c r="D71" s="4" t="str">
        <f>=VLOOKUP(B71,[1]在校生综合信息查询!$A$448:$C$518,2,0)</f>
        <v>25q710201239</v>
      </c>
      <c r="E71" s="6">
        <v>15</v>
      </c>
      <c r="F71" s="6">
        <v>16</v>
      </c>
      <c r="G71" s="6">
        <v>20.5</v>
      </c>
      <c r="H71" s="6">
        <v>23</v>
      </c>
      <c r="I71" s="6">
        <v>38</v>
      </c>
      <c r="J71" s="6">
        <v>112.5</v>
      </c>
      <c r="K71" s="5">
        <f>=RANK(J71,J$2:J$72,0)</f>
        <v>46</v>
      </c>
      <c r="L71" s="5" t="s"/>
    </row>
    <row r="72" spans="1:12" ht="18.75">
      <c r="A72" s="4">
        <v>71</v>
      </c>
      <c r="B72" s="4" t="s">
        <v>999</v>
      </c>
      <c r="C72" s="4" t="s"/>
      <c r="D72" s="4" t="str">
        <f>=VLOOKUP(B72,[1]在校生综合信息查询!$A$448:$C$518,2,0)</f>
        <v>25q710201180</v>
      </c>
      <c r="E72" s="6">
        <v>52</v>
      </c>
      <c r="F72" s="6">
        <v>16</v>
      </c>
      <c r="G72" s="6">
        <v>37.5</v>
      </c>
      <c r="H72" s="6">
        <v>35</v>
      </c>
      <c r="I72" s="6">
        <v>37</v>
      </c>
      <c r="J72" s="6">
        <v>177.5</v>
      </c>
      <c r="K72" s="5">
        <f>=RANK(J72,J$2:J$72,0)</f>
        <v>17</v>
      </c>
      <c r="L72" s="5" t="s"/>
    </row>
    <row r="73" spans="10:11">
      <c r="J73" s="28" t="s">
        <v>1001</v>
      </c>
      <c r="K73" s="25" t="s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/>
  <dimension ref="L68"/>
  <sheetViews>
    <sheetView showGridLines="1" workbookViewId="0">
      <pane ySplit="1" topLeftCell="A2" state="frozen"/>
    </sheetView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8" max="8" width="15.375" customWidth="1"/>
    <col min="9" max="9" width="22.1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857</v>
      </c>
      <c r="I1" s="5" t="s">
        <v>858</v>
      </c>
      <c r="J1" s="5" t="s">
        <v>11</v>
      </c>
      <c r="K1" s="5" t="s">
        <v>12</v>
      </c>
      <c r="L1" s="5" t="s"/>
    </row>
    <row r="2" spans="1:12" ht="18.75">
      <c r="A2" s="4">
        <v>1</v>
      </c>
      <c r="B2" s="4" t="s">
        <v>1002</v>
      </c>
      <c r="C2" s="4">
        <v>1244</v>
      </c>
      <c r="D2" s="4" t="str">
        <f>=VLOOKUP(B2,[1]在校生综合信息查询!$A$519:$C$591,2,0)</f>
        <v>25q710103287</v>
      </c>
      <c r="E2" s="6">
        <v>14</v>
      </c>
      <c r="F2" s="6">
        <v>20</v>
      </c>
      <c r="G2" s="6">
        <v>24</v>
      </c>
      <c r="H2" s="6">
        <v>25</v>
      </c>
      <c r="I2" s="6">
        <v>32</v>
      </c>
      <c r="J2" s="5" t="s"/>
      <c r="K2" s="5" t="s"/>
      <c r="L2" s="5" t="s"/>
    </row>
    <row r="3" spans="1:12" ht="18.75">
      <c r="A3" s="4">
        <v>2</v>
      </c>
      <c r="B3" s="4" t="s">
        <v>1004</v>
      </c>
      <c r="C3" s="4">
        <v>1200</v>
      </c>
      <c r="D3" s="4" t="str">
        <f>=VLOOKUP(B3,[1]在校生综合信息查询!$A$519:$C$591,2,0)</f>
        <v>25q710201126</v>
      </c>
      <c r="E3" s="6">
        <v>40</v>
      </c>
      <c r="F3" s="6">
        <v>48</v>
      </c>
      <c r="G3" s="6">
        <v>8.5</v>
      </c>
      <c r="H3" s="6">
        <v>60</v>
      </c>
      <c r="I3" s="6">
        <v>54</v>
      </c>
      <c r="J3" s="5" t="s"/>
      <c r="K3" s="5" t="s"/>
      <c r="L3" s="5" t="s"/>
    </row>
    <row r="4" spans="1:12" ht="18.75">
      <c r="A4" s="4">
        <v>3</v>
      </c>
      <c r="B4" s="4" t="s">
        <v>1006</v>
      </c>
      <c r="C4" s="4">
        <v>1252</v>
      </c>
      <c r="D4" s="4" t="str">
        <f>=VLOOKUP(B4,[1]在校生综合信息查询!$A$519:$C$591,2,0)</f>
        <v>25q710201055</v>
      </c>
      <c r="E4" s="6">
        <v>54</v>
      </c>
      <c r="F4" s="6">
        <v>20</v>
      </c>
      <c r="G4" s="6">
        <v>24</v>
      </c>
      <c r="H4" s="6">
        <v>51</v>
      </c>
      <c r="I4" s="6">
        <v>63</v>
      </c>
      <c r="J4" s="5" t="s"/>
      <c r="K4" s="5" t="s"/>
      <c r="L4" s="5" t="s"/>
    </row>
    <row r="5" spans="1:12" ht="18.75">
      <c r="A5" s="4">
        <v>4</v>
      </c>
      <c r="B5" s="4" t="s">
        <v>1008</v>
      </c>
      <c r="C5" s="4">
        <v>1234</v>
      </c>
      <c r="D5" s="4" t="str">
        <f>=VLOOKUP(B5,[1]在校生综合信息查询!$A$519:$C$591,2,0)</f>
        <v>25q710201167</v>
      </c>
      <c r="E5" s="6">
        <v>16</v>
      </c>
      <c r="F5" s="6">
        <v>12</v>
      </c>
      <c r="G5" s="6">
        <v>24.5</v>
      </c>
      <c r="H5" s="6">
        <v>23</v>
      </c>
      <c r="I5" s="6">
        <v>31</v>
      </c>
      <c r="J5" s="5" t="s"/>
      <c r="K5" s="5" t="s"/>
      <c r="L5" s="5" t="s"/>
    </row>
    <row r="6" spans="1:12" ht="18.75">
      <c r="A6" s="4">
        <v>5</v>
      </c>
      <c r="B6" s="4" t="s">
        <v>1010</v>
      </c>
      <c r="C6" s="4">
        <v>1214</v>
      </c>
      <c r="D6" s="4" t="str">
        <f>=VLOOKUP(B6,[1]在校生综合信息查询!$A$519:$C$591,2,0)</f>
        <v>25q710201142</v>
      </c>
      <c r="E6" s="6">
        <v>5</v>
      </c>
      <c r="F6" s="6">
        <v>16</v>
      </c>
      <c r="G6" s="6">
        <v>27.5</v>
      </c>
      <c r="H6" s="6">
        <v>19</v>
      </c>
      <c r="I6" s="6">
        <v>32</v>
      </c>
      <c r="J6" s="5" t="s"/>
      <c r="K6" s="5" t="s"/>
      <c r="L6" s="5" t="s"/>
    </row>
    <row r="7" spans="1:12" ht="18.75">
      <c r="A7" s="4">
        <v>6</v>
      </c>
      <c r="B7" s="4" t="s">
        <v>1012</v>
      </c>
      <c r="C7" s="4">
        <v>1253</v>
      </c>
      <c r="D7" s="4" t="str">
        <f>=VLOOKUP(B7,[1]在校生综合信息查询!$A$519:$C$591,2,0)</f>
        <v>25q770303025</v>
      </c>
      <c r="E7" s="6">
        <v>9</v>
      </c>
      <c r="F7" s="6">
        <v>12</v>
      </c>
      <c r="G7" s="6">
        <v>18</v>
      </c>
      <c r="H7" s="6">
        <v>22</v>
      </c>
      <c r="I7" s="6">
        <v>16</v>
      </c>
      <c r="J7" s="5" t="s"/>
      <c r="K7" s="5" t="s"/>
      <c r="L7" s="5" t="s"/>
    </row>
    <row r="8" spans="1:12" ht="18.75">
      <c r="A8" s="4">
        <v>7</v>
      </c>
      <c r="B8" s="4" t="s">
        <v>1014</v>
      </c>
      <c r="C8" s="4">
        <v>1209</v>
      </c>
      <c r="D8" s="4" t="str">
        <f>=VLOOKUP(B8,[1]在校生综合信息查询!$A$519:$C$591,2,0)</f>
        <v>25q710201136</v>
      </c>
      <c r="E8" s="6">
        <v>58</v>
      </c>
      <c r="F8" s="6">
        <v>47</v>
      </c>
      <c r="G8" s="6">
        <v>51.5</v>
      </c>
      <c r="H8" s="6">
        <v>66</v>
      </c>
      <c r="I8" s="6">
        <v>61</v>
      </c>
      <c r="J8" s="5" t="s"/>
      <c r="K8" s="5" t="s"/>
      <c r="L8" s="5" t="s"/>
    </row>
    <row r="9" spans="1:12" ht="18.75">
      <c r="A9" s="4">
        <v>8</v>
      </c>
      <c r="B9" s="4" t="s">
        <v>1016</v>
      </c>
      <c r="C9" s="4">
        <v>1207</v>
      </c>
      <c r="D9" s="4" t="str">
        <f>=VLOOKUP(B9,[1]在校生综合信息查询!$A$519:$C$591,2,0)</f>
        <v>25q710201133</v>
      </c>
      <c r="E9" s="6">
        <v>37</v>
      </c>
      <c r="F9" s="6">
        <v>16</v>
      </c>
      <c r="G9" s="6">
        <v>22</v>
      </c>
      <c r="H9" s="6">
        <v>19</v>
      </c>
      <c r="I9" s="6">
        <v>38</v>
      </c>
      <c r="J9" s="5" t="s"/>
      <c r="K9" s="5" t="s"/>
      <c r="L9" s="5" t="s"/>
    </row>
    <row r="10" spans="1:12" ht="18.75">
      <c r="A10" s="4">
        <v>9</v>
      </c>
      <c r="B10" s="4" t="s">
        <v>1018</v>
      </c>
      <c r="C10" s="4">
        <v>1239</v>
      </c>
      <c r="D10" s="4" t="str">
        <f>=VLOOKUP(B10,[1]在校生综合信息查询!$A$519:$C$591,2,0)</f>
        <v>25q710201174</v>
      </c>
      <c r="E10" s="6">
        <v>35</v>
      </c>
      <c r="F10" s="6">
        <v>24</v>
      </c>
      <c r="G10" s="6">
        <v>14.5</v>
      </c>
      <c r="H10" s="6">
        <v>41</v>
      </c>
      <c r="I10" s="6">
        <v>48</v>
      </c>
      <c r="J10" s="5" t="s"/>
      <c r="K10" s="5" t="s"/>
      <c r="L10" s="5" t="s"/>
    </row>
    <row r="11" spans="1:12" ht="18.75">
      <c r="A11" s="4">
        <v>10</v>
      </c>
      <c r="B11" s="4" t="s">
        <v>1020</v>
      </c>
      <c r="C11" s="4">
        <v>1235</v>
      </c>
      <c r="D11" s="4" t="str">
        <f>=VLOOKUP(B11,[1]在校生综合信息查询!$A$519:$C$591,2,0)</f>
        <v>25q710201170</v>
      </c>
      <c r="E11" s="6">
        <v>15</v>
      </c>
      <c r="F11" s="6">
        <v>24</v>
      </c>
      <c r="G11" s="6">
        <v>23</v>
      </c>
      <c r="H11" s="6">
        <v>26</v>
      </c>
      <c r="I11" s="6">
        <v>23</v>
      </c>
      <c r="J11" s="5" t="s"/>
      <c r="K11" s="5" t="s"/>
      <c r="L11" s="5" t="s"/>
    </row>
    <row r="12" spans="1:12" ht="18.75">
      <c r="A12" s="4">
        <v>11</v>
      </c>
      <c r="B12" s="4" t="s">
        <v>1022</v>
      </c>
      <c r="C12" s="4">
        <v>1237</v>
      </c>
      <c r="D12" s="4" t="str">
        <f>=VLOOKUP(B12,[1]在校生综合信息查询!$A$519:$C$591,2,0)</f>
        <v>25q710201172</v>
      </c>
      <c r="E12" s="6">
        <v>3</v>
      </c>
      <c r="F12" s="6">
        <v>24</v>
      </c>
      <c r="G12" s="6">
        <v>10</v>
      </c>
      <c r="H12" s="6">
        <v>17</v>
      </c>
      <c r="I12" s="6">
        <v>36</v>
      </c>
      <c r="J12" s="5" t="s"/>
      <c r="K12" s="5" t="s"/>
      <c r="L12" s="5" t="s"/>
    </row>
    <row r="13" spans="1:12" ht="18.75">
      <c r="A13" s="4">
        <v>12</v>
      </c>
      <c r="B13" s="4" t="s">
        <v>1024</v>
      </c>
      <c r="C13" s="4">
        <v>1211</v>
      </c>
      <c r="D13" s="4" t="str">
        <f>=VLOOKUP(B13,[1]在校生综合信息查询!$A$519:$C$591,2,0)</f>
        <v>25q710201138</v>
      </c>
      <c r="E13" s="6">
        <v>0</v>
      </c>
      <c r="F13" s="6">
        <v>0</v>
      </c>
      <c r="G13" s="6">
        <v>0</v>
      </c>
      <c r="H13" s="5" t="s"/>
      <c r="I13" s="5" t="s"/>
      <c r="J13" s="5" t="s"/>
      <c r="K13" s="5" t="s"/>
      <c r="L13" s="5" t="s"/>
    </row>
    <row r="14" spans="1:12" ht="18.75">
      <c r="A14" s="4">
        <v>13</v>
      </c>
      <c r="B14" s="4" t="s">
        <v>1026</v>
      </c>
      <c r="C14" s="4">
        <v>1193</v>
      </c>
      <c r="D14" s="4" t="str">
        <f>=VLOOKUP(B14,[1]在校生综合信息查询!$A$519:$C$591,2,0)</f>
        <v>25q710201119</v>
      </c>
      <c r="E14" s="6">
        <v>44</v>
      </c>
      <c r="F14" s="6">
        <v>28</v>
      </c>
      <c r="G14" s="6">
        <v>18</v>
      </c>
      <c r="H14" s="6">
        <v>31</v>
      </c>
      <c r="I14" s="6">
        <v>33</v>
      </c>
      <c r="J14" s="5" t="s"/>
      <c r="K14" s="5" t="s"/>
      <c r="L14" s="5" t="s"/>
    </row>
    <row r="15" spans="1:12" ht="18.75">
      <c r="A15" s="4">
        <v>14</v>
      </c>
      <c r="B15" s="4" t="s">
        <v>1028</v>
      </c>
      <c r="C15" s="4">
        <v>1247</v>
      </c>
      <c r="D15" s="4" t="str">
        <f>=VLOOKUP(B15,[1]在校生综合信息查询!$A$519:$C$591,2,0)</f>
        <v>25q710103267</v>
      </c>
      <c r="E15" s="6">
        <v>9</v>
      </c>
      <c r="F15" s="6">
        <v>12</v>
      </c>
      <c r="G15" s="6">
        <v>13.5</v>
      </c>
      <c r="H15" s="6">
        <v>33</v>
      </c>
      <c r="I15" s="6">
        <v>36</v>
      </c>
      <c r="J15" s="5" t="s"/>
      <c r="K15" s="5" t="s"/>
      <c r="L15" s="5" t="s"/>
    </row>
    <row r="16" spans="1:12" ht="18.75">
      <c r="A16" s="4">
        <v>15</v>
      </c>
      <c r="B16" s="4" t="s">
        <v>1030</v>
      </c>
      <c r="C16" s="4">
        <v>1228</v>
      </c>
      <c r="D16" s="4" t="str">
        <f>=VLOOKUP(B16,[1]在校生综合信息查询!$A$519:$C$591,2,0)</f>
        <v>25q710201158</v>
      </c>
      <c r="E16" s="6">
        <v>25</v>
      </c>
      <c r="F16" s="6">
        <v>12</v>
      </c>
      <c r="G16" s="6">
        <v>15.5</v>
      </c>
      <c r="H16" s="6">
        <v>27</v>
      </c>
      <c r="I16" s="6">
        <v>25</v>
      </c>
      <c r="J16" s="5" t="s"/>
      <c r="K16" s="5" t="s"/>
      <c r="L16" s="5" t="s"/>
    </row>
    <row r="17" spans="1:12" ht="18.75">
      <c r="A17" s="4">
        <v>16</v>
      </c>
      <c r="B17" s="4" t="s">
        <v>1032</v>
      </c>
      <c r="C17" s="4">
        <v>1232</v>
      </c>
      <c r="D17" s="4" t="str">
        <f>=VLOOKUP(B17,[1]在校生综合信息查询!$A$519:$C$591,2,0)</f>
        <v>25q710201164</v>
      </c>
      <c r="E17" s="6">
        <v>36</v>
      </c>
      <c r="F17" s="6">
        <v>28</v>
      </c>
      <c r="G17" s="6">
        <v>31</v>
      </c>
      <c r="H17" s="6">
        <v>34</v>
      </c>
      <c r="I17" s="6">
        <v>46</v>
      </c>
      <c r="J17" s="5" t="s"/>
      <c r="K17" s="5" t="s"/>
      <c r="L17" s="5" t="s"/>
    </row>
    <row r="18" spans="1:12" ht="18.75">
      <c r="A18" s="4">
        <v>17</v>
      </c>
      <c r="B18" s="4" t="s">
        <v>1034</v>
      </c>
      <c r="C18" s="4">
        <v>1242</v>
      </c>
      <c r="D18" s="4" t="str">
        <f>=VLOOKUP(B18,[1]在校生综合信息查询!$A$519:$C$591,2,0)</f>
        <v>25q710201178</v>
      </c>
      <c r="E18" s="6">
        <v>21</v>
      </c>
      <c r="F18" s="6">
        <v>20</v>
      </c>
      <c r="G18" s="6">
        <v>25</v>
      </c>
      <c r="H18" s="6">
        <v>10</v>
      </c>
      <c r="I18" s="6">
        <v>30</v>
      </c>
      <c r="J18" s="5" t="s"/>
      <c r="K18" s="5" t="s"/>
      <c r="L18" s="5" t="s"/>
    </row>
    <row r="19" spans="1:12" ht="18.75">
      <c r="A19" s="4">
        <v>18</v>
      </c>
      <c r="B19" s="4" t="s">
        <v>1036</v>
      </c>
      <c r="C19" s="4">
        <v>1258</v>
      </c>
      <c r="D19" s="4" t="e">
        <f>=VLOOKUP(B19,[1]在校生综合信息查询!$A$519:$C$591,2,0)</f>
        <v>#N/A</v>
      </c>
      <c r="E19" s="6">
        <v>12</v>
      </c>
      <c r="F19" s="6">
        <v>16</v>
      </c>
      <c r="G19" s="6">
        <v>18.5</v>
      </c>
      <c r="H19" s="6">
        <v>18</v>
      </c>
      <c r="I19" s="6">
        <v>28</v>
      </c>
      <c r="J19" s="5" t="s"/>
      <c r="K19" s="5" t="s"/>
      <c r="L19" s="5" t="s"/>
    </row>
    <row r="20" spans="1:12" ht="18.75">
      <c r="A20" s="4">
        <v>19</v>
      </c>
      <c r="B20" s="4" t="s">
        <v>1037</v>
      </c>
      <c r="C20" s="4">
        <v>1205</v>
      </c>
      <c r="D20" s="4" t="str">
        <f>=VLOOKUP(B20,[1]在校生综合信息查询!$A$519:$C$591,2,0)</f>
        <v>25q710201131</v>
      </c>
      <c r="E20" s="6">
        <v>36</v>
      </c>
      <c r="F20" s="6">
        <v>36</v>
      </c>
      <c r="G20" s="6">
        <v>23</v>
      </c>
      <c r="H20" s="6">
        <v>30</v>
      </c>
      <c r="I20" s="6">
        <v>45</v>
      </c>
      <c r="J20" s="5" t="s"/>
      <c r="K20" s="5" t="s"/>
      <c r="L20" s="5" t="s"/>
    </row>
    <row r="21" spans="1:12" ht="18.75">
      <c r="A21" s="4">
        <v>20</v>
      </c>
      <c r="B21" s="4" t="s">
        <v>1039</v>
      </c>
      <c r="C21" s="4">
        <v>1238</v>
      </c>
      <c r="D21" s="4" t="str">
        <f>=VLOOKUP(B21,[1]在校生综合信息查询!$A$519:$C$591,2,0)</f>
        <v>25q710201173</v>
      </c>
      <c r="E21" s="6">
        <v>44</v>
      </c>
      <c r="F21" s="6">
        <v>28</v>
      </c>
      <c r="G21" s="6">
        <v>24.5</v>
      </c>
      <c r="H21" s="6">
        <v>63</v>
      </c>
      <c r="I21" s="6">
        <v>80</v>
      </c>
      <c r="J21" s="5" t="s"/>
      <c r="K21" s="5" t="s"/>
      <c r="L21" s="5" t="s"/>
    </row>
    <row r="22" spans="1:12" ht="18.75">
      <c r="A22" s="4">
        <v>21</v>
      </c>
      <c r="B22" s="4" t="s">
        <v>1041</v>
      </c>
      <c r="C22" s="4">
        <v>1245</v>
      </c>
      <c r="D22" s="4" t="str">
        <f>=VLOOKUP(B22,[1]在校生综合信息查询!$A$519:$C$591,2,0)</f>
        <v>25q710103288</v>
      </c>
      <c r="E22" s="6">
        <v>21</v>
      </c>
      <c r="F22" s="6">
        <v>20</v>
      </c>
      <c r="G22" s="6">
        <v>12.5</v>
      </c>
      <c r="H22" s="6">
        <v>26</v>
      </c>
      <c r="I22" s="6">
        <v>32</v>
      </c>
      <c r="J22" s="5" t="s"/>
      <c r="K22" s="5" t="s"/>
      <c r="L22" s="5" t="s"/>
    </row>
    <row r="23" spans="1:12" ht="18.75">
      <c r="A23" s="4">
        <v>22</v>
      </c>
      <c r="B23" s="4" t="s">
        <v>1043</v>
      </c>
      <c r="C23" s="4">
        <v>1236</v>
      </c>
      <c r="D23" s="4" t="str">
        <f>=VLOOKUP(B23,[1]在校生综合信息查询!$A$519:$C$591,2,0)</f>
        <v>25q710201171</v>
      </c>
      <c r="E23" s="6">
        <v>6</v>
      </c>
      <c r="F23" s="6">
        <v>16</v>
      </c>
      <c r="G23" s="6">
        <v>15</v>
      </c>
      <c r="H23" s="6">
        <v>15</v>
      </c>
      <c r="I23" s="6">
        <v>36</v>
      </c>
      <c r="J23" s="5" t="s"/>
      <c r="K23" s="5" t="s"/>
      <c r="L23" s="5" t="s"/>
    </row>
    <row r="24" spans="1:12" ht="18.75">
      <c r="A24" s="4">
        <v>23</v>
      </c>
      <c r="B24" s="4" t="s">
        <v>1045</v>
      </c>
      <c r="C24" s="4">
        <v>1210</v>
      </c>
      <c r="D24" s="4" t="str">
        <f>=VLOOKUP(B24,[1]在校生综合信息查询!$A$519:$C$591,2,0)</f>
        <v>25q710201137</v>
      </c>
      <c r="E24" s="6">
        <v>64</v>
      </c>
      <c r="F24" s="6">
        <v>36</v>
      </c>
      <c r="G24" s="6">
        <v>22</v>
      </c>
      <c r="H24" s="6">
        <v>43</v>
      </c>
      <c r="I24" s="6">
        <v>56</v>
      </c>
      <c r="J24" s="5" t="s"/>
      <c r="K24" s="5" t="s"/>
      <c r="L24" s="5" t="s"/>
    </row>
    <row r="25" spans="1:12" ht="18.75">
      <c r="A25" s="4">
        <v>24</v>
      </c>
      <c r="B25" s="4" t="s">
        <v>1047</v>
      </c>
      <c r="C25" s="4">
        <v>1204</v>
      </c>
      <c r="D25" s="4" t="str">
        <f>=VLOOKUP(B25,[1]在校生综合信息查询!$A$519:$C$591,2,0)</f>
        <v>25q710201130</v>
      </c>
      <c r="E25" s="6">
        <v>39</v>
      </c>
      <c r="F25" s="6">
        <v>24</v>
      </c>
      <c r="G25" s="6">
        <v>23.5</v>
      </c>
      <c r="H25" s="6">
        <v>46</v>
      </c>
      <c r="I25" s="6">
        <v>48</v>
      </c>
      <c r="J25" s="5" t="s"/>
      <c r="K25" s="5" t="s"/>
      <c r="L25" s="5" t="s"/>
    </row>
    <row r="26" spans="1:12" ht="18.75">
      <c r="A26" s="4">
        <v>25</v>
      </c>
      <c r="B26" s="4" t="s">
        <v>1049</v>
      </c>
      <c r="C26" s="4">
        <v>1241</v>
      </c>
      <c r="D26" s="4" t="str">
        <f>=VLOOKUP(B26,[1]在校生综合信息查询!$A$519:$C$591,2,0)</f>
        <v>25q710201176</v>
      </c>
      <c r="E26" s="6">
        <v>76</v>
      </c>
      <c r="F26" s="6">
        <v>38</v>
      </c>
      <c r="G26" s="6">
        <v>21.5</v>
      </c>
      <c r="H26" s="6">
        <v>62</v>
      </c>
      <c r="I26" s="6">
        <v>74</v>
      </c>
      <c r="J26" s="5" t="s"/>
      <c r="K26" s="5" t="s"/>
      <c r="L26" s="5" t="s"/>
    </row>
    <row r="27" spans="1:12" ht="18.75">
      <c r="A27" s="4">
        <v>26</v>
      </c>
      <c r="B27" s="4" t="s">
        <v>1051</v>
      </c>
      <c r="C27" s="4">
        <v>1194</v>
      </c>
      <c r="D27" s="4" t="str">
        <f>=VLOOKUP(B27,[1]在校生综合信息查询!$A$519:$C$591,2,0)</f>
        <v>25q710201120</v>
      </c>
      <c r="E27" s="6">
        <v>18</v>
      </c>
      <c r="F27" s="6">
        <v>20</v>
      </c>
      <c r="G27" s="6">
        <v>28.5</v>
      </c>
      <c r="H27" s="6">
        <v>49</v>
      </c>
      <c r="I27" s="6">
        <v>51</v>
      </c>
      <c r="J27" s="5" t="s"/>
      <c r="K27" s="5" t="s"/>
      <c r="L27" s="5" t="s"/>
    </row>
    <row r="28" spans="1:12" ht="18.75">
      <c r="A28" s="4">
        <v>27</v>
      </c>
      <c r="B28" s="4" t="s">
        <v>1053</v>
      </c>
      <c r="C28" s="4">
        <v>1208</v>
      </c>
      <c r="D28" s="4" t="str">
        <f>=VLOOKUP(B28,[1]在校生综合信息查询!$A$519:$C$591,2,0)</f>
        <v>25q710201134</v>
      </c>
      <c r="E28" s="6">
        <v>48</v>
      </c>
      <c r="F28" s="6">
        <v>16</v>
      </c>
      <c r="G28" s="6">
        <v>28</v>
      </c>
      <c r="H28" s="6">
        <v>46</v>
      </c>
      <c r="I28" s="6">
        <v>43</v>
      </c>
      <c r="J28" s="5" t="s"/>
      <c r="K28" s="5" t="s"/>
      <c r="L28" s="5" t="s"/>
    </row>
    <row r="29" spans="1:12" ht="18.75">
      <c r="A29" s="4">
        <v>28</v>
      </c>
      <c r="B29" s="4" t="s">
        <v>1055</v>
      </c>
      <c r="C29" s="4">
        <v>1225</v>
      </c>
      <c r="D29" s="4" t="str">
        <f>=VLOOKUP(B29,[1]在校生综合信息查询!$A$519:$C$591,2,0)</f>
        <v>25q710201153</v>
      </c>
      <c r="E29" s="6">
        <v>43</v>
      </c>
      <c r="F29" s="6">
        <v>20</v>
      </c>
      <c r="G29" s="6">
        <v>29</v>
      </c>
      <c r="H29" s="6">
        <v>28</v>
      </c>
      <c r="I29" s="6">
        <v>56</v>
      </c>
      <c r="J29" s="5" t="s"/>
      <c r="K29" s="5" t="s"/>
      <c r="L29" s="5" t="s"/>
    </row>
    <row r="30" spans="1:12" ht="18.75">
      <c r="A30" s="4">
        <v>29</v>
      </c>
      <c r="B30" s="4" t="s">
        <v>1057</v>
      </c>
      <c r="C30" s="4">
        <v>1227</v>
      </c>
      <c r="D30" s="4" t="str">
        <f>=VLOOKUP(B30,[1]在校生综合信息查询!$A$519:$C$591,2,0)</f>
        <v>25q710201156</v>
      </c>
      <c r="E30" s="6">
        <v>14</v>
      </c>
      <c r="F30" s="6">
        <v>28</v>
      </c>
      <c r="G30" s="6">
        <v>19</v>
      </c>
      <c r="H30" s="6">
        <v>21</v>
      </c>
      <c r="I30" s="6">
        <v>47</v>
      </c>
      <c r="J30" s="5" t="s"/>
      <c r="K30" s="5" t="s"/>
      <c r="L30" s="5" t="s"/>
    </row>
    <row r="31" spans="1:12" ht="18.75">
      <c r="A31" s="4">
        <v>30</v>
      </c>
      <c r="B31" s="4" t="s">
        <v>1059</v>
      </c>
      <c r="C31" s="4">
        <v>1203</v>
      </c>
      <c r="D31" s="4" t="str">
        <f>=VLOOKUP(B31,[1]在校生综合信息查询!$A$519:$C$591,2,0)</f>
        <v>25q710201129</v>
      </c>
      <c r="E31" s="6">
        <v>62</v>
      </c>
      <c r="F31" s="6">
        <v>20</v>
      </c>
      <c r="G31" s="6">
        <v>33</v>
      </c>
      <c r="H31" s="6">
        <v>35</v>
      </c>
      <c r="I31" s="6">
        <v>36</v>
      </c>
      <c r="J31" s="5" t="s"/>
      <c r="K31" s="5" t="s"/>
      <c r="L31" s="5" t="s"/>
    </row>
    <row r="32" spans="1:12" ht="18.75">
      <c r="A32" s="4">
        <v>31</v>
      </c>
      <c r="B32" s="4" t="s">
        <v>1061</v>
      </c>
      <c r="C32" s="4">
        <v>1216</v>
      </c>
      <c r="D32" s="4" t="str">
        <f>=VLOOKUP(B32,[1]在校生综合信息查询!$A$519:$C$591,2,0)</f>
        <v>25q710201144</v>
      </c>
      <c r="E32" s="6">
        <v>39</v>
      </c>
      <c r="F32" s="6">
        <v>52</v>
      </c>
      <c r="G32" s="6">
        <v>49</v>
      </c>
      <c r="H32" s="6">
        <v>44</v>
      </c>
      <c r="I32" s="6">
        <v>42</v>
      </c>
      <c r="J32" s="5" t="s"/>
      <c r="K32" s="5" t="s"/>
      <c r="L32" s="5" t="s"/>
    </row>
    <row r="33" spans="1:12" ht="18.75">
      <c r="A33" s="4">
        <v>32</v>
      </c>
      <c r="B33" s="4" t="s">
        <v>1063</v>
      </c>
      <c r="C33" s="4">
        <v>1224</v>
      </c>
      <c r="D33" s="4" t="str">
        <f>=VLOOKUP(B33,[1]在校生综合信息查询!$A$519:$C$591,2,0)</f>
        <v>25q710201152</v>
      </c>
      <c r="E33" s="6">
        <v>39</v>
      </c>
      <c r="F33" s="6">
        <v>36</v>
      </c>
      <c r="G33" s="6">
        <v>27.5</v>
      </c>
      <c r="H33" s="6">
        <v>40</v>
      </c>
      <c r="I33" s="6">
        <v>50</v>
      </c>
      <c r="J33" s="5" t="s"/>
      <c r="K33" s="5" t="s"/>
      <c r="L33" s="5" t="s"/>
    </row>
    <row r="34" spans="1:12" ht="18.75">
      <c r="A34" s="4">
        <v>33</v>
      </c>
      <c r="B34" s="4" t="s">
        <v>1065</v>
      </c>
      <c r="C34" s="4">
        <v>1240</v>
      </c>
      <c r="D34" s="4" t="str">
        <f>=VLOOKUP(B34,[1]在校生综合信息查询!$A$519:$C$591,2,0)</f>
        <v>25q710201175</v>
      </c>
      <c r="E34" s="6">
        <v>0</v>
      </c>
      <c r="F34" s="6">
        <v>12</v>
      </c>
      <c r="G34" s="6">
        <v>27</v>
      </c>
      <c r="H34" s="6">
        <v>19</v>
      </c>
      <c r="I34" s="6">
        <v>31</v>
      </c>
      <c r="J34" s="5" t="s"/>
      <c r="K34" s="5" t="s"/>
      <c r="L34" s="5" t="s"/>
    </row>
    <row r="35" spans="1:12" ht="18.75">
      <c r="A35" s="4">
        <v>34</v>
      </c>
      <c r="B35" s="4" t="s">
        <v>1067</v>
      </c>
      <c r="C35" s="4">
        <v>1233</v>
      </c>
      <c r="D35" s="4" t="str">
        <f>=VLOOKUP(B35,[1]在校生综合信息查询!$A$519:$C$591,2,0)</f>
        <v>25q710201166</v>
      </c>
      <c r="E35" s="6">
        <v>32</v>
      </c>
      <c r="F35" s="6">
        <v>24</v>
      </c>
      <c r="G35" s="6">
        <v>12.5</v>
      </c>
      <c r="H35" s="6">
        <v>21</v>
      </c>
      <c r="I35" s="6">
        <v>31</v>
      </c>
      <c r="J35" s="5" t="s"/>
      <c r="K35" s="5" t="s"/>
      <c r="L35" s="5" t="s"/>
    </row>
    <row r="36" spans="1:12" ht="18.75">
      <c r="A36" s="4">
        <v>35</v>
      </c>
      <c r="B36" s="15" t="s">
        <v>1069</v>
      </c>
      <c r="C36" s="4">
        <v>1222</v>
      </c>
      <c r="D36" s="4" t="str">
        <f>=VLOOKUP(B36,[1]在校生综合信息查询!$A$519:$C$591,2,0)</f>
        <v>25q710201561</v>
      </c>
      <c r="E36" s="6">
        <v>57</v>
      </c>
      <c r="F36" s="6">
        <v>24</v>
      </c>
      <c r="G36" s="6">
        <v>12.5</v>
      </c>
      <c r="H36" s="6">
        <v>22</v>
      </c>
      <c r="I36" s="6">
        <v>22</v>
      </c>
      <c r="J36" s="18" t="s"/>
      <c r="K36" s="18" t="s"/>
      <c r="L36" s="18" t="s"/>
    </row>
    <row r="37" spans="1:12" ht="18.75">
      <c r="A37" s="4">
        <v>36</v>
      </c>
      <c r="B37" s="15" t="s">
        <v>1071</v>
      </c>
      <c r="C37" s="4">
        <v>1231</v>
      </c>
      <c r="D37" s="4" t="str">
        <f>=VLOOKUP(B37,[1]在校生综合信息查询!$A$519:$C$591,2,0)</f>
        <v>25q710201162</v>
      </c>
      <c r="E37" s="6">
        <v>32</v>
      </c>
      <c r="F37" s="6">
        <v>28</v>
      </c>
      <c r="G37" s="6">
        <v>18</v>
      </c>
      <c r="H37" s="6">
        <v>21</v>
      </c>
      <c r="I37" s="6">
        <v>42</v>
      </c>
      <c r="J37" s="18" t="s"/>
      <c r="K37" s="18" t="s"/>
      <c r="L37" s="18" t="s"/>
    </row>
    <row r="38" spans="1:12" ht="18.75">
      <c r="A38" s="4">
        <v>37</v>
      </c>
      <c r="B38" s="15" t="s">
        <v>1073</v>
      </c>
      <c r="C38" s="4">
        <v>1219</v>
      </c>
      <c r="D38" s="4" t="str">
        <f>=VLOOKUP(B38,[1]在校生综合信息查询!$A$519:$C$591,2,0)</f>
        <v>25q710201125</v>
      </c>
      <c r="E38" s="6">
        <v>48</v>
      </c>
      <c r="F38" s="6">
        <v>71</v>
      </c>
      <c r="G38" s="6">
        <v>66</v>
      </c>
      <c r="H38" s="6">
        <v>69</v>
      </c>
      <c r="I38" s="6">
        <v>61</v>
      </c>
      <c r="J38" s="18" t="s"/>
      <c r="K38" s="18" t="s"/>
      <c r="L38" s="18" t="s"/>
    </row>
    <row r="39" spans="1:12" ht="18.75">
      <c r="A39" s="4">
        <v>38</v>
      </c>
      <c r="B39" s="15" t="s">
        <v>1075</v>
      </c>
      <c r="C39" s="4">
        <v>1246</v>
      </c>
      <c r="D39" s="4" t="str">
        <f>=VLOOKUP(B39,[1]在校生综合信息查询!$A$519:$C$591,2,0)</f>
        <v>25q710201092</v>
      </c>
      <c r="E39" s="6">
        <v>26</v>
      </c>
      <c r="F39" s="6">
        <v>12</v>
      </c>
      <c r="G39" s="6">
        <v>56</v>
      </c>
      <c r="H39" s="6">
        <v>31</v>
      </c>
      <c r="I39" s="6">
        <v>33</v>
      </c>
      <c r="J39" s="18" t="s"/>
      <c r="K39" s="18" t="s"/>
      <c r="L39" s="18" t="s"/>
    </row>
    <row r="40" spans="1:12" ht="18.75">
      <c r="A40" s="4">
        <v>39</v>
      </c>
      <c r="B40" s="15" t="s">
        <v>1077</v>
      </c>
      <c r="C40" s="4">
        <v>1256</v>
      </c>
      <c r="D40" s="4" t="str">
        <f>=VLOOKUP(B40,[1]在校生综合信息查询!$A$519:$C$591,2,0)</f>
        <v>25q710201124</v>
      </c>
      <c r="E40" s="6">
        <v>59</v>
      </c>
      <c r="F40" s="6">
        <v>24</v>
      </c>
      <c r="G40" s="6">
        <v>15</v>
      </c>
      <c r="H40" s="6">
        <v>64</v>
      </c>
      <c r="I40" s="6">
        <v>59</v>
      </c>
      <c r="J40" s="18" t="s"/>
      <c r="K40" s="18" t="s"/>
      <c r="L40" s="18" t="s"/>
    </row>
    <row r="41" spans="1:12" ht="18.75">
      <c r="A41" s="4">
        <v>40</v>
      </c>
      <c r="B41" s="15" t="s">
        <v>1079</v>
      </c>
      <c r="C41" s="4">
        <v>1217</v>
      </c>
      <c r="D41" s="4" t="str">
        <f>=VLOOKUP(B41,[1]在校生综合信息查询!$A$519:$C$591,2,0)</f>
        <v>25q710201139</v>
      </c>
      <c r="E41" s="6">
        <v>19</v>
      </c>
      <c r="F41" s="6">
        <v>45</v>
      </c>
      <c r="G41" s="6">
        <v>14</v>
      </c>
      <c r="H41" s="6">
        <v>50</v>
      </c>
      <c r="I41" s="6">
        <v>46</v>
      </c>
      <c r="J41" s="18" t="s"/>
      <c r="K41" s="18" t="s"/>
      <c r="L41" s="18" t="s"/>
    </row>
    <row r="42" spans="1:12" ht="18.75">
      <c r="A42" s="4">
        <v>41</v>
      </c>
      <c r="B42" s="15" t="s">
        <v>1081</v>
      </c>
      <c r="C42" s="4">
        <v>1226</v>
      </c>
      <c r="D42" s="4" t="str">
        <f>=VLOOKUP(B42,[1]在校生综合信息查询!$A$519:$C$591,2,0)</f>
        <v>25q710103291</v>
      </c>
      <c r="E42" s="6">
        <v>9</v>
      </c>
      <c r="F42" s="6">
        <v>20</v>
      </c>
      <c r="G42" s="6">
        <v>19</v>
      </c>
      <c r="H42" s="6">
        <v>19</v>
      </c>
      <c r="I42" s="6">
        <v>22</v>
      </c>
      <c r="J42" s="18" t="s"/>
      <c r="K42" s="18" t="s"/>
      <c r="L42" s="18" t="s"/>
    </row>
    <row r="43" spans="1:12" ht="18.75">
      <c r="A43" s="4">
        <v>42</v>
      </c>
      <c r="B43" s="15" t="s">
        <v>1083</v>
      </c>
      <c r="C43" s="4">
        <v>1197</v>
      </c>
      <c r="D43" s="4" t="str">
        <f>=VLOOKUP(B43,[1]在校生综合信息查询!$A$519:$C$591,2,0)</f>
        <v>25q710201151</v>
      </c>
      <c r="E43" s="6">
        <v>41</v>
      </c>
      <c r="F43" s="6">
        <v>12</v>
      </c>
      <c r="G43" s="6">
        <v>15</v>
      </c>
      <c r="H43" s="6">
        <v>22</v>
      </c>
      <c r="I43" s="6">
        <v>44</v>
      </c>
      <c r="J43" s="18" t="s"/>
      <c r="K43" s="18" t="s"/>
      <c r="L43" s="18" t="s"/>
    </row>
    <row r="44" spans="1:12" ht="18.75">
      <c r="A44" s="4">
        <v>43</v>
      </c>
      <c r="B44" s="15" t="s">
        <v>1085</v>
      </c>
      <c r="C44" s="4">
        <v>1213</v>
      </c>
      <c r="D44" s="4" t="str">
        <f>=VLOOKUP(B44,[1]在校生综合信息查询!$A$519:$C$591,2,0)</f>
        <v>25q710201094</v>
      </c>
      <c r="E44" s="6">
        <v>44</v>
      </c>
      <c r="F44" s="6">
        <v>20</v>
      </c>
      <c r="G44" s="6">
        <v>22.5</v>
      </c>
      <c r="H44" s="6">
        <v>21</v>
      </c>
      <c r="I44" s="6">
        <v>45</v>
      </c>
      <c r="J44" s="18" t="s"/>
      <c r="K44" s="18" t="s"/>
      <c r="L44" s="18" t="s"/>
    </row>
    <row r="45" spans="1:12" ht="18.75">
      <c r="A45" s="4">
        <v>44</v>
      </c>
      <c r="B45" s="15" t="s">
        <v>1087</v>
      </c>
      <c r="C45" s="4">
        <v>1195</v>
      </c>
      <c r="D45" s="4" t="str">
        <f>=VLOOKUP(B45,[1]在校生综合信息查询!$A$519:$C$591,2,0)</f>
        <v>25q710201150</v>
      </c>
      <c r="E45" s="6">
        <v>19</v>
      </c>
      <c r="F45" s="6">
        <v>12</v>
      </c>
      <c r="G45" s="6">
        <v>28.5</v>
      </c>
      <c r="H45" s="6">
        <v>36</v>
      </c>
      <c r="I45" s="6">
        <v>30</v>
      </c>
      <c r="J45" s="18" t="s"/>
      <c r="K45" s="18" t="s"/>
      <c r="L45" s="18" t="s"/>
    </row>
    <row r="46" spans="1:12" ht="18.75">
      <c r="A46" s="4">
        <v>45</v>
      </c>
      <c r="B46" s="15" t="s">
        <v>1089</v>
      </c>
      <c r="C46" s="4">
        <v>1220</v>
      </c>
      <c r="D46" s="4" t="str">
        <f>=VLOOKUP(B46,[1]在校生综合信息查询!$A$519:$C$591,2,0)</f>
        <v>25q710201163</v>
      </c>
      <c r="E46" s="6">
        <v>54</v>
      </c>
      <c r="F46" s="6">
        <v>24</v>
      </c>
      <c r="G46" s="6">
        <v>24</v>
      </c>
      <c r="H46" s="6">
        <v>31</v>
      </c>
      <c r="I46" s="6">
        <v>41</v>
      </c>
      <c r="J46" s="18" t="s"/>
      <c r="K46" s="18" t="s"/>
      <c r="L46" s="18" t="s"/>
    </row>
    <row r="47" spans="1:12" ht="18.75">
      <c r="A47" s="4">
        <v>46</v>
      </c>
      <c r="B47" s="15" t="s">
        <v>1091</v>
      </c>
      <c r="C47" s="4">
        <v>1192</v>
      </c>
      <c r="D47" s="4" t="str">
        <f>=VLOOKUP(B47,[1]在校生综合信息查询!$A$519:$C$591,2,0)</f>
        <v>25q710201147</v>
      </c>
      <c r="E47" s="6">
        <v>64</v>
      </c>
      <c r="F47" s="6">
        <v>12</v>
      </c>
      <c r="G47" s="6">
        <v>20.5</v>
      </c>
      <c r="H47" s="6">
        <v>50</v>
      </c>
      <c r="I47" s="6">
        <v>49</v>
      </c>
      <c r="J47" s="18" t="s"/>
      <c r="K47" s="18" t="s"/>
      <c r="L47" s="18" t="s"/>
    </row>
    <row r="48" spans="1:12" ht="18.75">
      <c r="A48" s="4">
        <v>47</v>
      </c>
      <c r="B48" s="15" t="s">
        <v>1093</v>
      </c>
      <c r="C48" s="4">
        <v>1218</v>
      </c>
      <c r="D48" s="4" t="str">
        <f>=VLOOKUP(B48,[1]在校生综合信息查询!$A$519:$C$591,2,0)</f>
        <v>25q710103275</v>
      </c>
      <c r="E48" s="6">
        <v>21</v>
      </c>
      <c r="F48" s="6">
        <v>12</v>
      </c>
      <c r="G48" s="6">
        <v>18.5</v>
      </c>
      <c r="H48" s="6">
        <v>20</v>
      </c>
      <c r="I48" s="6">
        <v>37</v>
      </c>
      <c r="J48" s="18" t="s"/>
      <c r="K48" s="18" t="s"/>
      <c r="L48" s="18" t="s"/>
    </row>
    <row r="49" spans="1:12" ht="18.75">
      <c r="A49" s="4">
        <v>48</v>
      </c>
      <c r="B49" s="15" t="s">
        <v>1095</v>
      </c>
      <c r="C49" s="4">
        <v>1196</v>
      </c>
      <c r="D49" s="4" t="str">
        <f>=VLOOKUP(B49,[1]在校生综合信息查询!$A$519:$C$591,2,0)</f>
        <v>25q710201099</v>
      </c>
      <c r="E49" s="6">
        <v>0</v>
      </c>
      <c r="F49" s="6">
        <v>0</v>
      </c>
      <c r="G49" s="6">
        <v>0</v>
      </c>
      <c r="H49" s="5" t="s"/>
      <c r="I49" s="6">
        <v>0</v>
      </c>
      <c r="J49" s="18" t="s"/>
      <c r="K49" s="18" t="s"/>
      <c r="L49" s="18" t="s"/>
    </row>
    <row r="50" spans="1:12" ht="18.75">
      <c r="A50" s="4">
        <v>49</v>
      </c>
      <c r="B50" s="15" t="s">
        <v>1097</v>
      </c>
      <c r="C50" s="4">
        <v>1249</v>
      </c>
      <c r="D50" s="4" t="str">
        <f>=VLOOKUP(B50,[1]在校生综合信息查询!$A$519:$C$591,2,0)</f>
        <v>25q710201145</v>
      </c>
      <c r="E50" s="6">
        <v>47</v>
      </c>
      <c r="F50" s="6">
        <v>20</v>
      </c>
      <c r="G50" s="6">
        <v>23</v>
      </c>
      <c r="H50" s="6">
        <v>41</v>
      </c>
      <c r="I50" s="6">
        <v>48</v>
      </c>
      <c r="J50" s="18" t="s"/>
      <c r="K50" s="18" t="s"/>
      <c r="L50" s="18" t="s"/>
    </row>
    <row r="51" spans="1:12" ht="18.75">
      <c r="A51" s="4">
        <v>50</v>
      </c>
      <c r="B51" s="15" t="s">
        <v>1099</v>
      </c>
      <c r="C51" s="4">
        <v>1201</v>
      </c>
      <c r="D51" s="4" t="str">
        <f>=VLOOKUP(B51,[1]在校生综合信息查询!$A$519:$C$591,2,0)</f>
        <v>25q710201154</v>
      </c>
      <c r="E51" s="6">
        <v>34</v>
      </c>
      <c r="F51" s="6">
        <v>12</v>
      </c>
      <c r="G51" s="6">
        <v>20.5</v>
      </c>
      <c r="H51" s="6">
        <v>35</v>
      </c>
      <c r="I51" s="6">
        <v>41</v>
      </c>
      <c r="J51" s="18" t="s"/>
      <c r="K51" s="18" t="s"/>
      <c r="L51" s="18" t="s"/>
    </row>
    <row r="52" spans="1:12" ht="18.75">
      <c r="A52" s="4">
        <v>51</v>
      </c>
      <c r="B52" s="15" t="s">
        <v>1101</v>
      </c>
      <c r="C52" s="4">
        <v>1248</v>
      </c>
      <c r="D52" s="4" t="str">
        <f>=VLOOKUP(B52,[1]在校生综合信息查询!$A$519:$C$591,2,0)</f>
        <v>25q710201123</v>
      </c>
      <c r="E52" s="6">
        <v>66</v>
      </c>
      <c r="F52" s="6">
        <v>48</v>
      </c>
      <c r="G52" s="6">
        <v>58</v>
      </c>
      <c r="H52" s="6">
        <v>50</v>
      </c>
      <c r="I52" s="6">
        <v>56</v>
      </c>
      <c r="J52" s="18" t="s"/>
      <c r="K52" s="18" t="s"/>
      <c r="L52" s="18" t="s"/>
    </row>
    <row r="53" spans="1:12" ht="18.75">
      <c r="A53" s="4">
        <v>52</v>
      </c>
      <c r="B53" s="15" t="s">
        <v>1103</v>
      </c>
      <c r="C53" s="4">
        <v>1221</v>
      </c>
      <c r="D53" s="4" t="str">
        <f>=VLOOKUP(B53,[1]在校生综合信息查询!$A$519:$C$591,2,0)</f>
        <v>25q710201140</v>
      </c>
      <c r="E53" s="6">
        <v>0</v>
      </c>
      <c r="F53" s="6">
        <v>20</v>
      </c>
      <c r="G53" s="6">
        <v>17.5</v>
      </c>
      <c r="H53" s="6">
        <v>16</v>
      </c>
      <c r="I53" s="6">
        <v>36</v>
      </c>
      <c r="J53" s="18" t="s"/>
      <c r="K53" s="18" t="s"/>
      <c r="L53" s="18" t="s"/>
    </row>
    <row r="54" spans="1:12" ht="18.75">
      <c r="A54" s="4">
        <v>53</v>
      </c>
      <c r="B54" s="15" t="s">
        <v>1105</v>
      </c>
      <c r="C54" s="4">
        <v>1215</v>
      </c>
      <c r="D54" s="4" t="str">
        <f>=VLOOKUP(B54,[1]在校生综合信息查询!$A$519:$C$591,2,0)</f>
        <v>25q710201121</v>
      </c>
      <c r="E54" s="6">
        <v>62</v>
      </c>
      <c r="F54" s="6">
        <v>48</v>
      </c>
      <c r="G54" s="6">
        <v>41.5</v>
      </c>
      <c r="H54" s="6">
        <v>49</v>
      </c>
      <c r="I54" s="6">
        <v>56</v>
      </c>
      <c r="J54" s="18" t="s"/>
      <c r="K54" s="18" t="s"/>
      <c r="L54" s="18" t="s"/>
    </row>
    <row r="55" spans="1:12" ht="18.75">
      <c r="A55" s="4">
        <v>54</v>
      </c>
      <c r="B55" s="15" t="s">
        <v>1107</v>
      </c>
      <c r="C55" s="4">
        <v>1250</v>
      </c>
      <c r="D55" s="4" t="str">
        <f>=VLOOKUP(B55,[1]在校生综合信息查询!$A$519:$C$591,2,0)</f>
        <v>25q710201148</v>
      </c>
      <c r="E55" s="6">
        <v>42</v>
      </c>
      <c r="F55" s="6">
        <v>20</v>
      </c>
      <c r="G55" s="6">
        <v>31.5</v>
      </c>
      <c r="H55" s="6">
        <v>22</v>
      </c>
      <c r="I55" s="6">
        <v>41</v>
      </c>
      <c r="J55" s="18" t="s"/>
      <c r="K55" s="18" t="s"/>
      <c r="L55" s="18" t="s"/>
    </row>
    <row r="56" spans="1:12" ht="18.75">
      <c r="A56" s="4">
        <v>55</v>
      </c>
      <c r="B56" s="15" t="s">
        <v>1109</v>
      </c>
      <c r="C56" s="4">
        <v>1206</v>
      </c>
      <c r="D56" s="4" t="str">
        <f>=VLOOKUP(B56,[1]在校生综合信息查询!$A$519:$C$591,2,0)</f>
        <v>25q710201161</v>
      </c>
      <c r="E56" s="6">
        <v>50</v>
      </c>
      <c r="F56" s="6">
        <v>20</v>
      </c>
      <c r="G56" s="6">
        <v>14.5</v>
      </c>
      <c r="H56" s="6">
        <v>50</v>
      </c>
      <c r="I56" s="6">
        <v>56</v>
      </c>
      <c r="J56" s="18" t="s"/>
      <c r="K56" s="18" t="s"/>
      <c r="L56" s="18" t="s"/>
    </row>
    <row r="57" spans="1:12" ht="18.75">
      <c r="A57" s="4">
        <v>56</v>
      </c>
      <c r="B57" s="15" t="s">
        <v>1111</v>
      </c>
      <c r="C57" s="4">
        <v>1229</v>
      </c>
      <c r="D57" s="4" t="str">
        <f>=VLOOKUP(B57,[1]在校生综合信息查询!$A$519:$C$591,2,0)</f>
        <v>25q710201146</v>
      </c>
      <c r="E57" s="6">
        <v>38</v>
      </c>
      <c r="F57" s="6">
        <v>12</v>
      </c>
      <c r="G57" s="6">
        <v>17.5</v>
      </c>
      <c r="H57" s="6">
        <v>58</v>
      </c>
      <c r="I57" s="6">
        <v>62</v>
      </c>
      <c r="J57" s="18" t="s"/>
      <c r="K57" s="18" t="s"/>
      <c r="L57" s="18" t="s"/>
    </row>
    <row r="58" spans="1:12" ht="18.75">
      <c r="A58" s="4">
        <v>57</v>
      </c>
      <c r="B58" s="15" t="s">
        <v>1113</v>
      </c>
      <c r="C58" s="4">
        <v>1251</v>
      </c>
      <c r="D58" s="4" t="str">
        <f>=VLOOKUP(B58,[1]在校生综合信息查询!$A$519:$C$591,2,0)</f>
        <v>25q710201122</v>
      </c>
      <c r="E58" s="6">
        <v>62</v>
      </c>
      <c r="F58" s="6">
        <v>60</v>
      </c>
      <c r="G58" s="6">
        <v>58.5</v>
      </c>
      <c r="H58" s="6">
        <v>54</v>
      </c>
      <c r="I58" s="6">
        <v>54</v>
      </c>
      <c r="J58" s="18" t="s"/>
      <c r="K58" s="18" t="s"/>
      <c r="L58" s="18" t="s"/>
    </row>
    <row r="59" spans="1:12" ht="18.75">
      <c r="A59" s="4">
        <v>58</v>
      </c>
      <c r="B59" s="4" t="s">
        <v>1115</v>
      </c>
      <c r="C59" s="4">
        <v>1202</v>
      </c>
      <c r="D59" s="4" t="str">
        <f>=VLOOKUP(B59,[1]在校生综合信息查询!$A$519:$C$591,2,0)</f>
        <v>25q770303007</v>
      </c>
      <c r="E59" s="6">
        <v>9</v>
      </c>
      <c r="F59" s="6">
        <v>16</v>
      </c>
      <c r="G59" s="6">
        <v>24.5</v>
      </c>
      <c r="H59" s="6">
        <v>20</v>
      </c>
      <c r="I59" s="6">
        <v>30</v>
      </c>
      <c r="J59" s="18" t="s"/>
      <c r="K59" s="18" t="s"/>
      <c r="L59" s="18" t="s"/>
    </row>
    <row r="60" spans="1:12" ht="18.75">
      <c r="A60" s="4">
        <v>59</v>
      </c>
      <c r="B60" s="4" t="s">
        <v>59</v>
      </c>
      <c r="C60" s="4" t="s"/>
      <c r="D60" s="4" t="str">
        <f>=VLOOKUP(B60,[1]在校生综合信息查询!$A$519:$C$591,2,0)</f>
        <v>25q710201127</v>
      </c>
      <c r="E60" s="6">
        <v>0</v>
      </c>
      <c r="F60" s="6">
        <v>0</v>
      </c>
      <c r="G60" s="6">
        <v>0</v>
      </c>
      <c r="H60" s="5" t="s"/>
      <c r="I60" s="6">
        <v>0</v>
      </c>
      <c r="J60" s="18" t="s"/>
      <c r="K60" s="18" t="s"/>
      <c r="L60" s="18" t="s"/>
    </row>
    <row r="61" spans="1:12" ht="18.75">
      <c r="A61" s="4">
        <v>60</v>
      </c>
      <c r="B61" s="4" t="s">
        <v>1118</v>
      </c>
      <c r="C61" s="4" t="s"/>
      <c r="D61" s="4" t="str">
        <f>=VLOOKUP(B61,[1]在校生综合信息查询!$A$519:$C$591,2,0)</f>
        <v>25q710201107</v>
      </c>
      <c r="E61" s="6">
        <v>67</v>
      </c>
      <c r="F61" s="6">
        <v>28</v>
      </c>
      <c r="G61" s="6">
        <v>13.5</v>
      </c>
      <c r="H61" s="6">
        <v>50</v>
      </c>
      <c r="I61" s="6">
        <v>52</v>
      </c>
      <c r="J61" s="18" t="s"/>
      <c r="K61" s="18" t="s"/>
      <c r="L61" s="18" t="s"/>
    </row>
    <row r="62" spans="1:12" ht="18.75">
      <c r="A62" s="4">
        <v>61</v>
      </c>
      <c r="B62" s="4" t="s">
        <v>1120</v>
      </c>
      <c r="C62" s="4" t="s"/>
      <c r="D62" s="4" t="str">
        <f>=VLOOKUP(B62,[1]在校生综合信息查询!$A$519:$C$591,2,0)</f>
        <v>25q710201149</v>
      </c>
      <c r="E62" s="6">
        <v>52</v>
      </c>
      <c r="F62" s="6">
        <v>16</v>
      </c>
      <c r="G62" s="6">
        <v>10.5</v>
      </c>
      <c r="H62" s="6">
        <v>49</v>
      </c>
      <c r="I62" s="6">
        <v>44</v>
      </c>
      <c r="J62" s="18" t="s"/>
      <c r="K62" s="18" t="s"/>
      <c r="L62" s="18" t="s"/>
    </row>
    <row r="63" spans="1:12" ht="18.75">
      <c r="A63" s="4">
        <v>62</v>
      </c>
      <c r="B63" s="4" t="s">
        <v>1122</v>
      </c>
      <c r="C63" s="4" t="s"/>
      <c r="D63" s="4" t="str">
        <f>=VLOOKUP(B63,[1]在校生综合信息查询!$A$519:$C$591,2,0)</f>
        <v>25q710201143</v>
      </c>
      <c r="E63" s="6">
        <v>46</v>
      </c>
      <c r="F63" s="6">
        <v>20</v>
      </c>
      <c r="G63" s="6">
        <v>19</v>
      </c>
      <c r="H63" s="6">
        <v>24</v>
      </c>
      <c r="I63" s="6">
        <v>50</v>
      </c>
      <c r="J63" s="18" t="s"/>
      <c r="K63" s="18" t="s"/>
      <c r="L63" s="18" t="s"/>
    </row>
    <row r="64" spans="1:12" ht="18.75">
      <c r="A64" s="4">
        <v>63</v>
      </c>
      <c r="B64" s="4" t="s">
        <v>1124</v>
      </c>
      <c r="C64" s="4" t="s"/>
      <c r="D64" s="4" t="str">
        <f>=VLOOKUP(B64,[1]在校生综合信息查询!$A$519:$C$591,2,0)</f>
        <v>25q710201110</v>
      </c>
      <c r="E64" s="6">
        <v>55</v>
      </c>
      <c r="F64" s="6">
        <v>8</v>
      </c>
      <c r="G64" s="6">
        <v>58.5</v>
      </c>
      <c r="H64" s="6">
        <v>47</v>
      </c>
      <c r="I64" s="6">
        <v>47</v>
      </c>
      <c r="J64" s="18" t="s"/>
      <c r="K64" s="18" t="s"/>
      <c r="L64" s="18" t="s"/>
    </row>
    <row r="65" spans="1:12" ht="18.75">
      <c r="A65" s="4">
        <v>64</v>
      </c>
      <c r="B65" s="4" t="s">
        <v>1126</v>
      </c>
      <c r="C65" s="4" t="s"/>
      <c r="D65" s="4" t="str">
        <f>=VLOOKUP(B65,[1]在校生综合信息查询!$A$519:$C$591,2,0)</f>
        <v>25q710201132</v>
      </c>
      <c r="E65" s="6">
        <v>43</v>
      </c>
      <c r="F65" s="6">
        <v>20</v>
      </c>
      <c r="G65" s="6">
        <v>18</v>
      </c>
      <c r="H65" s="6">
        <v>43</v>
      </c>
      <c r="I65" s="6">
        <v>33</v>
      </c>
      <c r="J65" s="18" t="s"/>
      <c r="K65" s="18" t="s"/>
      <c r="L65" s="18" t="s"/>
    </row>
    <row r="66" spans="1:12" ht="18.75">
      <c r="A66" s="4">
        <v>65</v>
      </c>
      <c r="B66" s="4" t="s">
        <v>1128</v>
      </c>
      <c r="C66" s="4" t="s"/>
      <c r="D66" s="4" t="str">
        <f>=VLOOKUP(B66,[1]在校生综合信息查询!$A$519:$C$591,2,0)</f>
        <v>25q710201159</v>
      </c>
      <c r="E66" s="6">
        <v>48</v>
      </c>
      <c r="F66" s="6">
        <v>38</v>
      </c>
      <c r="G66" s="6">
        <v>18.5</v>
      </c>
      <c r="H66" s="6">
        <v>68</v>
      </c>
      <c r="I66" s="6">
        <v>56</v>
      </c>
      <c r="J66" s="18" t="s"/>
      <c r="K66" s="18" t="s"/>
      <c r="L66" s="18" t="s"/>
    </row>
    <row r="67" spans="1:12" ht="18.75">
      <c r="A67" s="4">
        <v>66</v>
      </c>
      <c r="B67" s="4" t="s">
        <v>1130</v>
      </c>
      <c r="C67" s="4" t="s"/>
      <c r="D67" s="4" t="str">
        <f>=VLOOKUP(B67,[1]在校生综合信息查询!$A$519:$C$591,2,0)</f>
        <v>25q710201116</v>
      </c>
      <c r="E67" s="6">
        <v>28</v>
      </c>
      <c r="F67" s="6">
        <v>20</v>
      </c>
      <c r="G67" s="6">
        <v>49.5</v>
      </c>
      <c r="H67" s="6">
        <v>56</v>
      </c>
      <c r="I67" s="6">
        <v>46</v>
      </c>
      <c r="J67" s="18" t="s"/>
      <c r="K67" s="18" t="s"/>
      <c r="L67" s="18" t="s"/>
    </row>
    <row r="68" spans="1:12" ht="18.75">
      <c r="A68" s="4">
        <v>67</v>
      </c>
      <c r="B68" s="4" t="s">
        <v>1132</v>
      </c>
      <c r="C68" s="4" t="s"/>
      <c r="D68" s="4" t="str">
        <f>=VLOOKUP(B68,[1]在校生综合信息查询!$A$519:$C$591,2,0)</f>
        <v>25q710201128</v>
      </c>
      <c r="E68" s="6">
        <v>58</v>
      </c>
      <c r="F68" s="6">
        <v>44</v>
      </c>
      <c r="G68" s="6">
        <v>28.5</v>
      </c>
      <c r="H68" s="6">
        <v>48</v>
      </c>
      <c r="I68" s="6">
        <v>51</v>
      </c>
      <c r="J68" s="18" t="s"/>
      <c r="K68" s="18" t="s"/>
      <c r="L68" s="18" t="s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/>
  <dimension ref="L58"/>
  <sheetViews>
    <sheetView showGridLines="1" topLeftCell="A46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9.25" style="123" customWidth="1"/>
    <col min="5" max="5" width="9.71094" customWidth="1"/>
    <col min="6" max="6" width="8.83203" style="84" customWidth="1"/>
    <col min="7" max="7" width="9.71094" customWidth="1"/>
    <col min="8" max="8" width="15.375" customWidth="1"/>
    <col min="9" max="9" width="22.1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5" t="s">
        <v>7</v>
      </c>
      <c r="H1" s="5" t="s">
        <v>857</v>
      </c>
      <c r="I1" s="5" t="s">
        <v>858</v>
      </c>
      <c r="J1" s="5" t="s">
        <v>11</v>
      </c>
      <c r="K1" s="5" t="s">
        <v>12</v>
      </c>
      <c r="L1" s="5" t="s"/>
    </row>
    <row r="2" spans="1:12" ht="18.75">
      <c r="A2" s="4">
        <v>1</v>
      </c>
      <c r="B2" s="4" t="s">
        <v>1134</v>
      </c>
      <c r="C2" s="4">
        <v>1839</v>
      </c>
      <c r="D2" s="4" t="str">
        <f>=VLOOKUP(B2,[1]在校生综合信息查询!$A$592:$C$648,2,0)</f>
        <v>25q710201117</v>
      </c>
      <c r="E2" s="24">
        <v>56</v>
      </c>
      <c r="F2" s="24">
        <v>76</v>
      </c>
      <c r="G2" s="24">
        <v>58</v>
      </c>
      <c r="H2" s="6">
        <v>59</v>
      </c>
      <c r="I2" s="24">
        <v>53</v>
      </c>
      <c r="J2" s="5">
        <f>=SUM(E2,F2,G2,H2,I2)</f>
        <v>302</v>
      </c>
      <c r="K2" s="5">
        <f>=RANK(J2,$J$2:$J$58,0)</f>
        <v>34</v>
      </c>
      <c r="L2" s="5" t="s"/>
    </row>
    <row r="3" spans="1:12" ht="18.75">
      <c r="A3" s="4">
        <v>2</v>
      </c>
      <c r="B3" s="4" t="s">
        <v>1136</v>
      </c>
      <c r="C3" s="4">
        <v>1840</v>
      </c>
      <c r="D3" s="4" t="str">
        <f>=VLOOKUP(B3,[1]在校生综合信息查询!$A$592:$C$648,2,0)</f>
        <v>25q710201118</v>
      </c>
      <c r="E3" s="24">
        <v>100</v>
      </c>
      <c r="F3" s="24">
        <v>79</v>
      </c>
      <c r="G3" s="24">
        <v>34</v>
      </c>
      <c r="H3" s="6">
        <v>78</v>
      </c>
      <c r="I3" s="24">
        <v>68</v>
      </c>
      <c r="J3" s="5">
        <f>=SUM(E3,F3,G3,H3,I3)</f>
        <v>359</v>
      </c>
      <c r="K3" s="5">
        <f>=RANK(J3,$J$2:$J$58,0)</f>
        <v>8</v>
      </c>
      <c r="L3" s="5" t="s"/>
    </row>
    <row r="4" spans="1:12" ht="18.75">
      <c r="A4" s="4">
        <v>3</v>
      </c>
      <c r="B4" s="4" t="s">
        <v>1138</v>
      </c>
      <c r="C4" s="4">
        <v>1794</v>
      </c>
      <c r="D4" s="4" t="str">
        <f>=VLOOKUP(B4,[1]在校生综合信息查询!$A$592:$C$648,2,0)</f>
        <v>25q710201056</v>
      </c>
      <c r="E4" s="24">
        <v>104</v>
      </c>
      <c r="F4" s="24">
        <v>52</v>
      </c>
      <c r="G4" s="24">
        <v>73.5</v>
      </c>
      <c r="H4" s="6">
        <v>72</v>
      </c>
      <c r="I4" s="24">
        <v>63</v>
      </c>
      <c r="J4" s="5">
        <f>=SUM(E4,F4,G4,H4,I4)</f>
        <v>364.5</v>
      </c>
      <c r="K4" s="5">
        <f>=RANK(J4,$J$2:$J$58,0)</f>
        <v>5</v>
      </c>
      <c r="L4" s="5" t="s"/>
    </row>
    <row r="5" spans="1:12" ht="18.75">
      <c r="A5" s="4">
        <v>4</v>
      </c>
      <c r="B5" s="4" t="s">
        <v>1140</v>
      </c>
      <c r="C5" s="4">
        <v>1795</v>
      </c>
      <c r="D5" s="4" t="str">
        <f>=VLOOKUP(B5,[1]在校生综合信息查询!$A$592:$C$648,2,0)</f>
        <v>25q710201057</v>
      </c>
      <c r="E5" s="24">
        <v>60</v>
      </c>
      <c r="F5" s="24">
        <v>36</v>
      </c>
      <c r="G5" s="24">
        <v>0</v>
      </c>
      <c r="H5" s="6" t="s"/>
      <c r="I5" s="24">
        <v>0</v>
      </c>
      <c r="J5" s="5">
        <f>=SUM(E5,F5,G5,H5,I5)</f>
        <v>96</v>
      </c>
      <c r="K5" s="5">
        <f>=RANK(J5,$J$2:$J$58,0)</f>
        <v>55</v>
      </c>
      <c r="L5" s="5" t="s"/>
    </row>
    <row r="6" spans="1:12" ht="18.75">
      <c r="A6" s="4">
        <v>5</v>
      </c>
      <c r="B6" s="4" t="s">
        <v>1142</v>
      </c>
      <c r="C6" s="4">
        <v>1796</v>
      </c>
      <c r="D6" s="4" t="str">
        <f>=VLOOKUP(B6,[1]在校生综合信息查询!$A$592:$C$648,2,0)</f>
        <v>25q710201058</v>
      </c>
      <c r="E6" s="24">
        <v>69</v>
      </c>
      <c r="F6" s="24">
        <v>16</v>
      </c>
      <c r="G6" s="24">
        <v>30.5</v>
      </c>
      <c r="H6" s="6">
        <v>50</v>
      </c>
      <c r="I6" s="24">
        <v>65</v>
      </c>
      <c r="J6" s="5">
        <f>=SUM(E6,F6,G6,H6,I6)</f>
        <v>230.5</v>
      </c>
      <c r="K6" s="5">
        <f>=RANK(J6,$J$2:$J$58,0)</f>
        <v>48</v>
      </c>
      <c r="L6" s="5" t="s"/>
    </row>
    <row r="7" spans="1:12" ht="18.75">
      <c r="A7" s="4">
        <v>6</v>
      </c>
      <c r="B7" s="4" t="s">
        <v>1144</v>
      </c>
      <c r="C7" s="4">
        <v>1797</v>
      </c>
      <c r="D7" s="4" t="str">
        <f>=VLOOKUP(B7,[1]在校生综合信息查询!$A$592:$C$648,2,0)</f>
        <v>25q710201059</v>
      </c>
      <c r="E7" s="24">
        <v>77</v>
      </c>
      <c r="F7" s="24">
        <v>27</v>
      </c>
      <c r="G7" s="24">
        <v>34.5</v>
      </c>
      <c r="H7" s="6">
        <v>42</v>
      </c>
      <c r="I7" s="24">
        <v>65</v>
      </c>
      <c r="J7" s="5">
        <f>=SUM(E7,F7,G7,H7,I7)</f>
        <v>245.5</v>
      </c>
      <c r="K7" s="5">
        <f>=RANK(J7,$J$2:$J$58,0)</f>
        <v>46</v>
      </c>
      <c r="L7" s="5" t="s"/>
    </row>
    <row r="8" spans="1:12" ht="18.75">
      <c r="A8" s="4">
        <v>7</v>
      </c>
      <c r="B8" s="4" t="s">
        <v>1146</v>
      </c>
      <c r="C8" s="4">
        <v>1798</v>
      </c>
      <c r="D8" s="4" t="str">
        <f>=VLOOKUP(B8,[1]在校生综合信息查询!$A$592:$C$648,2,0)</f>
        <v>25q710201060</v>
      </c>
      <c r="E8" s="24">
        <v>79</v>
      </c>
      <c r="F8" s="24">
        <v>56</v>
      </c>
      <c r="G8" s="24">
        <v>60.5</v>
      </c>
      <c r="H8" s="6">
        <v>55</v>
      </c>
      <c r="I8" s="24">
        <v>70</v>
      </c>
      <c r="J8" s="5">
        <f>=SUM(E8,F8,G8,H8,I8)</f>
        <v>320.5</v>
      </c>
      <c r="K8" s="5">
        <f>=RANK(J8,$J$2:$J$58,0)</f>
        <v>27</v>
      </c>
      <c r="L8" s="5" t="s"/>
    </row>
    <row r="9" spans="1:12" ht="18.75">
      <c r="A9" s="4">
        <v>8</v>
      </c>
      <c r="B9" s="4" t="s">
        <v>1148</v>
      </c>
      <c r="C9" s="4">
        <v>1799</v>
      </c>
      <c r="D9" s="4" t="str">
        <f>=VLOOKUP(B9,[1]在校生综合信息查询!$A$592:$C$648,2,0)</f>
        <v>25q710201061</v>
      </c>
      <c r="E9" s="24">
        <v>38</v>
      </c>
      <c r="F9" s="24">
        <v>28</v>
      </c>
      <c r="G9" s="24">
        <v>53</v>
      </c>
      <c r="H9" s="6">
        <v>47</v>
      </c>
      <c r="I9" s="24">
        <v>41</v>
      </c>
      <c r="J9" s="5">
        <f>=SUM(E9,F9,G9,H9,I9)</f>
        <v>207</v>
      </c>
      <c r="K9" s="5">
        <f>=RANK(J9,$J$2:$J$58,0)</f>
        <v>50</v>
      </c>
      <c r="L9" s="5" t="s"/>
    </row>
    <row r="10" spans="1:12" ht="18.75">
      <c r="A10" s="4">
        <v>9</v>
      </c>
      <c r="B10" s="4" t="s">
        <v>1150</v>
      </c>
      <c r="C10" s="4">
        <v>1792</v>
      </c>
      <c r="D10" s="4" t="str">
        <f>=VLOOKUP(B10,[1]在校生综合信息查询!$A$592:$C$648,2,0)</f>
        <v>24q710103189</v>
      </c>
      <c r="E10" s="24">
        <v>107</v>
      </c>
      <c r="F10" s="24">
        <v>123</v>
      </c>
      <c r="G10" s="24">
        <v>73</v>
      </c>
      <c r="H10" s="6">
        <v>88</v>
      </c>
      <c r="I10" s="24">
        <v>75</v>
      </c>
      <c r="J10" s="5">
        <f>=SUM(E10,F10,G10,H10,I10)</f>
        <v>466</v>
      </c>
      <c r="K10" s="5">
        <f>=RANK(J10,$J$2:$J$58,0)</f>
        <v>1</v>
      </c>
      <c r="L10" s="5" t="s"/>
    </row>
    <row r="11" spans="1:12" ht="18.75">
      <c r="A11" s="4">
        <v>10</v>
      </c>
      <c r="B11" s="4" t="s">
        <v>1152</v>
      </c>
      <c r="C11" s="4">
        <v>1800</v>
      </c>
      <c r="D11" s="4" t="str">
        <f>=VLOOKUP(B11,[1]在校生综合信息查询!$A$592:$C$648,2,0)</f>
        <v>25q710201063</v>
      </c>
      <c r="E11" s="24">
        <v>82</v>
      </c>
      <c r="F11" s="24">
        <v>25</v>
      </c>
      <c r="G11" s="24">
        <v>39.5</v>
      </c>
      <c r="H11" s="6">
        <v>81</v>
      </c>
      <c r="I11" s="24">
        <v>60</v>
      </c>
      <c r="J11" s="5">
        <f>=SUM(E11,F11,G11,H11,I11)</f>
        <v>287.5</v>
      </c>
      <c r="K11" s="5">
        <f>=RANK(J11,$J$2:$J$58,0)</f>
        <v>38</v>
      </c>
      <c r="L11" s="5" t="s"/>
    </row>
    <row r="12" spans="1:12" ht="18.75">
      <c r="A12" s="4">
        <v>11</v>
      </c>
      <c r="B12" s="4" t="s">
        <v>1154</v>
      </c>
      <c r="C12" s="4">
        <v>1841</v>
      </c>
      <c r="D12" s="4" t="str">
        <f>=VLOOKUP(B12,[1]在校生综合信息查询!$A$592:$C$648,2,0)</f>
        <v>25q710201064</v>
      </c>
      <c r="E12" s="24">
        <v>0</v>
      </c>
      <c r="F12" s="24">
        <v>0</v>
      </c>
      <c r="G12" s="24">
        <v>0</v>
      </c>
      <c r="H12" s="6" t="s"/>
      <c r="I12" s="24">
        <v>0</v>
      </c>
      <c r="J12" s="5">
        <f>=SUM(E12,F12,G12,H12,I12)</f>
        <v>0</v>
      </c>
      <c r="K12" s="5">
        <f>=RANK(J12,$J$2:$J$58,0)</f>
        <v>57</v>
      </c>
      <c r="L12" s="5" t="s"/>
    </row>
    <row r="13" spans="1:12" ht="18.75">
      <c r="A13" s="4">
        <v>12</v>
      </c>
      <c r="B13" s="4" t="s">
        <v>1156</v>
      </c>
      <c r="C13" s="4">
        <v>1842</v>
      </c>
      <c r="D13" s="4" t="str">
        <f>=VLOOKUP(B13,[1]在校生综合信息查询!$A$592:$C$648,2,0)</f>
        <v>25q710201065</v>
      </c>
      <c r="E13" s="24">
        <v>75</v>
      </c>
      <c r="F13" s="24">
        <v>102</v>
      </c>
      <c r="G13" s="24">
        <v>63</v>
      </c>
      <c r="H13" s="6">
        <v>77</v>
      </c>
      <c r="I13" s="24">
        <v>84</v>
      </c>
      <c r="J13" s="5">
        <f>=SUM(E13,F13,G13,H13,I13)</f>
        <v>401</v>
      </c>
      <c r="K13" s="5">
        <f>=RANK(J13,$J$2:$J$58,0)</f>
        <v>2</v>
      </c>
      <c r="L13" s="5" t="s"/>
    </row>
    <row r="14" spans="1:12" ht="18.75">
      <c r="A14" s="4">
        <v>13</v>
      </c>
      <c r="B14" s="4" t="s">
        <v>1158</v>
      </c>
      <c r="C14" s="4">
        <v>1801</v>
      </c>
      <c r="D14" s="4" t="str">
        <f>=VLOOKUP(B14,[1]在校生综合信息查询!$A$592:$C$648,2,0)</f>
        <v>25q710201067</v>
      </c>
      <c r="E14" s="24">
        <v>95</v>
      </c>
      <c r="F14" s="24">
        <v>77</v>
      </c>
      <c r="G14" s="24">
        <v>49.5</v>
      </c>
      <c r="H14" s="6">
        <v>68</v>
      </c>
      <c r="I14" s="24">
        <v>67</v>
      </c>
      <c r="J14" s="5">
        <f>=SUM(E14,F14,G14,H14,I14)</f>
        <v>356.5</v>
      </c>
      <c r="K14" s="5">
        <f>=RANK(J14,$J$2:$J$58,0)</f>
        <v>10</v>
      </c>
      <c r="L14" s="5" t="s"/>
    </row>
    <row r="15" spans="1:12" ht="18.75">
      <c r="A15" s="4">
        <v>14</v>
      </c>
      <c r="B15" s="4" t="s">
        <v>1160</v>
      </c>
      <c r="C15" s="4">
        <v>1802</v>
      </c>
      <c r="D15" s="4" t="str">
        <f>=VLOOKUP(B15,[1]在校生综合信息查询!$A$592:$C$648,2,0)</f>
        <v>25q710201069</v>
      </c>
      <c r="E15" s="24">
        <v>87</v>
      </c>
      <c r="F15" s="24">
        <v>115</v>
      </c>
      <c r="G15" s="24">
        <v>30</v>
      </c>
      <c r="H15" s="6">
        <v>79</v>
      </c>
      <c r="I15" s="24">
        <v>70</v>
      </c>
      <c r="J15" s="5">
        <f>=SUM(E15,F15,G15,H15,I15)</f>
        <v>381</v>
      </c>
      <c r="K15" s="5">
        <f>=RANK(J15,$J$2:$J$58,0)</f>
        <v>3</v>
      </c>
      <c r="L15" s="5" t="s"/>
    </row>
    <row r="16" spans="1:12" ht="18.75">
      <c r="A16" s="4">
        <v>15</v>
      </c>
      <c r="B16" s="4" t="s">
        <v>1162</v>
      </c>
      <c r="C16" s="4">
        <v>1843</v>
      </c>
      <c r="D16" s="4" t="str">
        <f>=VLOOKUP(B16,[1]在校生综合信息查询!$A$592:$C$648,2,0)</f>
        <v>25q660103097</v>
      </c>
      <c r="E16" s="24">
        <v>85</v>
      </c>
      <c r="F16" s="24">
        <v>98</v>
      </c>
      <c r="G16" s="24">
        <v>47.5</v>
      </c>
      <c r="H16" s="6">
        <v>65</v>
      </c>
      <c r="I16" s="24">
        <v>63</v>
      </c>
      <c r="J16" s="5">
        <f>=SUM(E16,F16,G16,H16,I16)</f>
        <v>358.5</v>
      </c>
      <c r="K16" s="5">
        <f>=RANK(J16,$J$2:$J$58,0)</f>
        <v>9</v>
      </c>
      <c r="L16" s="5" t="s"/>
    </row>
    <row r="17" spans="1:12" ht="18.75">
      <c r="A17" s="4">
        <v>16</v>
      </c>
      <c r="B17" s="4" t="s">
        <v>1164</v>
      </c>
      <c r="C17" s="4">
        <v>1844</v>
      </c>
      <c r="D17" s="4" t="str">
        <f>=VLOOKUP(B17,[1]在校生综合信息查询!$A$592:$C$648,2,0)</f>
        <v>25q710103146</v>
      </c>
      <c r="E17" s="24">
        <v>57</v>
      </c>
      <c r="F17" s="24">
        <v>24</v>
      </c>
      <c r="G17" s="24">
        <v>61.5</v>
      </c>
      <c r="H17" s="6">
        <v>52</v>
      </c>
      <c r="I17" s="24">
        <v>56</v>
      </c>
      <c r="J17" s="5">
        <f>=SUM(E17,F17,G17,H17,I17)</f>
        <v>250.5</v>
      </c>
      <c r="K17" s="5">
        <f>=RANK(J17,$J$2:$J$58,0)</f>
        <v>45</v>
      </c>
      <c r="L17" s="5" t="s"/>
    </row>
    <row r="18" spans="1:12" ht="18.75">
      <c r="A18" s="4">
        <v>17</v>
      </c>
      <c r="B18" s="4" t="s">
        <v>1166</v>
      </c>
      <c r="C18" s="4">
        <v>1803</v>
      </c>
      <c r="D18" s="4" t="str">
        <f>=VLOOKUP(B18,[1]在校生综合信息查询!$A$592:$C$648,2,0)</f>
        <v>25q710201070</v>
      </c>
      <c r="E18" s="24">
        <v>72</v>
      </c>
      <c r="F18" s="24">
        <v>24</v>
      </c>
      <c r="G18" s="24">
        <v>65.5</v>
      </c>
      <c r="H18" s="6">
        <v>83</v>
      </c>
      <c r="I18" s="24">
        <v>66</v>
      </c>
      <c r="J18" s="5">
        <f>=SUM(E18,F18,G18,H18,I18)</f>
        <v>310.5</v>
      </c>
      <c r="K18" s="5">
        <f>=RANK(J18,$J$2:$J$58,0)</f>
        <v>33</v>
      </c>
      <c r="L18" s="5" t="s"/>
    </row>
    <row r="19" spans="1:12" ht="18.75">
      <c r="A19" s="4">
        <v>18</v>
      </c>
      <c r="B19" s="4" t="s">
        <v>1168</v>
      </c>
      <c r="C19" s="4">
        <v>1804</v>
      </c>
      <c r="D19" s="4" t="str">
        <f>=VLOOKUP(B19,[1]在校生综合信息查询!$A$592:$C$648,2,0)</f>
        <v>25q710201071</v>
      </c>
      <c r="E19" s="24">
        <v>77</v>
      </c>
      <c r="F19" s="24">
        <v>35</v>
      </c>
      <c r="G19" s="24">
        <v>23</v>
      </c>
      <c r="H19" s="6">
        <v>68</v>
      </c>
      <c r="I19" s="24">
        <v>61</v>
      </c>
      <c r="J19" s="5">
        <f>=SUM(E19,F19,G19,H19,I19)</f>
        <v>264</v>
      </c>
      <c r="K19" s="5">
        <f>=RANK(J19,$J$2:$J$58,0)</f>
        <v>43</v>
      </c>
      <c r="L19" s="5" t="s"/>
    </row>
    <row r="20" spans="1:12" ht="18.75">
      <c r="A20" s="4">
        <v>19</v>
      </c>
      <c r="B20" s="4" t="s">
        <v>1051</v>
      </c>
      <c r="C20" s="4">
        <v>1845</v>
      </c>
      <c r="D20" s="4" t="str">
        <f>=VLOOKUP(B20,[1]在校生综合信息查询!$A$592:$C$648,2,0)</f>
        <v>25q710201559</v>
      </c>
      <c r="E20" s="24">
        <v>79</v>
      </c>
      <c r="F20" s="24">
        <v>40</v>
      </c>
      <c r="G20" s="24">
        <v>78</v>
      </c>
      <c r="H20" s="6">
        <v>83</v>
      </c>
      <c r="I20" s="24">
        <v>69</v>
      </c>
      <c r="J20" s="5">
        <f>=SUM(E20,F20,G20,H20,I20)</f>
        <v>349</v>
      </c>
      <c r="K20" s="5">
        <f>=RANK(J20,$J$2:$J$58,0)</f>
        <v>13</v>
      </c>
      <c r="L20" s="5" t="s"/>
    </row>
    <row r="21" spans="1:12" ht="18.75">
      <c r="A21" s="4">
        <v>20</v>
      </c>
      <c r="B21" s="4" t="s">
        <v>1171</v>
      </c>
      <c r="C21" s="4">
        <v>1805</v>
      </c>
      <c r="D21" s="4" t="str">
        <f>=VLOOKUP(B21,[1]在校生综合信息查询!$A$592:$C$648,2,0)</f>
        <v>25q710201072</v>
      </c>
      <c r="E21" s="24">
        <v>67</v>
      </c>
      <c r="F21" s="24">
        <v>28</v>
      </c>
      <c r="G21" s="24">
        <v>15</v>
      </c>
      <c r="H21" s="6">
        <v>64</v>
      </c>
      <c r="I21" s="24">
        <v>43</v>
      </c>
      <c r="J21" s="5">
        <f>=SUM(E21,F21,G21,H21,I21)</f>
        <v>217</v>
      </c>
      <c r="K21" s="5">
        <f>=RANK(J21,$J$2:$J$58,0)</f>
        <v>49</v>
      </c>
      <c r="L21" s="5" t="s"/>
    </row>
    <row r="22" spans="1:12" ht="18.75">
      <c r="A22" s="4">
        <v>21</v>
      </c>
      <c r="B22" s="4" t="s">
        <v>1173</v>
      </c>
      <c r="C22" s="4">
        <v>1806</v>
      </c>
      <c r="D22" s="4" t="str">
        <f>=VLOOKUP(B22,[1]在校生综合信息查询!$A$592:$C$648,2,0)</f>
        <v>25q710201073</v>
      </c>
      <c r="E22" s="24">
        <v>89</v>
      </c>
      <c r="F22" s="24">
        <v>43</v>
      </c>
      <c r="G22" s="24">
        <v>58</v>
      </c>
      <c r="H22" s="6">
        <v>62</v>
      </c>
      <c r="I22" s="24">
        <v>71</v>
      </c>
      <c r="J22" s="5">
        <f>=SUM(E22,F22,G22,H22,I22)</f>
        <v>323</v>
      </c>
      <c r="K22" s="5">
        <f>=RANK(J22,$J$2:$J$58,0)</f>
        <v>26</v>
      </c>
      <c r="L22" s="5" t="s"/>
    </row>
    <row r="23" spans="1:12" ht="18.75">
      <c r="A23" s="4">
        <v>22</v>
      </c>
      <c r="B23" s="4" t="s">
        <v>1175</v>
      </c>
      <c r="C23" s="4">
        <v>1807</v>
      </c>
      <c r="D23" s="4" t="str">
        <f>=VLOOKUP(B23,[1]在校生综合信息查询!$A$592:$C$648,2,0)</f>
        <v>25q710201074</v>
      </c>
      <c r="E23" s="24">
        <v>95</v>
      </c>
      <c r="F23" s="24">
        <v>68</v>
      </c>
      <c r="G23" s="24">
        <v>29</v>
      </c>
      <c r="H23" s="6">
        <v>68</v>
      </c>
      <c r="I23" s="24">
        <v>67</v>
      </c>
      <c r="J23" s="5">
        <f>=SUM(E23,F23,G23,H23,I23)</f>
        <v>327</v>
      </c>
      <c r="K23" s="5">
        <f>=RANK(J23,$J$2:$J$58,0)</f>
        <v>24</v>
      </c>
      <c r="L23" s="5" t="s"/>
    </row>
    <row r="24" spans="1:12" ht="18.75">
      <c r="A24" s="4">
        <v>23</v>
      </c>
      <c r="B24" s="4" t="s">
        <v>1177</v>
      </c>
      <c r="C24" s="4">
        <v>1808</v>
      </c>
      <c r="D24" s="4" t="str">
        <f>=VLOOKUP(B24,[1]在校生综合信息查询!$A$592:$C$648,2,0)</f>
        <v>25q710201075</v>
      </c>
      <c r="E24" s="24">
        <v>90</v>
      </c>
      <c r="F24" s="24">
        <v>47</v>
      </c>
      <c r="G24" s="24">
        <v>55.5</v>
      </c>
      <c r="H24" s="6">
        <v>79</v>
      </c>
      <c r="I24" s="24">
        <v>65</v>
      </c>
      <c r="J24" s="5">
        <f>=SUM(E24,F24,G24,H24,I24)</f>
        <v>336.5</v>
      </c>
      <c r="K24" s="5">
        <f>=RANK(J24,$J$2:$J$58,0)</f>
        <v>20</v>
      </c>
      <c r="L24" s="5" t="s"/>
    </row>
    <row r="25" spans="1:12" ht="18.75">
      <c r="A25" s="4">
        <v>24</v>
      </c>
      <c r="B25" s="4" t="s">
        <v>1179</v>
      </c>
      <c r="C25" s="4">
        <v>1809</v>
      </c>
      <c r="D25" s="4" t="str">
        <f>=VLOOKUP(B25,[1]在校生综合信息查询!$A$592:$C$648,2,0)</f>
        <v>25q710201076</v>
      </c>
      <c r="E25" s="24">
        <v>67</v>
      </c>
      <c r="F25" s="24">
        <v>110</v>
      </c>
      <c r="G25" s="24">
        <v>44</v>
      </c>
      <c r="H25" s="6">
        <v>69</v>
      </c>
      <c r="I25" s="24">
        <v>58</v>
      </c>
      <c r="J25" s="5">
        <f>=SUM(E25,F25,G25,H25,I25)</f>
        <v>348</v>
      </c>
      <c r="K25" s="5">
        <f>=RANK(J25,$J$2:$J$58,0)</f>
        <v>14</v>
      </c>
      <c r="L25" s="5" t="s"/>
    </row>
    <row r="26" spans="1:12" ht="18.75">
      <c r="A26" s="4">
        <v>25</v>
      </c>
      <c r="B26" s="4" t="s">
        <v>1181</v>
      </c>
      <c r="C26" s="4">
        <v>1810</v>
      </c>
      <c r="D26" s="4" t="str">
        <f>=VLOOKUP(B26,[1]在校生综合信息查询!$A$592:$C$648,2,0)</f>
        <v>25q710201077</v>
      </c>
      <c r="E26" s="24">
        <v>58</v>
      </c>
      <c r="F26" s="24">
        <v>20</v>
      </c>
      <c r="G26" s="24">
        <v>16</v>
      </c>
      <c r="H26" s="6">
        <v>53</v>
      </c>
      <c r="I26" s="24">
        <v>47</v>
      </c>
      <c r="J26" s="5">
        <f>=SUM(E26,F26,G26,H26,I26)</f>
        <v>194</v>
      </c>
      <c r="K26" s="5">
        <f>=RANK(J26,$J$2:$J$58,0)</f>
        <v>52</v>
      </c>
      <c r="L26" s="5" t="s"/>
    </row>
    <row r="27" spans="1:12" ht="18.75">
      <c r="A27" s="4">
        <v>26</v>
      </c>
      <c r="B27" s="4" t="s">
        <v>1183</v>
      </c>
      <c r="C27" s="4">
        <v>1811</v>
      </c>
      <c r="D27" s="4" t="str">
        <f>=VLOOKUP(B27,[1]在校生综合信息查询!$A$592:$C$648,2,0)</f>
        <v>25q710201079</v>
      </c>
      <c r="E27" s="24">
        <v>69</v>
      </c>
      <c r="F27" s="24">
        <v>117</v>
      </c>
      <c r="G27" s="24">
        <v>33</v>
      </c>
      <c r="H27" s="6">
        <v>71</v>
      </c>
      <c r="I27" s="24">
        <v>54</v>
      </c>
      <c r="J27" s="5">
        <f>=SUM(E27,F27,G27,H27,I27)</f>
        <v>344</v>
      </c>
      <c r="K27" s="5">
        <f>=RANK(J27,$J$2:$J$58,0)</f>
        <v>17</v>
      </c>
      <c r="L27" s="5" t="s"/>
    </row>
    <row r="28" spans="1:12" ht="18.75">
      <c r="A28" s="4">
        <v>27</v>
      </c>
      <c r="B28" s="4" t="s">
        <v>1185</v>
      </c>
      <c r="C28" s="4">
        <v>1812</v>
      </c>
      <c r="D28" s="4" t="str">
        <f>=VLOOKUP(B28,[1]在校生综合信息查询!$A$592:$C$648,2,0)</f>
        <v>25q710201080</v>
      </c>
      <c r="E28" s="24">
        <v>76</v>
      </c>
      <c r="F28" s="24">
        <v>59</v>
      </c>
      <c r="G28" s="24">
        <v>63</v>
      </c>
      <c r="H28" s="6">
        <v>67</v>
      </c>
      <c r="I28" s="24">
        <v>52</v>
      </c>
      <c r="J28" s="5">
        <f>=SUM(E28,F28,G28,H28,I28)</f>
        <v>317</v>
      </c>
      <c r="K28" s="5">
        <f>=RANK(J28,$J$2:$J$58,0)</f>
        <v>30</v>
      </c>
      <c r="L28" s="5" t="s"/>
    </row>
    <row r="29" spans="1:12" ht="18.75">
      <c r="A29" s="4">
        <v>28</v>
      </c>
      <c r="B29" s="4" t="s">
        <v>1187</v>
      </c>
      <c r="C29" s="4">
        <v>1813</v>
      </c>
      <c r="D29" s="4" t="str">
        <f>=VLOOKUP(B29,[1]在校生综合信息查询!$A$592:$C$648,2,0)</f>
        <v>25q710201082</v>
      </c>
      <c r="E29" s="24">
        <v>75</v>
      </c>
      <c r="F29" s="24">
        <v>24</v>
      </c>
      <c r="G29" s="24">
        <v>72</v>
      </c>
      <c r="H29" s="6">
        <v>61</v>
      </c>
      <c r="I29" s="24">
        <v>58</v>
      </c>
      <c r="J29" s="5">
        <f>=SUM(E29,F29,G29,H29,I29)</f>
        <v>290</v>
      </c>
      <c r="K29" s="5">
        <f>=RANK(J29,$J$2:$J$58,0)</f>
        <v>37</v>
      </c>
      <c r="L29" s="5" t="s"/>
    </row>
    <row r="30" spans="1:12" ht="18.75">
      <c r="A30" s="4">
        <v>29</v>
      </c>
      <c r="B30" s="4" t="s">
        <v>1189</v>
      </c>
      <c r="C30" s="4">
        <v>1814</v>
      </c>
      <c r="D30" s="4" t="str">
        <f>=VLOOKUP(B30,[1]在校生综合信息查询!$A$592:$C$648,2,0)</f>
        <v>25q710201083</v>
      </c>
      <c r="E30" s="24">
        <v>84</v>
      </c>
      <c r="F30" s="24">
        <v>28</v>
      </c>
      <c r="G30" s="24">
        <v>66</v>
      </c>
      <c r="H30" s="6">
        <v>76</v>
      </c>
      <c r="I30" s="24">
        <v>58</v>
      </c>
      <c r="J30" s="5">
        <f>=SUM(E30,F30,G30,H30,I30)</f>
        <v>312</v>
      </c>
      <c r="K30" s="5">
        <f>=RANK(J30,$J$2:$J$58,0)</f>
        <v>32</v>
      </c>
      <c r="L30" s="5" t="s"/>
    </row>
    <row r="31" spans="1:12" ht="18.75">
      <c r="A31" s="4">
        <v>30</v>
      </c>
      <c r="B31" s="4" t="s">
        <v>1191</v>
      </c>
      <c r="C31" s="4">
        <v>1815</v>
      </c>
      <c r="D31" s="4" t="str">
        <f>=VLOOKUP(B31,[1]在校生综合信息查询!$A$592:$C$648,2,0)</f>
        <v>25q710201084</v>
      </c>
      <c r="E31" s="24">
        <v>58</v>
      </c>
      <c r="F31" s="24">
        <v>20</v>
      </c>
      <c r="G31" s="24">
        <v>20</v>
      </c>
      <c r="H31" s="6">
        <v>49</v>
      </c>
      <c r="I31" s="24">
        <v>56</v>
      </c>
      <c r="J31" s="5">
        <f>=SUM(E31,F31,G31,H31,I31)</f>
        <v>203</v>
      </c>
      <c r="K31" s="5">
        <f>=RANK(J31,$J$2:$J$58,0)</f>
        <v>51</v>
      </c>
      <c r="L31" s="5" t="s"/>
    </row>
    <row r="32" spans="1:12" ht="18.75">
      <c r="A32" s="4">
        <v>31</v>
      </c>
      <c r="B32" s="4" t="s">
        <v>1193</v>
      </c>
      <c r="C32" s="4">
        <v>1816</v>
      </c>
      <c r="D32" s="4" t="str">
        <f>=VLOOKUP(B32,[1]在校生综合信息查询!$A$592:$C$648,2,0)</f>
        <v>25q710201085</v>
      </c>
      <c r="E32" s="24">
        <v>58</v>
      </c>
      <c r="F32" s="24">
        <v>61</v>
      </c>
      <c r="G32" s="24">
        <v>65.5</v>
      </c>
      <c r="H32" s="6">
        <v>73</v>
      </c>
      <c r="I32" s="24">
        <v>71</v>
      </c>
      <c r="J32" s="5">
        <f>=SUM(E32,F32,G32,H32,I32)</f>
        <v>328.5</v>
      </c>
      <c r="K32" s="5">
        <f>=RANK(J32,$J$2:$J$58,0)</f>
        <v>23</v>
      </c>
      <c r="L32" s="5" t="s"/>
    </row>
    <row r="33" spans="1:12" ht="18.75">
      <c r="A33" s="4">
        <v>32</v>
      </c>
      <c r="B33" s="4" t="s">
        <v>1195</v>
      </c>
      <c r="C33" s="4">
        <v>1817</v>
      </c>
      <c r="D33" s="4" t="str">
        <f>=VLOOKUP(B33,[1]在校生综合信息查询!$A$592:$C$648,2,0)</f>
        <v>25q710201086</v>
      </c>
      <c r="E33" s="24">
        <v>85</v>
      </c>
      <c r="F33" s="24">
        <v>60</v>
      </c>
      <c r="G33" s="24">
        <v>77.5</v>
      </c>
      <c r="H33" s="6">
        <v>65</v>
      </c>
      <c r="I33" s="24">
        <v>68</v>
      </c>
      <c r="J33" s="5">
        <f>=SUM(E33,F33,G33,H33,I33)</f>
        <v>355.5</v>
      </c>
      <c r="K33" s="5">
        <f>=RANK(J33,$J$2:$J$58,0)</f>
        <v>11</v>
      </c>
      <c r="L33" s="5" t="s"/>
    </row>
    <row r="34" spans="1:12" ht="18.75">
      <c r="A34" s="4">
        <v>33</v>
      </c>
      <c r="B34" s="4" t="s">
        <v>1197</v>
      </c>
      <c r="C34" s="4">
        <v>1818</v>
      </c>
      <c r="D34" s="4" t="str">
        <f>=VLOOKUP(B34,[1]在校生综合信息查询!$A$592:$C$648,2,0)</f>
        <v>25q710201088</v>
      </c>
      <c r="E34" s="24">
        <v>85</v>
      </c>
      <c r="F34" s="24">
        <v>52</v>
      </c>
      <c r="G34" s="24">
        <v>64.5</v>
      </c>
      <c r="H34" s="6">
        <v>76</v>
      </c>
      <c r="I34" s="24">
        <v>69</v>
      </c>
      <c r="J34" s="5">
        <f>=SUM(E34,F34,G34,H34,I34)</f>
        <v>346.5</v>
      </c>
      <c r="K34" s="5">
        <f>=RANK(J34,$J$2:$J$58,0)</f>
        <v>16</v>
      </c>
      <c r="L34" s="5" t="s"/>
    </row>
    <row r="35" spans="1:12" ht="18.75">
      <c r="A35" s="4">
        <v>34</v>
      </c>
      <c r="B35" s="4" t="s">
        <v>1199</v>
      </c>
      <c r="C35" s="4">
        <v>1847</v>
      </c>
      <c r="D35" s="4" t="e">
        <f>=VLOOKUP(B35,[1]在校生综合信息查询!$A$592:$C$648,2,0)</f>
        <v>#N/A</v>
      </c>
      <c r="E35" s="24">
        <v>29</v>
      </c>
      <c r="F35" s="24">
        <v>24</v>
      </c>
      <c r="G35" s="24">
        <v>19.5</v>
      </c>
      <c r="H35" s="6">
        <v>20</v>
      </c>
      <c r="I35" s="24">
        <v>32</v>
      </c>
      <c r="J35" s="5">
        <f>=SUM(E35,F35,G35,H35,I35)</f>
        <v>124.5</v>
      </c>
      <c r="K35" s="5">
        <f>=RANK(J35,$J$2:$J$58,0)</f>
        <v>54</v>
      </c>
      <c r="L35" s="5" t="s"/>
    </row>
    <row r="36" spans="1:12" ht="18.75">
      <c r="A36" s="4">
        <v>35</v>
      </c>
      <c r="B36" s="4" t="s">
        <v>330</v>
      </c>
      <c r="C36" s="4">
        <v>1827</v>
      </c>
      <c r="D36" s="4" t="str">
        <f>=VLOOKUP(B36,[1]在校生综合信息查询!$A$592:$C$648,2,0)</f>
        <v>25q710201090</v>
      </c>
      <c r="E36" s="24">
        <v>104</v>
      </c>
      <c r="F36" s="24">
        <v>29</v>
      </c>
      <c r="G36" s="24">
        <v>29.5</v>
      </c>
      <c r="H36" s="6">
        <v>62</v>
      </c>
      <c r="I36" s="24">
        <v>51</v>
      </c>
      <c r="J36" s="5">
        <f>=SUM(E36,F36,G36,H36,I36)</f>
        <v>275.5</v>
      </c>
      <c r="K36" s="5">
        <f>=RANK(J36,$J$2:$J$58,0)</f>
        <v>42</v>
      </c>
      <c r="L36" s="5" t="s"/>
    </row>
    <row r="37" spans="1:12" ht="18.75">
      <c r="A37" s="4">
        <v>36</v>
      </c>
      <c r="B37" s="4" t="s">
        <v>1201</v>
      </c>
      <c r="C37" s="4">
        <v>1828</v>
      </c>
      <c r="D37" s="4" t="str">
        <f>=VLOOKUP(B37,[1]在校生综合信息查询!$A$592:$C$648,2,0)</f>
        <v>25q710201091</v>
      </c>
      <c r="E37" s="24">
        <v>78</v>
      </c>
      <c r="F37" s="24">
        <v>42</v>
      </c>
      <c r="G37" s="24">
        <v>57.5</v>
      </c>
      <c r="H37" s="6">
        <v>58</v>
      </c>
      <c r="I37" s="24">
        <v>49</v>
      </c>
      <c r="J37" s="5">
        <f>=SUM(E37,F37,G37,H37,I37)</f>
        <v>284.5</v>
      </c>
      <c r="K37" s="5">
        <f>=RANK(J37,$J$2:$J$58,0)</f>
        <v>40</v>
      </c>
      <c r="L37" s="5" t="s"/>
    </row>
    <row r="38" spans="1:12" ht="18.75">
      <c r="A38" s="4">
        <v>37</v>
      </c>
      <c r="B38" s="4" t="s">
        <v>1203</v>
      </c>
      <c r="C38" s="4">
        <v>1829</v>
      </c>
      <c r="D38" s="4" t="str">
        <f>=VLOOKUP(B38,[1]在校生综合信息查询!$A$592:$C$648,2,0)</f>
        <v>25q710201093</v>
      </c>
      <c r="E38" s="24">
        <v>83</v>
      </c>
      <c r="F38" s="24">
        <v>82</v>
      </c>
      <c r="G38" s="24">
        <v>53.5</v>
      </c>
      <c r="H38" s="6">
        <v>67</v>
      </c>
      <c r="I38" s="24">
        <v>62</v>
      </c>
      <c r="J38" s="5">
        <f>=SUM(E38,F38,G38,H38,I38)</f>
        <v>347.5</v>
      </c>
      <c r="K38" s="5">
        <f>=RANK(J38,$J$2:$J$58,0)</f>
        <v>15</v>
      </c>
      <c r="L38" s="5" t="s"/>
    </row>
    <row r="39" spans="1:12" ht="18.75">
      <c r="A39" s="4">
        <v>38</v>
      </c>
      <c r="B39" s="4" t="s">
        <v>1205</v>
      </c>
      <c r="C39" s="4">
        <v>1830</v>
      </c>
      <c r="D39" s="4" t="str">
        <f>=VLOOKUP(B39,[1]在校生综合信息查询!$A$592:$C$648,2,0)</f>
        <v>25q710201095</v>
      </c>
      <c r="E39" s="24">
        <v>78</v>
      </c>
      <c r="F39" s="24">
        <v>105</v>
      </c>
      <c r="G39" s="24">
        <v>43</v>
      </c>
      <c r="H39" s="6">
        <v>73</v>
      </c>
      <c r="I39" s="24">
        <v>53</v>
      </c>
      <c r="J39" s="5">
        <f>=SUM(E39,F39,G39,H39,I39)</f>
        <v>352</v>
      </c>
      <c r="K39" s="5">
        <f>=RANK(J39,$J$2:$J$58,0)</f>
        <v>12</v>
      </c>
      <c r="L39" s="5" t="s"/>
    </row>
    <row r="40" spans="1:12" ht="18.75">
      <c r="A40" s="4">
        <v>39</v>
      </c>
      <c r="B40" s="4" t="s">
        <v>1207</v>
      </c>
      <c r="C40" s="4">
        <v>1831</v>
      </c>
      <c r="D40" s="4" t="str">
        <f>=VLOOKUP(B40,[1]在校生综合信息查询!$A$592:$C$648,2,0)</f>
        <v>24q710201045</v>
      </c>
      <c r="E40" s="24">
        <v>104</v>
      </c>
      <c r="F40" s="24">
        <v>65</v>
      </c>
      <c r="G40" s="24">
        <v>78</v>
      </c>
      <c r="H40" s="6">
        <v>73</v>
      </c>
      <c r="I40" s="24">
        <v>53</v>
      </c>
      <c r="J40" s="5">
        <f>=SUM(E40,F40,G40,H40,I40)</f>
        <v>373</v>
      </c>
      <c r="K40" s="5">
        <f>=RANK(J40,$J$2:$J$58,0)</f>
        <v>4</v>
      </c>
      <c r="L40" s="5" t="s"/>
    </row>
    <row r="41" spans="1:12" ht="18.75">
      <c r="A41" s="4">
        <v>40</v>
      </c>
      <c r="B41" s="4" t="s">
        <v>1209</v>
      </c>
      <c r="C41" s="4">
        <v>1832</v>
      </c>
      <c r="D41" s="4" t="str">
        <f>=VLOOKUP(B41,[1]在校生综合信息查询!$A$592:$C$648,2,0)</f>
        <v>25q710201096</v>
      </c>
      <c r="E41" s="24">
        <v>72</v>
      </c>
      <c r="F41" s="24">
        <v>39</v>
      </c>
      <c r="G41" s="24">
        <v>56.5</v>
      </c>
      <c r="H41" s="6">
        <v>63</v>
      </c>
      <c r="I41" s="24">
        <v>62</v>
      </c>
      <c r="J41" s="5">
        <f>=SUM(E41,F41,G41,H41,I41)</f>
        <v>292.5</v>
      </c>
      <c r="K41" s="5">
        <f>=RANK(J41,$J$2:$J$58,0)</f>
        <v>36</v>
      </c>
      <c r="L41" s="5" t="s"/>
    </row>
    <row r="42" spans="1:12" ht="18.75">
      <c r="A42" s="4">
        <v>41</v>
      </c>
      <c r="B42" s="4" t="s">
        <v>1211</v>
      </c>
      <c r="C42" s="4">
        <v>1833</v>
      </c>
      <c r="D42" s="4" t="str">
        <f>=VLOOKUP(B42,[1]在校生综合信息查询!$A$592:$C$648,2,0)</f>
        <v>25q710201097</v>
      </c>
      <c r="E42" s="24">
        <v>78</v>
      </c>
      <c r="F42" s="24">
        <v>71</v>
      </c>
      <c r="G42" s="24">
        <v>26</v>
      </c>
      <c r="H42" s="6">
        <v>81</v>
      </c>
      <c r="I42" s="24">
        <v>83</v>
      </c>
      <c r="J42" s="5">
        <f>=SUM(E42,F42,G42,H42,I42)</f>
        <v>339</v>
      </c>
      <c r="K42" s="5">
        <f>=RANK(J42,$J$2:$J$58,0)</f>
        <v>19</v>
      </c>
      <c r="L42" s="5" t="s"/>
    </row>
    <row r="43" spans="1:12" ht="18.75">
      <c r="A43" s="4">
        <v>42</v>
      </c>
      <c r="B43" s="4" t="s">
        <v>1213</v>
      </c>
      <c r="C43" s="4">
        <v>1834</v>
      </c>
      <c r="D43" s="4" t="str">
        <f>=VLOOKUP(B43,[1]在校生综合信息查询!$A$592:$C$648,2,0)</f>
        <v>25q710201098</v>
      </c>
      <c r="E43" s="24">
        <v>92</v>
      </c>
      <c r="F43" s="24">
        <v>30</v>
      </c>
      <c r="G43" s="24">
        <v>58.5</v>
      </c>
      <c r="H43" s="6">
        <v>70</v>
      </c>
      <c r="I43" s="24">
        <v>66</v>
      </c>
      <c r="J43" s="5">
        <f>=SUM(E43,F43,G43,H43,I43)</f>
        <v>316.5</v>
      </c>
      <c r="K43" s="5">
        <f>=RANK(J43,$J$2:$J$58,0)</f>
        <v>31</v>
      </c>
      <c r="L43" s="5" t="s"/>
    </row>
    <row r="44" spans="1:12" ht="18.75">
      <c r="A44" s="4">
        <v>43</v>
      </c>
      <c r="B44" s="4" t="s">
        <v>1215</v>
      </c>
      <c r="C44" s="4">
        <v>1835</v>
      </c>
      <c r="D44" s="4" t="str">
        <f>=VLOOKUP(B44,[1]在校生综合信息查询!$A$592:$C$648,2,0)</f>
        <v>25q710201100</v>
      </c>
      <c r="E44" s="24">
        <v>71</v>
      </c>
      <c r="F44" s="24">
        <v>24</v>
      </c>
      <c r="G44" s="24">
        <v>45.5</v>
      </c>
      <c r="H44" s="6">
        <v>60</v>
      </c>
      <c r="I44" s="24">
        <v>51</v>
      </c>
      <c r="J44" s="5">
        <f>=SUM(E44,F44,G44,H44,I44)</f>
        <v>251.5</v>
      </c>
      <c r="K44" s="5">
        <f>=RANK(J44,$J$2:$J$58,0)</f>
        <v>44</v>
      </c>
      <c r="L44" s="5" t="s"/>
    </row>
    <row r="45" spans="1:12" ht="18.75">
      <c r="A45" s="4">
        <v>44</v>
      </c>
      <c r="B45" s="4" t="s">
        <v>1217</v>
      </c>
      <c r="C45" s="4">
        <v>1836</v>
      </c>
      <c r="D45" s="4" t="str">
        <f>=VLOOKUP(B45,[1]在校生综合信息查询!$A$592:$C$648,2,0)</f>
        <v>25q710201101</v>
      </c>
      <c r="E45" s="24">
        <v>69</v>
      </c>
      <c r="F45" s="24">
        <v>86</v>
      </c>
      <c r="G45" s="24">
        <v>46</v>
      </c>
      <c r="H45" s="6">
        <v>65</v>
      </c>
      <c r="I45" s="24">
        <v>69</v>
      </c>
      <c r="J45" s="5">
        <f>=SUM(E45,F45,G45,H45,I45)</f>
        <v>335</v>
      </c>
      <c r="K45" s="5">
        <f>=RANK(J45,$J$2:$J$58,0)</f>
        <v>21</v>
      </c>
      <c r="L45" s="5" t="s"/>
    </row>
    <row r="46" spans="1:12" ht="18.75">
      <c r="A46" s="4">
        <v>45</v>
      </c>
      <c r="B46" s="4" t="s">
        <v>1219</v>
      </c>
      <c r="C46" s="4">
        <v>1837</v>
      </c>
      <c r="D46" s="4" t="str">
        <f>=VLOOKUP(B46,[1]在校生综合信息查询!$A$592:$C$648,2,0)</f>
        <v>25q710201102</v>
      </c>
      <c r="E46" s="24">
        <v>80</v>
      </c>
      <c r="F46" s="24">
        <v>64</v>
      </c>
      <c r="G46" s="24">
        <v>64.5</v>
      </c>
      <c r="H46" s="6">
        <v>59</v>
      </c>
      <c r="I46" s="24">
        <v>51</v>
      </c>
      <c r="J46" s="5">
        <f>=SUM(E46,F46,G46,H46,I46)</f>
        <v>318.5</v>
      </c>
      <c r="K46" s="5">
        <f>=RANK(J46,$J$2:$J$58,0)</f>
        <v>29</v>
      </c>
      <c r="L46" s="5" t="s"/>
    </row>
    <row r="47" spans="1:12" ht="18.75">
      <c r="A47" s="4">
        <v>46</v>
      </c>
      <c r="B47" s="4" t="s">
        <v>1221</v>
      </c>
      <c r="C47" s="4">
        <v>1838</v>
      </c>
      <c r="D47" s="4" t="str">
        <f>=VLOOKUP(B47,[1]在校生综合信息查询!$A$592:$C$648,2,0)</f>
        <v>25q710201103</v>
      </c>
      <c r="E47" s="24">
        <v>95</v>
      </c>
      <c r="F47" s="24">
        <v>31</v>
      </c>
      <c r="G47" s="24">
        <v>51</v>
      </c>
      <c r="H47" s="6">
        <v>70</v>
      </c>
      <c r="I47" s="24">
        <v>72</v>
      </c>
      <c r="J47" s="5">
        <f>=SUM(E47,F47,G47,H47,I47)</f>
        <v>319</v>
      </c>
      <c r="K47" s="5">
        <f>=RANK(J47,$J$2:$J$58,0)</f>
        <v>28</v>
      </c>
      <c r="L47" s="5" t="s"/>
    </row>
    <row r="48" spans="1:12" ht="18.75">
      <c r="A48" s="4">
        <v>47</v>
      </c>
      <c r="B48" s="4" t="s">
        <v>1223</v>
      </c>
      <c r="C48" s="4">
        <v>1846</v>
      </c>
      <c r="D48" s="4" t="str">
        <f>=VLOOKUP(B48,[1]在校生综合信息查询!$A$592:$C$648,2,0)</f>
        <v>25q710201104</v>
      </c>
      <c r="E48" s="24">
        <v>81</v>
      </c>
      <c r="F48" s="24">
        <v>25</v>
      </c>
      <c r="G48" s="24">
        <v>47.5</v>
      </c>
      <c r="H48" s="6">
        <v>44</v>
      </c>
      <c r="I48" s="24">
        <v>42</v>
      </c>
      <c r="J48" s="5">
        <f>=SUM(E48,F48,G48,H48,I48)</f>
        <v>239.5</v>
      </c>
      <c r="K48" s="5">
        <f>=RANK(J48,$J$2:$J$58,0)</f>
        <v>47</v>
      </c>
      <c r="L48" s="5" t="s"/>
    </row>
    <row r="49" spans="1:12" ht="18.75">
      <c r="A49" s="4">
        <v>48</v>
      </c>
      <c r="B49" s="4" t="s">
        <v>1225</v>
      </c>
      <c r="C49" s="4" t="s"/>
      <c r="D49" s="4" t="str">
        <f>=VLOOKUP(B49,[1]在校生综合信息查询!$A$592:$C$648,2,0)</f>
        <v>25q710201105</v>
      </c>
      <c r="E49" s="24">
        <v>86</v>
      </c>
      <c r="F49" s="24">
        <v>28</v>
      </c>
      <c r="G49" s="24">
        <v>37</v>
      </c>
      <c r="H49" s="6">
        <v>75</v>
      </c>
      <c r="I49" s="24">
        <v>61</v>
      </c>
      <c r="J49" s="5">
        <f>=SUM(E49,F49,G49,H49,I49)</f>
        <v>287</v>
      </c>
      <c r="K49" s="5">
        <f>=RANK(J49,$J$2:$J$58,0)</f>
        <v>39</v>
      </c>
      <c r="L49" s="5" t="s"/>
    </row>
    <row r="50" spans="1:12" ht="18.75">
      <c r="A50" s="4">
        <v>49</v>
      </c>
      <c r="B50" s="4" t="s">
        <v>1227</v>
      </c>
      <c r="C50" s="4" t="s"/>
      <c r="D50" s="4" t="str">
        <f>=VLOOKUP(B50,[1]在校生综合信息查询!$A$592:$C$648,2,0)</f>
        <v>25q710201106</v>
      </c>
      <c r="E50" s="24">
        <v>71</v>
      </c>
      <c r="F50" s="24">
        <v>77</v>
      </c>
      <c r="G50" s="24">
        <v>73</v>
      </c>
      <c r="H50" s="6">
        <v>77</v>
      </c>
      <c r="I50" s="24">
        <v>66</v>
      </c>
      <c r="J50" s="5">
        <f>=SUM(E50,F50,G50,H50,I50)</f>
        <v>364</v>
      </c>
      <c r="K50" s="5">
        <f>=RANK(J50,$J$2:$J$58,0)</f>
        <v>6</v>
      </c>
      <c r="L50" s="5" t="s"/>
    </row>
    <row r="51" spans="1:12" ht="18.75">
      <c r="A51" s="4">
        <v>50</v>
      </c>
      <c r="B51" s="4" t="s">
        <v>1229</v>
      </c>
      <c r="C51" s="4" t="s"/>
      <c r="D51" s="4" t="str">
        <f>=VLOOKUP(B51,[1]在校生综合信息查询!$A$592:$C$648,2,0)</f>
        <v>25q710201108</v>
      </c>
      <c r="E51" s="24">
        <v>76</v>
      </c>
      <c r="F51" s="24">
        <v>48</v>
      </c>
      <c r="G51" s="24">
        <v>57</v>
      </c>
      <c r="H51" s="6">
        <v>61</v>
      </c>
      <c r="I51" s="24">
        <v>54</v>
      </c>
      <c r="J51" s="5">
        <f>=SUM(E51,F51,G51,H51,I51)</f>
        <v>296</v>
      </c>
      <c r="K51" s="5">
        <f>=RANK(J51,$J$2:$J$58,0)</f>
        <v>35</v>
      </c>
      <c r="L51" s="5" t="s"/>
    </row>
    <row r="52" spans="1:12" ht="18.75">
      <c r="A52" s="4">
        <v>51</v>
      </c>
      <c r="B52" s="4" t="s">
        <v>1231</v>
      </c>
      <c r="C52" s="4" t="s"/>
      <c r="D52" s="4" t="str">
        <f>=VLOOKUP(B52,[1]在校生综合信息查询!$A$592:$C$648,2,0)</f>
        <v>25q710201109</v>
      </c>
      <c r="E52" s="24">
        <v>85</v>
      </c>
      <c r="F52" s="24">
        <v>51</v>
      </c>
      <c r="G52" s="24">
        <v>52</v>
      </c>
      <c r="H52" s="6">
        <v>79</v>
      </c>
      <c r="I52" s="24">
        <v>57</v>
      </c>
      <c r="J52" s="5">
        <f>=SUM(E52,F52,G52,H52,I52)</f>
        <v>324</v>
      </c>
      <c r="K52" s="5">
        <f>=RANK(J52,$J$2:$J$58,0)</f>
        <v>25</v>
      </c>
      <c r="L52" s="5" t="s"/>
    </row>
    <row r="53" spans="1:12" ht="18.75">
      <c r="A53" s="4">
        <v>52</v>
      </c>
      <c r="B53" s="4" t="s">
        <v>1233</v>
      </c>
      <c r="C53" s="4" t="s"/>
      <c r="D53" s="4" t="str">
        <f>=VLOOKUP(B53,[1]在校生综合信息查询!$A$592:$C$648,2,0)</f>
        <v>25q710201111</v>
      </c>
      <c r="E53" s="24">
        <v>92</v>
      </c>
      <c r="F53" s="24">
        <v>73</v>
      </c>
      <c r="G53" s="24">
        <v>40.5</v>
      </c>
      <c r="H53" s="6">
        <v>76</v>
      </c>
      <c r="I53" s="24">
        <v>61</v>
      </c>
      <c r="J53" s="5">
        <f>=SUM(E53,F53,G53,H53,I53)</f>
        <v>342.5</v>
      </c>
      <c r="K53" s="5">
        <f>=RANK(J53,$J$2:$J$58,0)</f>
        <v>18</v>
      </c>
      <c r="L53" s="5" t="s"/>
    </row>
    <row r="54" spans="1:12" ht="18.75">
      <c r="A54" s="4">
        <v>53</v>
      </c>
      <c r="B54" s="4" t="s">
        <v>1235</v>
      </c>
      <c r="C54" s="4" t="s"/>
      <c r="D54" s="4" t="str">
        <f>=VLOOKUP(B54,[1]在校生综合信息查询!$A$592:$C$648,2,0)</f>
        <v>25q710201112</v>
      </c>
      <c r="E54" s="24">
        <v>97</v>
      </c>
      <c r="F54" s="24">
        <v>64</v>
      </c>
      <c r="G54" s="24">
        <v>69.5</v>
      </c>
      <c r="H54" s="6">
        <v>74</v>
      </c>
      <c r="I54" s="24">
        <v>58</v>
      </c>
      <c r="J54" s="5">
        <f>=SUM(E54,F54,G54,H54,I54)</f>
        <v>362.5</v>
      </c>
      <c r="K54" s="5">
        <f>=RANK(J54,$J$2:$J$58,0)</f>
        <v>7</v>
      </c>
      <c r="L54" s="5" t="s"/>
    </row>
    <row r="55" spans="1:12" ht="18.75">
      <c r="A55" s="4">
        <v>54</v>
      </c>
      <c r="B55" s="4" t="s">
        <v>1237</v>
      </c>
      <c r="C55" s="4" t="s"/>
      <c r="D55" s="4" t="str">
        <f>=VLOOKUP(B55,[1]在校生综合信息查询!$A$592:$C$648,2,0)</f>
        <v>25q710201113</v>
      </c>
      <c r="E55" s="24">
        <v>90</v>
      </c>
      <c r="F55" s="24">
        <v>56</v>
      </c>
      <c r="G55" s="24">
        <v>53</v>
      </c>
      <c r="H55" s="6">
        <v>68</v>
      </c>
      <c r="I55" s="24">
        <v>66</v>
      </c>
      <c r="J55" s="5">
        <f>=SUM(E55,F55,G55,H55,I55)</f>
        <v>333</v>
      </c>
      <c r="K55" s="5">
        <f>=RANK(J55,$J$2:$J$58,0)</f>
        <v>22</v>
      </c>
      <c r="L55" s="5" t="s"/>
    </row>
    <row r="56" spans="1:12" ht="18.75">
      <c r="A56" s="4">
        <v>55</v>
      </c>
      <c r="B56" s="4" t="s">
        <v>1239</v>
      </c>
      <c r="C56" s="4" t="s"/>
      <c r="D56" s="4" t="str">
        <f>=VLOOKUP(B56,[1]在校生综合信息查询!$A$592:$C$648,2,0)</f>
        <v>25q710201115</v>
      </c>
      <c r="E56" s="24">
        <v>58</v>
      </c>
      <c r="F56" s="24">
        <v>48</v>
      </c>
      <c r="G56" s="24">
        <v>36.5</v>
      </c>
      <c r="H56" s="6">
        <v>73</v>
      </c>
      <c r="I56" s="24">
        <v>65</v>
      </c>
      <c r="J56" s="5">
        <f>=SUM(E56,F56,G56,H56,I56)</f>
        <v>280.5</v>
      </c>
      <c r="K56" s="5">
        <f>=RANK(J56,$J$2:$J$58,0)</f>
        <v>41</v>
      </c>
      <c r="L56" s="5" t="s"/>
    </row>
    <row r="57" spans="1:12" ht="18.75">
      <c r="A57" s="4">
        <v>56</v>
      </c>
      <c r="B57" s="4" t="s">
        <v>1241</v>
      </c>
      <c r="C57" s="4" t="s"/>
      <c r="D57" s="4" t="str">
        <f>=VLOOKUP(B57,[1]在校生综合信息查询!$A$592:$C$648,2,0)</f>
        <v>25q710201557</v>
      </c>
      <c r="E57" s="24">
        <v>55</v>
      </c>
      <c r="F57" s="24">
        <v>20</v>
      </c>
      <c r="G57" s="24">
        <v>29</v>
      </c>
      <c r="H57" s="6">
        <v>37</v>
      </c>
      <c r="I57" s="24">
        <v>43</v>
      </c>
      <c r="J57" s="5">
        <f>=SUM(E57,F57,G57,H57,I57)</f>
        <v>184</v>
      </c>
      <c r="K57" s="5">
        <f>=RANK(J57,$J$2:$J$58,0)</f>
        <v>53</v>
      </c>
      <c r="L57" s="5" t="s"/>
    </row>
    <row r="58" spans="1:12">
      <c r="A58" s="4">
        <v>57</v>
      </c>
      <c r="B58" s="4" t="s">
        <v>1243</v>
      </c>
      <c r="C58" s="4" t="s"/>
      <c r="D58" s="4" t="s"/>
      <c r="E58" s="5" t="s"/>
      <c r="F58" s="4" t="s"/>
      <c r="G58" s="5" t="s"/>
      <c r="H58" s="6">
        <v>32</v>
      </c>
      <c r="I58" s="24">
        <v>0</v>
      </c>
      <c r="J58" s="5">
        <f>=SUM(E58,F58,G58,H58,I58)</f>
        <v>32</v>
      </c>
      <c r="K58" s="5">
        <f>=RANK(J58,$J$2:$J$58,0)</f>
        <v>56</v>
      </c>
      <c r="L58" s="5" t="s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/>
  <dimension ref="L53"/>
  <sheetViews>
    <sheetView showGridLines="1" topLeftCell="A40" workbookViewId="0"/>
  </sheetViews>
  <sheetFormatPr defaultColWidth="8.75" defaultRowHeight="14.25"/>
  <cols>
    <col min="1" max="1" width="8.75" style="122"/>
    <col min="2" max="2" width="9.5" style="123"/>
    <col min="3" max="3" width="0" style="123" customWidth="1"/>
    <col min="4" max="4" width="19" style="123" customWidth="1"/>
    <col min="5" max="5" width="8.71094" customWidth="1"/>
    <col min="6" max="6" width="9.71094" customWidth="1"/>
    <col min="7" max="7" width="8.71094" customWidth="1"/>
    <col min="8" max="8" width="15.375" customWidth="1"/>
    <col min="9" max="9" width="22.125" customWidth="1"/>
    <col min="10" max="10" width="9.71094" customWidth="1"/>
    <col min="11" max="11" width="7.71094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857</v>
      </c>
      <c r="I1" s="5" t="s">
        <v>858</v>
      </c>
      <c r="J1" s="5" t="s">
        <v>11</v>
      </c>
      <c r="K1" s="5" t="s">
        <v>12</v>
      </c>
      <c r="L1" s="5" t="s"/>
    </row>
    <row r="2" spans="1:12" ht="18.75">
      <c r="A2" s="4">
        <v>1</v>
      </c>
      <c r="B2" s="4" t="s">
        <v>1244</v>
      </c>
      <c r="C2" s="4">
        <v>1041</v>
      </c>
      <c r="D2" s="4" t="str">
        <f>=VLOOKUP(B2,[1]在校生综合信息查询!$A$649:$C$700,2,0)</f>
        <v>25q710201041</v>
      </c>
      <c r="E2" s="29">
        <v>71</v>
      </c>
      <c r="F2" s="30">
        <v>20</v>
      </c>
      <c r="G2" s="30">
        <v>69</v>
      </c>
      <c r="H2" s="6">
        <v>74</v>
      </c>
      <c r="I2" s="31">
        <v>68</v>
      </c>
      <c r="J2" s="29">
        <v>302</v>
      </c>
      <c r="K2" s="29">
        <v>20</v>
      </c>
      <c r="L2" s="5" t="s"/>
    </row>
    <row r="3" spans="1:12" ht="18.75">
      <c r="A3" s="4">
        <v>2</v>
      </c>
      <c r="B3" s="4" t="s">
        <v>1246</v>
      </c>
      <c r="C3" s="4">
        <v>1034</v>
      </c>
      <c r="D3" s="4" t="str">
        <f>=VLOOKUP(B3,[1]在校生综合信息查询!$A$649:$C$700,2,0)</f>
        <v>25q710201034</v>
      </c>
      <c r="E3" s="32">
        <v>69</v>
      </c>
      <c r="F3" s="33">
        <v>5</v>
      </c>
      <c r="G3" s="33">
        <v>45.5</v>
      </c>
      <c r="H3" s="6">
        <v>74</v>
      </c>
      <c r="I3" s="34">
        <v>67</v>
      </c>
      <c r="J3" s="32">
        <v>191.5</v>
      </c>
      <c r="K3" s="32">
        <v>49</v>
      </c>
      <c r="L3" s="5" t="s"/>
    </row>
    <row r="4" spans="1:12" ht="18.75">
      <c r="A4" s="4">
        <v>3</v>
      </c>
      <c r="B4" s="4" t="s">
        <v>1248</v>
      </c>
      <c r="C4" s="4">
        <v>1051</v>
      </c>
      <c r="D4" s="4" t="str">
        <f>=VLOOKUP(B4,[1]在校生综合信息查询!$A$649:$C$700,2,0)</f>
        <v>25q710201053</v>
      </c>
      <c r="E4" s="32">
        <v>75</v>
      </c>
      <c r="F4" s="33">
        <v>15</v>
      </c>
      <c r="G4" s="33">
        <v>32.5</v>
      </c>
      <c r="H4" s="6">
        <v>38</v>
      </c>
      <c r="I4" s="34">
        <v>42</v>
      </c>
      <c r="J4" s="32">
        <v>202.5</v>
      </c>
      <c r="K4" s="32">
        <v>48</v>
      </c>
      <c r="L4" s="5" t="s"/>
    </row>
    <row r="5" spans="1:12" ht="18.75">
      <c r="A5" s="4">
        <v>4</v>
      </c>
      <c r="B5" s="4" t="s">
        <v>1250</v>
      </c>
      <c r="C5" s="4">
        <v>1025</v>
      </c>
      <c r="D5" s="4" t="str">
        <f>=VLOOKUP(B5,[1]在校生综合信息查询!$A$649:$C$700,2,0)</f>
        <v>25q710201025</v>
      </c>
      <c r="E5" s="32">
        <v>85</v>
      </c>
      <c r="F5" s="33">
        <v>76</v>
      </c>
      <c r="G5" s="33">
        <v>47.5</v>
      </c>
      <c r="H5" s="6">
        <v>86</v>
      </c>
      <c r="I5" s="34">
        <v>69</v>
      </c>
      <c r="J5" s="32">
        <v>363.5</v>
      </c>
      <c r="K5" s="32">
        <v>3</v>
      </c>
      <c r="L5" s="5" t="s"/>
    </row>
    <row r="6" spans="1:12" ht="18.75">
      <c r="A6" s="4">
        <v>5</v>
      </c>
      <c r="B6" s="4" t="s">
        <v>1252</v>
      </c>
      <c r="C6" s="4">
        <v>1047</v>
      </c>
      <c r="D6" s="4" t="str">
        <f>=VLOOKUP(B6,[1]在校生综合信息查询!$A$649:$C$700,2,0)</f>
        <v>25q710201049</v>
      </c>
      <c r="E6" s="32">
        <v>63</v>
      </c>
      <c r="F6" s="33">
        <v>64</v>
      </c>
      <c r="G6" s="33">
        <v>44.5</v>
      </c>
      <c r="H6" s="6">
        <v>80</v>
      </c>
      <c r="I6" s="34">
        <v>75</v>
      </c>
      <c r="J6" s="32">
        <v>326.5</v>
      </c>
      <c r="K6" s="32">
        <v>12</v>
      </c>
      <c r="L6" s="5" t="s"/>
    </row>
    <row r="7" spans="1:12" ht="18.75">
      <c r="A7" s="4">
        <v>6</v>
      </c>
      <c r="B7" s="4" t="s">
        <v>1254</v>
      </c>
      <c r="C7" s="4">
        <v>1024</v>
      </c>
      <c r="D7" s="4" t="str">
        <f>=VLOOKUP(B7,[1]在校生综合信息查询!$A$649:$C$700,2,0)</f>
        <v>25q710201024</v>
      </c>
      <c r="E7" s="32">
        <v>59</v>
      </c>
      <c r="F7" s="33">
        <v>15</v>
      </c>
      <c r="G7" s="33">
        <v>75.5</v>
      </c>
      <c r="H7" s="6">
        <v>62</v>
      </c>
      <c r="I7" s="34">
        <v>51</v>
      </c>
      <c r="J7" s="32">
        <v>262.5</v>
      </c>
      <c r="K7" s="32">
        <v>39</v>
      </c>
      <c r="L7" s="5" t="s"/>
    </row>
    <row r="8" spans="1:12" ht="18.75">
      <c r="A8" s="4">
        <v>7</v>
      </c>
      <c r="B8" s="4" t="s">
        <v>1256</v>
      </c>
      <c r="C8" s="4">
        <v>1029</v>
      </c>
      <c r="D8" s="4" t="str">
        <f>=VLOOKUP(B8,[1]在校生综合信息查询!$A$649:$C$700,2,0)</f>
        <v>25q710201029</v>
      </c>
      <c r="E8" s="32">
        <v>74</v>
      </c>
      <c r="F8" s="33">
        <v>33</v>
      </c>
      <c r="G8" s="33">
        <v>52.5</v>
      </c>
      <c r="H8" s="6">
        <v>73</v>
      </c>
      <c r="I8" s="34">
        <v>84</v>
      </c>
      <c r="J8" s="32">
        <v>316.5</v>
      </c>
      <c r="K8" s="32">
        <v>15</v>
      </c>
      <c r="L8" s="5" t="s"/>
    </row>
    <row r="9" spans="1:12" ht="18.75">
      <c r="A9" s="4">
        <v>8</v>
      </c>
      <c r="B9" s="4" t="s">
        <v>1258</v>
      </c>
      <c r="C9" s="4">
        <v>1014</v>
      </c>
      <c r="D9" s="4" t="str">
        <f>=VLOOKUP(B9,[1]在校生综合信息查询!$A$649:$C$700,2,0)</f>
        <v>25q710201014</v>
      </c>
      <c r="E9" s="32">
        <v>71</v>
      </c>
      <c r="F9" s="33">
        <v>35</v>
      </c>
      <c r="G9" s="33">
        <v>72.5</v>
      </c>
      <c r="H9" s="6">
        <v>75</v>
      </c>
      <c r="I9" s="34">
        <v>70</v>
      </c>
      <c r="J9" s="32">
        <v>323.5</v>
      </c>
      <c r="K9" s="32">
        <v>13</v>
      </c>
      <c r="L9" s="5" t="s"/>
    </row>
    <row r="10" spans="1:12" ht="18.75">
      <c r="A10" s="4">
        <v>9</v>
      </c>
      <c r="B10" s="4" t="s">
        <v>1260</v>
      </c>
      <c r="C10" s="4">
        <v>1018</v>
      </c>
      <c r="D10" s="4" t="str">
        <f>=VLOOKUP(B10,[1]在校生综合信息查询!$A$649:$C$700,2,0)</f>
        <v>25q710201018</v>
      </c>
      <c r="E10" s="32">
        <v>74</v>
      </c>
      <c r="F10" s="33">
        <v>67</v>
      </c>
      <c r="G10" s="33">
        <v>85</v>
      </c>
      <c r="H10" s="6">
        <v>64</v>
      </c>
      <c r="I10" s="34">
        <v>79</v>
      </c>
      <c r="J10" s="32">
        <v>369</v>
      </c>
      <c r="K10" s="32">
        <v>2</v>
      </c>
      <c r="L10" s="5" t="s"/>
    </row>
    <row r="11" spans="1:12" ht="18.75">
      <c r="A11" s="4">
        <v>10</v>
      </c>
      <c r="B11" s="4" t="s">
        <v>1262</v>
      </c>
      <c r="C11" s="4">
        <v>1032</v>
      </c>
      <c r="D11" s="4" t="str">
        <f>=VLOOKUP(B11,[1]在校生综合信息查询!$A$649:$C$700,2,0)</f>
        <v>25q710201032</v>
      </c>
      <c r="E11" s="32">
        <v>85.5</v>
      </c>
      <c r="F11" s="33">
        <v>69</v>
      </c>
      <c r="G11" s="33">
        <v>39</v>
      </c>
      <c r="H11" s="6">
        <v>82</v>
      </c>
      <c r="I11" s="34">
        <v>73</v>
      </c>
      <c r="J11" s="32">
        <v>348.5</v>
      </c>
      <c r="K11" s="32">
        <v>6</v>
      </c>
      <c r="L11" s="5" t="s"/>
    </row>
    <row r="12" spans="1:12" ht="18.75">
      <c r="A12" s="4">
        <v>11</v>
      </c>
      <c r="B12" s="4" t="s">
        <v>1264</v>
      </c>
      <c r="C12" s="4">
        <v>1023</v>
      </c>
      <c r="D12" s="4" t="str">
        <f>=VLOOKUP(B12,[1]在校生综合信息查询!$A$649:$C$700,2,0)</f>
        <v>25q710201023</v>
      </c>
      <c r="E12" s="32">
        <v>75</v>
      </c>
      <c r="F12" s="33">
        <v>24</v>
      </c>
      <c r="G12" s="33">
        <v>44.5</v>
      </c>
      <c r="H12" s="6">
        <v>71</v>
      </c>
      <c r="I12" s="34">
        <v>41</v>
      </c>
      <c r="J12" s="32">
        <v>255.5</v>
      </c>
      <c r="K12" s="32">
        <v>42</v>
      </c>
      <c r="L12" s="5" t="s"/>
    </row>
    <row r="13" spans="1:12" ht="18.75">
      <c r="A13" s="4">
        <v>12</v>
      </c>
      <c r="B13" s="4" t="s">
        <v>1266</v>
      </c>
      <c r="C13" s="4">
        <v>1010</v>
      </c>
      <c r="D13" s="4" t="str">
        <f>=VLOOKUP(B13,[1]在校生综合信息查询!$A$649:$C$700,2,0)</f>
        <v>25q710201010</v>
      </c>
      <c r="E13" s="32">
        <v>70</v>
      </c>
      <c r="F13" s="33">
        <v>10</v>
      </c>
      <c r="G13" s="33">
        <v>25.5</v>
      </c>
      <c r="H13" s="6">
        <v>62</v>
      </c>
      <c r="I13" s="34">
        <v>65</v>
      </c>
      <c r="J13" s="32">
        <v>232.5</v>
      </c>
      <c r="K13" s="32">
        <v>45</v>
      </c>
      <c r="L13" s="5" t="s"/>
    </row>
    <row r="14" spans="1:12" ht="18.75">
      <c r="A14" s="4">
        <v>13</v>
      </c>
      <c r="B14" s="4" t="s">
        <v>1268</v>
      </c>
      <c r="C14" s="4">
        <v>1038</v>
      </c>
      <c r="D14" s="4" t="str">
        <f>=VLOOKUP(B14,[1]在校生综合信息查询!$A$649:$C$700,2,0)</f>
        <v>25q710201038</v>
      </c>
      <c r="E14" s="32">
        <v>87.5</v>
      </c>
      <c r="F14" s="33">
        <v>30</v>
      </c>
      <c r="G14" s="33">
        <v>54</v>
      </c>
      <c r="H14" s="6">
        <v>66</v>
      </c>
      <c r="I14" s="34">
        <v>71</v>
      </c>
      <c r="J14" s="32">
        <v>308.5</v>
      </c>
      <c r="K14" s="32">
        <v>18</v>
      </c>
      <c r="L14" s="5" t="s"/>
    </row>
    <row r="15" spans="1:12" ht="18.75">
      <c r="A15" s="4">
        <v>14</v>
      </c>
      <c r="B15" s="4" t="s">
        <v>1270</v>
      </c>
      <c r="C15" s="4">
        <v>1016</v>
      </c>
      <c r="D15" s="4" t="str">
        <f>=VLOOKUP(B15,[1]在校生综合信息查询!$A$649:$C$700,2,0)</f>
        <v>25q710201016</v>
      </c>
      <c r="E15" s="32">
        <v>73.5</v>
      </c>
      <c r="F15" s="33">
        <v>15</v>
      </c>
      <c r="G15" s="33">
        <v>44</v>
      </c>
      <c r="H15" s="6">
        <v>73</v>
      </c>
      <c r="I15" s="34">
        <v>76</v>
      </c>
      <c r="J15" s="32">
        <v>281.5</v>
      </c>
      <c r="K15" s="32">
        <v>29</v>
      </c>
      <c r="L15" s="5" t="s"/>
    </row>
    <row r="16" spans="1:12" ht="18.75">
      <c r="A16" s="4">
        <v>15</v>
      </c>
      <c r="B16" s="4" t="s">
        <v>1272</v>
      </c>
      <c r="C16" s="4">
        <v>1026</v>
      </c>
      <c r="D16" s="4" t="str">
        <f>=VLOOKUP(B16,[1]在校生综合信息查询!$A$649:$C$700,2,0)</f>
        <v>25q710201026</v>
      </c>
      <c r="E16" s="32">
        <v>82.5</v>
      </c>
      <c r="F16" s="33">
        <v>31</v>
      </c>
      <c r="G16" s="33">
        <v>40.5</v>
      </c>
      <c r="H16" s="6">
        <v>79</v>
      </c>
      <c r="I16" s="34">
        <v>69</v>
      </c>
      <c r="J16" s="32">
        <v>302</v>
      </c>
      <c r="K16" s="32">
        <v>21</v>
      </c>
      <c r="L16" s="5" t="s"/>
    </row>
    <row r="17" spans="1:12" ht="18.75">
      <c r="A17" s="4">
        <v>16</v>
      </c>
      <c r="B17" s="4" t="s">
        <v>1274</v>
      </c>
      <c r="C17" s="4">
        <v>1027</v>
      </c>
      <c r="D17" s="4" t="str">
        <f>=VLOOKUP(B17,[1]在校生综合信息查询!$A$649:$C$700,2,0)</f>
        <v>25q710201027</v>
      </c>
      <c r="E17" s="32">
        <v>76</v>
      </c>
      <c r="F17" s="33">
        <v>21</v>
      </c>
      <c r="G17" s="33">
        <v>88</v>
      </c>
      <c r="H17" s="6">
        <v>76</v>
      </c>
      <c r="I17" s="34">
        <v>75</v>
      </c>
      <c r="J17" s="32">
        <v>336</v>
      </c>
      <c r="K17" s="32">
        <v>9</v>
      </c>
      <c r="L17" s="5" t="s"/>
    </row>
    <row r="18" spans="1:12" ht="18.75">
      <c r="A18" s="4">
        <v>17</v>
      </c>
      <c r="B18" s="4" t="s">
        <v>1276</v>
      </c>
      <c r="C18" s="4">
        <v>1002</v>
      </c>
      <c r="D18" s="4" t="str">
        <f>=VLOOKUP(B18,[1]在校生综合信息查询!$A$649:$C$700,2,0)</f>
        <v>25q710201002</v>
      </c>
      <c r="E18" s="32">
        <v>49.5</v>
      </c>
      <c r="F18" s="33">
        <v>88</v>
      </c>
      <c r="G18" s="33">
        <v>20</v>
      </c>
      <c r="H18" s="6">
        <v>80</v>
      </c>
      <c r="I18" s="34">
        <v>72</v>
      </c>
      <c r="J18" s="32">
        <v>309.5</v>
      </c>
      <c r="K18" s="32">
        <v>17</v>
      </c>
      <c r="L18" s="5" t="s"/>
    </row>
    <row r="19" spans="1:12" ht="18.75">
      <c r="A19" s="4">
        <v>18</v>
      </c>
      <c r="B19" s="4" t="s">
        <v>1278</v>
      </c>
      <c r="C19" s="4">
        <v>1046</v>
      </c>
      <c r="D19" s="4" t="str">
        <f>=VLOOKUP(B19,[1]在校生综合信息查询!$A$649:$C$700,2,0)</f>
        <v>25q710201048</v>
      </c>
      <c r="E19" s="32">
        <v>84</v>
      </c>
      <c r="F19" s="33">
        <v>5</v>
      </c>
      <c r="G19" s="33">
        <v>55.5</v>
      </c>
      <c r="H19" s="6">
        <v>70</v>
      </c>
      <c r="I19" s="34">
        <v>51</v>
      </c>
      <c r="J19" s="32">
        <v>265.5</v>
      </c>
      <c r="K19" s="32">
        <v>36</v>
      </c>
      <c r="L19" s="5" t="s"/>
    </row>
    <row r="20" spans="1:12" ht="18.75">
      <c r="A20" s="4">
        <v>19</v>
      </c>
      <c r="B20" s="4" t="s">
        <v>1280</v>
      </c>
      <c r="C20" s="4">
        <v>1031</v>
      </c>
      <c r="D20" s="4" t="str">
        <f>=VLOOKUP(B20,[1]在校生综合信息查询!$A$649:$C$700,2,0)</f>
        <v>25q710201031</v>
      </c>
      <c r="E20" s="32">
        <v>76</v>
      </c>
      <c r="F20" s="33">
        <v>20</v>
      </c>
      <c r="G20" s="33">
        <v>67</v>
      </c>
      <c r="H20" s="6">
        <v>88</v>
      </c>
      <c r="I20" s="34">
        <v>70</v>
      </c>
      <c r="J20" s="32">
        <v>321</v>
      </c>
      <c r="K20" s="32">
        <v>14</v>
      </c>
      <c r="L20" s="5" t="s"/>
    </row>
    <row r="21" spans="1:12" ht="18.75">
      <c r="A21" s="4">
        <v>20</v>
      </c>
      <c r="B21" s="4" t="s">
        <v>1282</v>
      </c>
      <c r="C21" s="4">
        <v>1042</v>
      </c>
      <c r="D21" s="4" t="str">
        <f>=VLOOKUP(B21,[1]在校生综合信息查询!$A$649:$C$700,2,0)</f>
        <v>25q710201043</v>
      </c>
      <c r="E21" s="32">
        <v>71</v>
      </c>
      <c r="F21" s="33">
        <v>25</v>
      </c>
      <c r="G21" s="33">
        <v>59.5</v>
      </c>
      <c r="H21" s="6">
        <v>75</v>
      </c>
      <c r="I21" s="34">
        <v>68</v>
      </c>
      <c r="J21" s="32">
        <v>298.5</v>
      </c>
      <c r="K21" s="32">
        <v>23</v>
      </c>
      <c r="L21" s="5" t="s"/>
    </row>
    <row r="22" spans="1:12" ht="18.75">
      <c r="A22" s="4">
        <v>21</v>
      </c>
      <c r="B22" s="4" t="s">
        <v>1284</v>
      </c>
      <c r="C22" s="4">
        <v>1039</v>
      </c>
      <c r="D22" s="4" t="str">
        <f>=VLOOKUP(B22,[1]在校生综合信息查询!$A$649:$C$700,2,0)</f>
        <v>25q710201039</v>
      </c>
      <c r="E22" s="32">
        <v>64</v>
      </c>
      <c r="F22" s="33">
        <v>46</v>
      </c>
      <c r="G22" s="33">
        <v>62</v>
      </c>
      <c r="H22" s="6">
        <v>78</v>
      </c>
      <c r="I22" s="34">
        <v>63</v>
      </c>
      <c r="J22" s="32">
        <v>313</v>
      </c>
      <c r="K22" s="32">
        <v>16</v>
      </c>
      <c r="L22" s="5" t="s"/>
    </row>
    <row r="23" spans="1:12" ht="18.75">
      <c r="A23" s="4">
        <v>22</v>
      </c>
      <c r="B23" s="4" t="s">
        <v>1286</v>
      </c>
      <c r="C23" s="4">
        <v>1005</v>
      </c>
      <c r="D23" s="4" t="str">
        <f>=VLOOKUP(B23,[1]在校生综合信息查询!$A$649:$C$700,2,0)</f>
        <v>25q710201005</v>
      </c>
      <c r="E23" s="32">
        <v>64</v>
      </c>
      <c r="F23" s="33">
        <v>20</v>
      </c>
      <c r="G23" s="33">
        <v>36.5</v>
      </c>
      <c r="H23" s="6">
        <v>65</v>
      </c>
      <c r="I23" s="34">
        <v>57</v>
      </c>
      <c r="J23" s="32">
        <v>242.5</v>
      </c>
      <c r="K23" s="32">
        <v>43</v>
      </c>
      <c r="L23" s="5" t="s"/>
    </row>
    <row r="24" spans="1:12" ht="18.75">
      <c r="A24" s="4">
        <v>23</v>
      </c>
      <c r="B24" s="4" t="s">
        <v>1288</v>
      </c>
      <c r="C24" s="4">
        <v>1015</v>
      </c>
      <c r="D24" s="4" t="str">
        <f>=VLOOKUP(B24,[1]在校生综合信息查询!$A$649:$C$700,2,0)</f>
        <v>25q710201015</v>
      </c>
      <c r="E24" s="32">
        <v>59.5</v>
      </c>
      <c r="F24" s="33">
        <v>22</v>
      </c>
      <c r="G24" s="33">
        <v>63.5</v>
      </c>
      <c r="H24" s="6">
        <v>67</v>
      </c>
      <c r="I24" s="34">
        <v>69</v>
      </c>
      <c r="J24" s="32">
        <v>281</v>
      </c>
      <c r="K24" s="32">
        <v>30</v>
      </c>
      <c r="L24" s="5" t="s"/>
    </row>
    <row r="25" spans="1:12" ht="18.75">
      <c r="A25" s="4">
        <v>24</v>
      </c>
      <c r="B25" s="4" t="s">
        <v>1290</v>
      </c>
      <c r="C25" s="4">
        <v>1012</v>
      </c>
      <c r="D25" s="4" t="str">
        <f>=VLOOKUP(B25,[1]在校生综合信息查询!$A$649:$C$700,2,0)</f>
        <v>25q710201012</v>
      </c>
      <c r="E25" s="32">
        <v>70</v>
      </c>
      <c r="F25" s="33">
        <v>32</v>
      </c>
      <c r="G25" s="33">
        <v>43.5</v>
      </c>
      <c r="H25" s="6">
        <v>84</v>
      </c>
      <c r="I25" s="34">
        <v>72</v>
      </c>
      <c r="J25" s="32">
        <v>301.5</v>
      </c>
      <c r="K25" s="32">
        <v>22</v>
      </c>
      <c r="L25" s="5" t="s"/>
    </row>
    <row r="26" spans="1:12" ht="18.75">
      <c r="A26" s="4">
        <v>25</v>
      </c>
      <c r="B26" s="4" t="s">
        <v>1292</v>
      </c>
      <c r="C26" s="4">
        <v>1006</v>
      </c>
      <c r="D26" s="4" t="str">
        <f>=VLOOKUP(B26,[1]在校生综合信息查询!$A$649:$C$700,2,0)</f>
        <v>25q710201006</v>
      </c>
      <c r="E26" s="32">
        <v>58</v>
      </c>
      <c r="F26" s="33">
        <v>20</v>
      </c>
      <c r="G26" s="33">
        <v>32.5</v>
      </c>
      <c r="H26" s="6">
        <v>50</v>
      </c>
      <c r="I26" s="34">
        <v>49</v>
      </c>
      <c r="J26" s="32">
        <v>209.5</v>
      </c>
      <c r="K26" s="32">
        <v>47</v>
      </c>
      <c r="L26" s="5" t="s"/>
    </row>
    <row r="27" spans="1:12" ht="18.75">
      <c r="A27" s="4">
        <v>26</v>
      </c>
      <c r="B27" s="4" t="s">
        <v>1294</v>
      </c>
      <c r="C27" s="4">
        <v>1033</v>
      </c>
      <c r="D27" s="4" t="str">
        <f>=VLOOKUP(B27,[1]在校生综合信息查询!$A$649:$C$700,2,0)</f>
        <v>25q710201033</v>
      </c>
      <c r="E27" s="32">
        <v>75</v>
      </c>
      <c r="F27" s="33">
        <v>27</v>
      </c>
      <c r="G27" s="33">
        <v>51</v>
      </c>
      <c r="H27" s="6">
        <v>76</v>
      </c>
      <c r="I27" s="34">
        <v>65</v>
      </c>
      <c r="J27" s="32">
        <v>294</v>
      </c>
      <c r="K27" s="32">
        <v>25</v>
      </c>
      <c r="L27" s="5" t="s"/>
    </row>
    <row r="28" spans="1:12" ht="18.75">
      <c r="A28" s="4">
        <v>27</v>
      </c>
      <c r="B28" s="4" t="s">
        <v>1296</v>
      </c>
      <c r="C28" s="4">
        <v>1003</v>
      </c>
      <c r="D28" s="4" t="str">
        <f>=VLOOKUP(B28,[1]在校生综合信息查询!$A$649:$C$700,2,0)</f>
        <v>25q710201003</v>
      </c>
      <c r="E28" s="32">
        <v>0</v>
      </c>
      <c r="F28" s="33">
        <v>0</v>
      </c>
      <c r="G28" s="33">
        <v>0</v>
      </c>
      <c r="H28" s="5" t="s"/>
      <c r="I28" s="34">
        <v>0</v>
      </c>
      <c r="J28" s="32">
        <v>0</v>
      </c>
      <c r="K28" s="32">
        <v>50</v>
      </c>
      <c r="L28" s="5" t="s"/>
    </row>
    <row r="29" spans="1:12" ht="18.75">
      <c r="A29" s="4">
        <v>28</v>
      </c>
      <c r="B29" s="4" t="s">
        <v>1298</v>
      </c>
      <c r="C29" s="4">
        <v>1021</v>
      </c>
      <c r="D29" s="4" t="str">
        <f>=VLOOKUP(B29,[1]在校生综合信息查询!$A$649:$C$700,2,0)</f>
        <v>25q710201021</v>
      </c>
      <c r="E29" s="32">
        <v>0</v>
      </c>
      <c r="F29" s="33">
        <v>0</v>
      </c>
      <c r="G29" s="33">
        <v>0</v>
      </c>
      <c r="H29" s="5" t="s"/>
      <c r="I29" s="34">
        <v>0</v>
      </c>
      <c r="J29" s="32">
        <v>0</v>
      </c>
      <c r="K29" s="32">
        <v>51</v>
      </c>
      <c r="L29" s="5" t="s"/>
    </row>
    <row r="30" spans="1:12" ht="18.75">
      <c r="A30" s="4">
        <v>29</v>
      </c>
      <c r="B30" s="4" t="s">
        <v>1300</v>
      </c>
      <c r="C30" s="4">
        <v>1043</v>
      </c>
      <c r="D30" s="4" t="str">
        <f>=VLOOKUP(B30,[1]在校生综合信息查询!$A$649:$C$700,2,0)</f>
        <v>25q710201044</v>
      </c>
      <c r="E30" s="32">
        <v>75</v>
      </c>
      <c r="F30" s="33">
        <v>20</v>
      </c>
      <c r="G30" s="33">
        <v>44.5</v>
      </c>
      <c r="H30" s="6">
        <v>74</v>
      </c>
      <c r="I30" s="34">
        <v>66</v>
      </c>
      <c r="J30" s="32">
        <v>279.5</v>
      </c>
      <c r="K30" s="32">
        <v>31</v>
      </c>
      <c r="L30" s="5" t="s"/>
    </row>
    <row r="31" spans="1:12" ht="18.75">
      <c r="A31" s="4">
        <v>30</v>
      </c>
      <c r="B31" s="4" t="s">
        <v>1302</v>
      </c>
      <c r="C31" s="4">
        <v>1007</v>
      </c>
      <c r="D31" s="4" t="str">
        <f>=VLOOKUP(B31,[1]在校生综合信息查询!$A$649:$C$700,2,0)</f>
        <v>25q710201007</v>
      </c>
      <c r="E31" s="32">
        <v>68</v>
      </c>
      <c r="F31" s="33">
        <v>10</v>
      </c>
      <c r="G31" s="33">
        <v>67.5</v>
      </c>
      <c r="H31" s="6">
        <v>55</v>
      </c>
      <c r="I31" s="34">
        <v>64</v>
      </c>
      <c r="J31" s="32">
        <v>264.5</v>
      </c>
      <c r="K31" s="32">
        <v>37</v>
      </c>
      <c r="L31" s="5" t="s"/>
    </row>
    <row r="32" spans="1:12" ht="18.75">
      <c r="A32" s="4">
        <v>31</v>
      </c>
      <c r="B32" s="4" t="s">
        <v>1304</v>
      </c>
      <c r="C32" s="4">
        <v>1001</v>
      </c>
      <c r="D32" s="4" t="str">
        <f>=VLOOKUP(B32,[1]在校生综合信息查询!$A$649:$C$700,2,0)</f>
        <v>25q710201001</v>
      </c>
      <c r="E32" s="32">
        <v>59.5</v>
      </c>
      <c r="F32" s="33">
        <v>26</v>
      </c>
      <c r="G32" s="33">
        <v>45.5</v>
      </c>
      <c r="H32" s="6">
        <v>82</v>
      </c>
      <c r="I32" s="34">
        <v>66</v>
      </c>
      <c r="J32" s="32">
        <v>279</v>
      </c>
      <c r="K32" s="32">
        <v>32</v>
      </c>
      <c r="L32" s="5" t="s"/>
    </row>
    <row r="33" spans="1:12" ht="18.75">
      <c r="A33" s="4">
        <v>32</v>
      </c>
      <c r="B33" s="4" t="s">
        <v>1306</v>
      </c>
      <c r="C33" s="4">
        <v>1045</v>
      </c>
      <c r="D33" s="4" t="str">
        <f>=VLOOKUP(B33,[1]在校生综合信息查询!$A$649:$C$700,2,0)</f>
        <v>25q710201046</v>
      </c>
      <c r="E33" s="32">
        <v>0</v>
      </c>
      <c r="F33" s="33">
        <v>0</v>
      </c>
      <c r="G33" s="33">
        <v>0</v>
      </c>
      <c r="H33" s="5" t="s"/>
      <c r="I33" s="34">
        <v>0</v>
      </c>
      <c r="J33" s="32">
        <v>0</v>
      </c>
      <c r="K33" s="32">
        <v>52</v>
      </c>
      <c r="L33" s="5" t="s"/>
    </row>
    <row r="34" spans="1:12" ht="18.75">
      <c r="A34" s="4">
        <v>33</v>
      </c>
      <c r="B34" s="4" t="s">
        <v>1308</v>
      </c>
      <c r="C34" s="4">
        <v>1048</v>
      </c>
      <c r="D34" s="4" t="str">
        <f>=VLOOKUP(B34,[1]在校生综合信息查询!$A$649:$C$700,2,0)</f>
        <v>25q710201050</v>
      </c>
      <c r="E34" s="32">
        <v>65.5</v>
      </c>
      <c r="F34" s="33">
        <v>25</v>
      </c>
      <c r="G34" s="33">
        <v>48.5</v>
      </c>
      <c r="H34" s="6">
        <v>65</v>
      </c>
      <c r="I34" s="34">
        <v>65</v>
      </c>
      <c r="J34" s="32">
        <v>269</v>
      </c>
      <c r="K34" s="32">
        <v>35</v>
      </c>
      <c r="L34" s="5" t="s"/>
    </row>
    <row r="35" spans="1:12" ht="18.75">
      <c r="A35" s="4">
        <v>34</v>
      </c>
      <c r="B35" s="4" t="s">
        <v>1310</v>
      </c>
      <c r="C35" s="4">
        <v>1037</v>
      </c>
      <c r="D35" s="4" t="str">
        <f>=VLOOKUP(B35,[1]在校生综合信息查询!$A$649:$C$700,2,0)</f>
        <v>25q710201037</v>
      </c>
      <c r="E35" s="32">
        <v>72</v>
      </c>
      <c r="F35" s="33">
        <v>10</v>
      </c>
      <c r="G35" s="33">
        <v>45.5</v>
      </c>
      <c r="H35" s="6">
        <v>83</v>
      </c>
      <c r="I35" s="34">
        <v>66</v>
      </c>
      <c r="J35" s="32">
        <v>276.5</v>
      </c>
      <c r="K35" s="32">
        <v>33</v>
      </c>
      <c r="L35" s="5" t="s"/>
    </row>
    <row r="36" spans="1:12" ht="18.75">
      <c r="A36" s="4">
        <v>35</v>
      </c>
      <c r="B36" s="15" t="s">
        <v>1312</v>
      </c>
      <c r="C36" s="4">
        <v>1036</v>
      </c>
      <c r="D36" s="4" t="str">
        <f>=VLOOKUP(B36,[1]在校生综合信息查询!$A$649:$C$700,2,0)</f>
        <v>25q710201009</v>
      </c>
      <c r="E36" s="32">
        <v>58</v>
      </c>
      <c r="F36" s="33">
        <v>107</v>
      </c>
      <c r="G36" s="33">
        <v>15.5</v>
      </c>
      <c r="H36" s="6">
        <v>84</v>
      </c>
      <c r="I36" s="34">
        <v>74</v>
      </c>
      <c r="J36" s="35">
        <v>338.5</v>
      </c>
      <c r="K36" s="35">
        <v>8</v>
      </c>
      <c r="L36" s="18" t="s"/>
    </row>
    <row r="37" spans="1:12" ht="18.75">
      <c r="A37" s="4">
        <v>36</v>
      </c>
      <c r="B37" s="15" t="s">
        <v>1314</v>
      </c>
      <c r="C37" s="4">
        <v>1050</v>
      </c>
      <c r="D37" s="4" t="str">
        <f>=VLOOKUP(B37,[1]在校生综合信息查询!$A$649:$C$700,2,0)</f>
        <v>25q710201241</v>
      </c>
      <c r="E37" s="32">
        <v>82.5</v>
      </c>
      <c r="F37" s="33">
        <v>11</v>
      </c>
      <c r="G37" s="33">
        <v>72.5</v>
      </c>
      <c r="H37" s="6">
        <v>62</v>
      </c>
      <c r="I37" s="34">
        <v>64</v>
      </c>
      <c r="J37" s="35">
        <v>292</v>
      </c>
      <c r="K37" s="35">
        <v>26</v>
      </c>
      <c r="L37" s="18" t="s"/>
    </row>
    <row r="38" spans="1:12" ht="18.75">
      <c r="A38" s="4">
        <v>37</v>
      </c>
      <c r="B38" s="15" t="s">
        <v>1315</v>
      </c>
      <c r="C38" s="4">
        <v>1017</v>
      </c>
      <c r="D38" s="4" t="str">
        <f>=VLOOKUP(B38,[1]在校生综合信息查询!$A$649:$C$700,2,0)</f>
        <v>25q710201030</v>
      </c>
      <c r="E38" s="32">
        <v>72.5</v>
      </c>
      <c r="F38" s="33">
        <v>10</v>
      </c>
      <c r="G38" s="33">
        <v>40.5</v>
      </c>
      <c r="H38" s="6">
        <v>74</v>
      </c>
      <c r="I38" s="34">
        <v>63</v>
      </c>
      <c r="J38" s="35">
        <v>260</v>
      </c>
      <c r="K38" s="35">
        <v>40</v>
      </c>
      <c r="L38" s="18" t="s"/>
    </row>
    <row r="39" spans="1:12" ht="18.75">
      <c r="A39" s="4">
        <v>38</v>
      </c>
      <c r="B39" s="15" t="s">
        <v>1317</v>
      </c>
      <c r="C39" s="4">
        <v>1040</v>
      </c>
      <c r="D39" s="4" t="str">
        <f>=VLOOKUP(B39,[1]在校生综合信息查询!$A$649:$C$700,2,0)</f>
        <v>25q710201011</v>
      </c>
      <c r="E39" s="32">
        <v>84</v>
      </c>
      <c r="F39" s="33">
        <v>0</v>
      </c>
      <c r="G39" s="33">
        <v>39</v>
      </c>
      <c r="H39" s="6">
        <v>76</v>
      </c>
      <c r="I39" s="34">
        <v>61</v>
      </c>
      <c r="J39" s="35">
        <v>260</v>
      </c>
      <c r="K39" s="35">
        <v>41</v>
      </c>
      <c r="L39" s="18" t="s"/>
    </row>
    <row r="40" spans="1:12" ht="18.75">
      <c r="A40" s="4">
        <v>39</v>
      </c>
      <c r="B40" s="15" t="s">
        <v>1319</v>
      </c>
      <c r="C40" s="4">
        <v>1022</v>
      </c>
      <c r="D40" s="4" t="str">
        <f>=VLOOKUP(B40,[1]在校生综合信息查询!$A$649:$C$700,2,0)</f>
        <v>25q710201019</v>
      </c>
      <c r="E40" s="32">
        <v>76</v>
      </c>
      <c r="F40" s="33">
        <v>26</v>
      </c>
      <c r="G40" s="33">
        <v>74</v>
      </c>
      <c r="H40" s="6">
        <v>81</v>
      </c>
      <c r="I40" s="34">
        <v>73</v>
      </c>
      <c r="J40" s="35">
        <v>330</v>
      </c>
      <c r="K40" s="35">
        <v>10</v>
      </c>
      <c r="L40" s="18" t="s"/>
    </row>
    <row r="41" spans="1:12" ht="18.75">
      <c r="A41" s="4">
        <v>40</v>
      </c>
      <c r="B41" s="15" t="s">
        <v>1321</v>
      </c>
      <c r="C41" s="4">
        <v>1004</v>
      </c>
      <c r="D41" s="4" t="str">
        <f>=VLOOKUP(B41,[1]在校生综合信息查询!$A$649:$C$700,2,0)</f>
        <v>25q710201008</v>
      </c>
      <c r="E41" s="32">
        <v>59</v>
      </c>
      <c r="F41" s="33">
        <v>19</v>
      </c>
      <c r="G41" s="33">
        <v>29.5</v>
      </c>
      <c r="H41" s="6">
        <v>88</v>
      </c>
      <c r="I41" s="34">
        <v>69</v>
      </c>
      <c r="J41" s="35">
        <v>264.5</v>
      </c>
      <c r="K41" s="35">
        <v>38</v>
      </c>
      <c r="L41" s="18" t="s"/>
    </row>
    <row r="42" spans="1:12" ht="18.75">
      <c r="A42" s="4">
        <v>41</v>
      </c>
      <c r="B42" s="15" t="s">
        <v>1323</v>
      </c>
      <c r="C42" s="4">
        <v>1028</v>
      </c>
      <c r="D42" s="4" t="str">
        <f>=VLOOKUP(B42,[1]在校生综合信息查询!$A$649:$C$700,2,0)</f>
        <v>25q710201035</v>
      </c>
      <c r="E42" s="32">
        <v>67</v>
      </c>
      <c r="F42" s="33">
        <v>26</v>
      </c>
      <c r="G42" s="33">
        <v>57.5</v>
      </c>
      <c r="H42" s="6">
        <v>69</v>
      </c>
      <c r="I42" s="34">
        <v>0</v>
      </c>
      <c r="J42" s="35">
        <v>219.5</v>
      </c>
      <c r="K42" s="35">
        <v>46</v>
      </c>
      <c r="L42" s="18" t="s"/>
    </row>
    <row r="43" spans="1:12" ht="18.75">
      <c r="A43" s="4">
        <v>42</v>
      </c>
      <c r="B43" s="4" t="s">
        <v>1325</v>
      </c>
      <c r="C43" s="4">
        <v>1049</v>
      </c>
      <c r="D43" s="4" t="str">
        <f>=VLOOKUP(B43,[1]在校生综合信息查询!$A$649:$C$700,2,0)</f>
        <v>25q710201045</v>
      </c>
      <c r="E43" s="32">
        <v>74</v>
      </c>
      <c r="F43" s="33">
        <v>25</v>
      </c>
      <c r="G43" s="33">
        <v>57.5</v>
      </c>
      <c r="H43" s="6">
        <v>74</v>
      </c>
      <c r="I43" s="34">
        <v>60</v>
      </c>
      <c r="J43" s="35">
        <v>290.5</v>
      </c>
      <c r="K43" s="35">
        <v>27</v>
      </c>
      <c r="L43" s="18" t="s"/>
    </row>
    <row r="44" spans="1:12" ht="18.75">
      <c r="A44" s="4">
        <v>43</v>
      </c>
      <c r="B44" s="4" t="s">
        <v>1327</v>
      </c>
      <c r="C44" s="4">
        <v>1020</v>
      </c>
      <c r="D44" s="4" t="str">
        <f>=VLOOKUP(B44,[1]在校生综合信息查询!$A$649:$C$700,2,0)</f>
        <v>25q710201013</v>
      </c>
      <c r="E44" s="32">
        <v>61</v>
      </c>
      <c r="F44" s="33">
        <v>52</v>
      </c>
      <c r="G44" s="33">
        <v>54.5</v>
      </c>
      <c r="H44" s="6">
        <v>81</v>
      </c>
      <c r="I44" s="34">
        <v>81</v>
      </c>
      <c r="J44" s="35">
        <v>329.5</v>
      </c>
      <c r="K44" s="35">
        <v>11</v>
      </c>
      <c r="L44" s="18" t="s"/>
    </row>
    <row r="45" spans="1:12" ht="18.75">
      <c r="A45" s="4">
        <v>44</v>
      </c>
      <c r="B45" s="4" t="s">
        <v>1329</v>
      </c>
      <c r="C45" s="4" t="s"/>
      <c r="D45" s="4" t="str">
        <f>=VLOOKUP(B45,[1]在校生综合信息查询!$A$649:$C$700,2,0)</f>
        <v>25q710201036</v>
      </c>
      <c r="E45" s="32">
        <v>86</v>
      </c>
      <c r="F45" s="33">
        <v>62</v>
      </c>
      <c r="G45" s="33">
        <v>40.5</v>
      </c>
      <c r="H45" s="6">
        <v>70</v>
      </c>
      <c r="I45" s="34">
        <v>83</v>
      </c>
      <c r="J45" s="35">
        <v>341.5</v>
      </c>
      <c r="K45" s="35">
        <v>7</v>
      </c>
      <c r="L45" s="18" t="s"/>
    </row>
    <row r="46" spans="1:12" ht="18.75">
      <c r="A46" s="4">
        <v>45</v>
      </c>
      <c r="B46" s="4" t="s">
        <v>1331</v>
      </c>
      <c r="C46" s="4" t="s"/>
      <c r="D46" s="4" t="str">
        <f>=VLOOKUP(B46,[1]在校生综合信息查询!$A$649:$C$700,2,0)</f>
        <v>25q710201052</v>
      </c>
      <c r="E46" s="32">
        <v>77</v>
      </c>
      <c r="F46" s="33">
        <v>25</v>
      </c>
      <c r="G46" s="33">
        <v>53</v>
      </c>
      <c r="H46" s="6">
        <v>51</v>
      </c>
      <c r="I46" s="34">
        <v>63</v>
      </c>
      <c r="J46" s="35">
        <v>269</v>
      </c>
      <c r="K46" s="35">
        <v>34</v>
      </c>
      <c r="L46" s="18" t="s"/>
    </row>
    <row r="47" spans="1:12" ht="18.75">
      <c r="A47" s="4">
        <v>46</v>
      </c>
      <c r="B47" s="4" t="s">
        <v>1333</v>
      </c>
      <c r="C47" s="4" t="s"/>
      <c r="D47" s="4" t="str">
        <f>=VLOOKUP(B47,[1]在校生综合信息查询!$A$649:$C$700,2,0)</f>
        <v>25q710201017</v>
      </c>
      <c r="E47" s="32">
        <v>68</v>
      </c>
      <c r="F47" s="33">
        <v>48</v>
      </c>
      <c r="G47" s="33">
        <v>39</v>
      </c>
      <c r="H47" s="6">
        <v>68</v>
      </c>
      <c r="I47" s="34">
        <v>74</v>
      </c>
      <c r="J47" s="35">
        <v>297</v>
      </c>
      <c r="K47" s="35">
        <v>24</v>
      </c>
      <c r="L47" s="18" t="s"/>
    </row>
    <row r="48" spans="1:12" ht="18.75">
      <c r="A48" s="4">
        <v>47</v>
      </c>
      <c r="B48" s="4" t="s">
        <v>1335</v>
      </c>
      <c r="C48" s="4" t="s"/>
      <c r="D48" s="4" t="str">
        <f>=VLOOKUP(B48,[1]在校生综合信息查询!$A$649:$C$700,2,0)</f>
        <v>25q710201040</v>
      </c>
      <c r="E48" s="32">
        <v>56</v>
      </c>
      <c r="F48" s="33">
        <v>10</v>
      </c>
      <c r="G48" s="33">
        <v>55</v>
      </c>
      <c r="H48" s="6">
        <v>66</v>
      </c>
      <c r="I48" s="34">
        <v>53</v>
      </c>
      <c r="J48" s="35">
        <v>240</v>
      </c>
      <c r="K48" s="35">
        <v>44</v>
      </c>
      <c r="L48" s="18" t="s"/>
    </row>
    <row r="49" spans="1:12" ht="18.75">
      <c r="A49" s="4">
        <v>48</v>
      </c>
      <c r="B49" s="4" t="s">
        <v>1337</v>
      </c>
      <c r="C49" s="4" t="s"/>
      <c r="D49" s="4" t="str">
        <f>=VLOOKUP(B49,[1]在校生综合信息查询!$A$649:$C$700,2,0)</f>
        <v>25q710201022</v>
      </c>
      <c r="E49" s="32">
        <v>70</v>
      </c>
      <c r="F49" s="33">
        <v>55</v>
      </c>
      <c r="G49" s="33">
        <v>67.5</v>
      </c>
      <c r="H49" s="6">
        <v>84</v>
      </c>
      <c r="I49" s="34">
        <v>77</v>
      </c>
      <c r="J49" s="35">
        <v>353.5</v>
      </c>
      <c r="K49" s="35">
        <v>4</v>
      </c>
      <c r="L49" s="18" t="s"/>
    </row>
    <row r="50" spans="1:12" ht="18.75">
      <c r="A50" s="4">
        <v>49</v>
      </c>
      <c r="B50" s="4" t="s">
        <v>1339</v>
      </c>
      <c r="C50" s="4" t="s"/>
      <c r="D50" s="4" t="str">
        <f>=VLOOKUP(B50,[1]在校生综合信息查询!$A$649:$C$700,2,0)</f>
        <v>25q710201004</v>
      </c>
      <c r="E50" s="32">
        <v>69</v>
      </c>
      <c r="F50" s="33">
        <v>30</v>
      </c>
      <c r="G50" s="33">
        <v>42.5</v>
      </c>
      <c r="H50" s="6">
        <v>82</v>
      </c>
      <c r="I50" s="34">
        <v>61</v>
      </c>
      <c r="J50" s="35">
        <v>284.5</v>
      </c>
      <c r="K50" s="35">
        <v>28</v>
      </c>
      <c r="L50" s="18" t="s"/>
    </row>
    <row r="51" spans="1:12" ht="18.75">
      <c r="A51" s="4">
        <v>50</v>
      </c>
      <c r="B51" s="4" t="s">
        <v>1341</v>
      </c>
      <c r="C51" s="4" t="s"/>
      <c r="D51" s="4" t="str">
        <f>=VLOOKUP(B51,[1]在校生综合信息查询!$A$649:$C$700,2,0)</f>
        <v>25q710201028</v>
      </c>
      <c r="E51" s="32">
        <v>87</v>
      </c>
      <c r="F51" s="33">
        <v>57</v>
      </c>
      <c r="G51" s="33">
        <v>68</v>
      </c>
      <c r="H51" s="6">
        <v>76</v>
      </c>
      <c r="I51" s="34">
        <v>62</v>
      </c>
      <c r="J51" s="35">
        <v>350</v>
      </c>
      <c r="K51" s="35">
        <v>5</v>
      </c>
      <c r="L51" s="18" t="s"/>
    </row>
    <row r="52" spans="1:12" ht="18.75">
      <c r="A52" s="4">
        <v>51</v>
      </c>
      <c r="B52" s="4" t="s">
        <v>1343</v>
      </c>
      <c r="C52" s="4" t="s"/>
      <c r="D52" s="4" t="str">
        <f>=VLOOKUP(B52,[1]在校生综合信息查询!$A$649:$C$700,2,0)</f>
        <v>25q710201051</v>
      </c>
      <c r="E52" s="32">
        <v>83</v>
      </c>
      <c r="F52" s="33">
        <v>107</v>
      </c>
      <c r="G52" s="33">
        <v>52.5</v>
      </c>
      <c r="H52" s="6">
        <v>72</v>
      </c>
      <c r="I52" s="34">
        <v>76</v>
      </c>
      <c r="J52" s="35">
        <v>390.5</v>
      </c>
      <c r="K52" s="35">
        <v>1</v>
      </c>
      <c r="L52" s="18" t="s"/>
    </row>
    <row r="53" spans="1:12" ht="18.75">
      <c r="A53" s="4">
        <v>52</v>
      </c>
      <c r="B53" s="4" t="s">
        <v>1345</v>
      </c>
      <c r="C53" s="4" t="s"/>
      <c r="D53" s="4" t="str">
        <f>=VLOOKUP(B53,[1]在校生综合信息查询!$A$649:$C$700,2,0)</f>
        <v>25q710201020</v>
      </c>
      <c r="E53" s="32">
        <v>71</v>
      </c>
      <c r="F53" s="33">
        <v>20</v>
      </c>
      <c r="G53" s="33">
        <v>66.5</v>
      </c>
      <c r="H53" s="6">
        <v>75</v>
      </c>
      <c r="I53" s="34">
        <v>71</v>
      </c>
      <c r="J53" s="35">
        <v>303.5</v>
      </c>
      <c r="K53" s="35">
        <v>19</v>
      </c>
      <c r="L53" s="18" t="s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/>
  <dimension ref="J49"/>
  <sheetViews>
    <sheetView showGridLines="1" topLeftCell="A31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5" max="7" width="8.75" style="123"/>
    <col min="8" max="8" width="13" style="123" customWidth="1"/>
    <col min="9" max="9" width="19.5" style="123" customWidth="1"/>
    <col min="10" max="10" width="20.75" style="123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1347</v>
      </c>
      <c r="I1" s="4" t="s">
        <v>106</v>
      </c>
      <c r="J1" s="4" t="s">
        <v>108</v>
      </c>
      <c r="K1" s="5" t="s">
        <v>11</v>
      </c>
      <c r="L1" s="5" t="s">
        <v>12</v>
      </c>
    </row>
    <row r="2" spans="1:12" ht="18.75">
      <c r="A2" s="4">
        <v>1</v>
      </c>
      <c r="B2" s="4" t="s">
        <v>1348</v>
      </c>
      <c r="C2" s="4">
        <v>1177</v>
      </c>
      <c r="D2" s="4" t="str">
        <f>=VLOOKUP(B2,[1]在校生综合信息查询!$A$701:$C$752,2,0)</f>
        <v>25q740101070</v>
      </c>
      <c r="E2" s="12">
        <v>42</v>
      </c>
      <c r="F2" s="12">
        <v>24</v>
      </c>
      <c r="G2" s="12">
        <v>34</v>
      </c>
      <c r="H2" s="12">
        <v>33</v>
      </c>
      <c r="I2" s="12">
        <v>31.5</v>
      </c>
      <c r="J2" s="12">
        <v>32.5</v>
      </c>
      <c r="K2" s="5" t="s"/>
      <c r="L2" s="5" t="s"/>
    </row>
    <row r="3" spans="1:12" ht="18.75">
      <c r="A3" s="4">
        <v>2</v>
      </c>
      <c r="B3" s="4" t="s">
        <v>1350</v>
      </c>
      <c r="C3" s="4">
        <v>1146</v>
      </c>
      <c r="D3" s="4" t="str">
        <f>=VLOOKUP(B3,[1]在校生综合信息查询!$A$701:$C$752,2,0)</f>
        <v>25q740101008</v>
      </c>
      <c r="E3" s="12">
        <v>14</v>
      </c>
      <c r="F3" s="12">
        <v>12</v>
      </c>
      <c r="G3" s="12">
        <v>23</v>
      </c>
      <c r="H3" s="12">
        <v>29.5</v>
      </c>
      <c r="I3" s="12">
        <v>22.5</v>
      </c>
      <c r="J3" s="12">
        <v>31.5</v>
      </c>
      <c r="K3" s="5" t="s"/>
      <c r="L3" s="5" t="s"/>
    </row>
    <row r="4" spans="1:12" ht="18.75">
      <c r="A4" s="4">
        <v>3</v>
      </c>
      <c r="B4" s="4" t="s">
        <v>1352</v>
      </c>
      <c r="C4" s="4">
        <v>1165</v>
      </c>
      <c r="D4" s="4" t="str">
        <f>=VLOOKUP(B4,[1]在校生综合信息查询!$A$701:$C$752,2,0)</f>
        <v>25q740101034</v>
      </c>
      <c r="E4" s="12">
        <v>37</v>
      </c>
      <c r="F4" s="12">
        <v>15</v>
      </c>
      <c r="G4" s="12">
        <v>24.5</v>
      </c>
      <c r="H4" s="12">
        <v>41</v>
      </c>
      <c r="I4" s="12">
        <v>48</v>
      </c>
      <c r="J4" s="12">
        <v>51</v>
      </c>
      <c r="K4" s="5" t="s"/>
      <c r="L4" s="5" t="s"/>
    </row>
    <row r="5" spans="1:12" ht="18.75">
      <c r="A5" s="4">
        <v>4</v>
      </c>
      <c r="B5" s="4" t="s">
        <v>1354</v>
      </c>
      <c r="C5" s="4">
        <v>1147</v>
      </c>
      <c r="D5" s="4" t="str">
        <f>=VLOOKUP(B5,[1]在校生综合信息查询!$A$701:$C$752,2,0)</f>
        <v>25q740101009</v>
      </c>
      <c r="E5" s="12">
        <v>40</v>
      </c>
      <c r="F5" s="12">
        <v>32</v>
      </c>
      <c r="G5" s="12">
        <v>33</v>
      </c>
      <c r="H5" s="12">
        <v>57.5</v>
      </c>
      <c r="I5" s="12">
        <v>40</v>
      </c>
      <c r="J5" s="12">
        <v>42</v>
      </c>
      <c r="K5" s="5" t="s"/>
      <c r="L5" s="5" t="s"/>
    </row>
    <row r="6" spans="1:12" ht="18.75">
      <c r="A6" s="4">
        <v>5</v>
      </c>
      <c r="B6" s="4" t="s">
        <v>1356</v>
      </c>
      <c r="C6" s="4">
        <v>1183</v>
      </c>
      <c r="D6" s="4" t="str">
        <f>=VLOOKUP(B6,[1]在校生综合信息查询!$A$701:$C$752,2,0)</f>
        <v>25q740101024</v>
      </c>
      <c r="E6" s="12">
        <v>26</v>
      </c>
      <c r="F6" s="12">
        <v>16</v>
      </c>
      <c r="G6" s="12">
        <v>18</v>
      </c>
      <c r="H6" s="12">
        <v>34</v>
      </c>
      <c r="I6" s="12">
        <v>27</v>
      </c>
      <c r="J6" s="12">
        <v>33.5</v>
      </c>
      <c r="K6" s="5" t="s"/>
      <c r="L6" s="5" t="s"/>
    </row>
    <row r="7" spans="1:12" ht="18.75">
      <c r="A7" s="4">
        <v>6</v>
      </c>
      <c r="B7" s="4" t="s">
        <v>1358</v>
      </c>
      <c r="C7" s="4">
        <v>1148</v>
      </c>
      <c r="D7" s="4" t="str">
        <f>=VLOOKUP(B7,[1]在校生综合信息查询!$A$701:$C$752,2,0)</f>
        <v>25q740101010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36.5</v>
      </c>
      <c r="K7" s="5" t="s"/>
      <c r="L7" s="5" t="s"/>
    </row>
    <row r="8" spans="1:12" ht="18.75">
      <c r="A8" s="4">
        <v>7</v>
      </c>
      <c r="B8" s="4" t="s">
        <v>1360</v>
      </c>
      <c r="C8" s="4">
        <v>1174</v>
      </c>
      <c r="D8" s="4" t="str">
        <f>=VLOOKUP(B8,[1]在校生综合信息查询!$A$701:$C$752,2,0)</f>
        <v>25q740101047</v>
      </c>
      <c r="E8" s="12">
        <v>25</v>
      </c>
      <c r="F8" s="12">
        <v>24</v>
      </c>
      <c r="G8" s="12">
        <v>19</v>
      </c>
      <c r="H8" s="12">
        <v>37</v>
      </c>
      <c r="I8" s="12">
        <v>53</v>
      </c>
      <c r="J8" s="12">
        <v>43</v>
      </c>
      <c r="K8" s="5" t="s"/>
      <c r="L8" s="5" t="s"/>
    </row>
    <row r="9" spans="1:12" ht="18.75">
      <c r="A9" s="4">
        <v>8</v>
      </c>
      <c r="B9" s="4" t="s">
        <v>1362</v>
      </c>
      <c r="C9" s="4">
        <v>1149</v>
      </c>
      <c r="D9" s="4" t="str">
        <f>=VLOOKUP(B9,[1]在校生综合信息查询!$A$701:$C$752,2,0)</f>
        <v>25q740101011</v>
      </c>
      <c r="E9" s="12">
        <v>50</v>
      </c>
      <c r="F9" s="12">
        <v>20</v>
      </c>
      <c r="G9" s="12">
        <v>25.5</v>
      </c>
      <c r="H9" s="12">
        <v>39.5</v>
      </c>
      <c r="I9" s="12">
        <v>27</v>
      </c>
      <c r="J9" s="12">
        <v>41.5</v>
      </c>
      <c r="K9" s="5" t="s"/>
      <c r="L9" s="5" t="s"/>
    </row>
    <row r="10" spans="1:12" ht="18.75">
      <c r="A10" s="4">
        <v>9</v>
      </c>
      <c r="B10" s="4" t="s">
        <v>1364</v>
      </c>
      <c r="C10" s="4">
        <v>1151</v>
      </c>
      <c r="D10" s="4" t="str">
        <f>=VLOOKUP(B10,[1]在校生综合信息查询!$A$701:$C$752,2,0)</f>
        <v>25q740101013</v>
      </c>
      <c r="E10" s="12">
        <v>37</v>
      </c>
      <c r="F10" s="12">
        <v>4</v>
      </c>
      <c r="G10" s="12">
        <v>27</v>
      </c>
      <c r="H10" s="12">
        <v>24.5</v>
      </c>
      <c r="I10" s="12">
        <v>30</v>
      </c>
      <c r="J10" s="12">
        <v>7.5</v>
      </c>
      <c r="K10" s="5" t="s"/>
      <c r="L10" s="5" t="s"/>
    </row>
    <row r="11" spans="1:12" ht="18.75">
      <c r="A11" s="4">
        <v>11</v>
      </c>
      <c r="B11" s="4" t="s">
        <v>1366</v>
      </c>
      <c r="C11" s="4">
        <v>1171</v>
      </c>
      <c r="D11" s="4" t="str">
        <f>=VLOOKUP(B11,[1]在校生综合信息查询!$A$701:$C$752,2,0)</f>
        <v>25q740101044</v>
      </c>
      <c r="E11" s="12">
        <v>6</v>
      </c>
      <c r="F11" s="12">
        <v>12</v>
      </c>
      <c r="G11" s="12">
        <v>18</v>
      </c>
      <c r="H11" s="12">
        <v>32</v>
      </c>
      <c r="I11" s="12">
        <v>36.5</v>
      </c>
      <c r="J11" s="12">
        <v>21</v>
      </c>
      <c r="K11" s="5" t="s"/>
      <c r="L11" s="5" t="s"/>
    </row>
    <row r="12" spans="1:12" ht="18.75">
      <c r="A12" s="4">
        <v>12</v>
      </c>
      <c r="B12" s="4" t="s">
        <v>1368</v>
      </c>
      <c r="C12" s="4">
        <v>1189</v>
      </c>
      <c r="D12" s="4" t="e">
        <f>=VLOOKUP(B12,[1]在校生综合信息查询!$A$701:$C$752,2,0)</f>
        <v>#N/A</v>
      </c>
      <c r="E12" s="12">
        <v>6</v>
      </c>
      <c r="F12" s="12">
        <v>12</v>
      </c>
      <c r="G12" s="12">
        <v>17.5</v>
      </c>
      <c r="H12" s="12">
        <v>32</v>
      </c>
      <c r="I12" s="12">
        <v>31.5</v>
      </c>
      <c r="J12" s="12">
        <v>12.5</v>
      </c>
      <c r="K12" s="5" t="s"/>
      <c r="L12" s="5" t="s"/>
    </row>
    <row r="13" spans="1:12" ht="18.75">
      <c r="A13" s="4">
        <v>13</v>
      </c>
      <c r="B13" s="4" t="s">
        <v>1369</v>
      </c>
      <c r="C13" s="4">
        <v>1186</v>
      </c>
      <c r="D13" s="4" t="str">
        <f>=VLOOKUP(B13,[1]在校生综合信息查询!$A$701:$C$752,2,0)</f>
        <v>25q740101003</v>
      </c>
      <c r="E13" s="12">
        <v>15</v>
      </c>
      <c r="F13" s="12">
        <v>0</v>
      </c>
      <c r="G13" s="12">
        <v>23</v>
      </c>
      <c r="H13" s="12">
        <v>42.5</v>
      </c>
      <c r="I13" s="12">
        <v>29.5</v>
      </c>
      <c r="J13" s="12">
        <v>43.5</v>
      </c>
      <c r="K13" s="5" t="s"/>
      <c r="L13" s="5" t="s"/>
    </row>
    <row r="14" spans="1:12" ht="18.75">
      <c r="A14" s="4">
        <v>14</v>
      </c>
      <c r="B14" s="4" t="s">
        <v>1371</v>
      </c>
      <c r="C14" s="4">
        <v>1163</v>
      </c>
      <c r="D14" s="4" t="str">
        <f>=VLOOKUP(B14,[1]在校生综合信息查询!$A$701:$C$752,2,0)</f>
        <v>25q740101032</v>
      </c>
      <c r="E14" s="12">
        <v>69</v>
      </c>
      <c r="F14" s="12">
        <v>24</v>
      </c>
      <c r="G14" s="12">
        <v>37</v>
      </c>
      <c r="H14" s="12">
        <v>49</v>
      </c>
      <c r="I14" s="12">
        <v>34.5</v>
      </c>
      <c r="J14" s="12">
        <v>52</v>
      </c>
      <c r="K14" s="5" t="s"/>
      <c r="L14" s="5" t="s"/>
    </row>
    <row r="15" spans="1:12" ht="18.75">
      <c r="A15" s="4">
        <v>15</v>
      </c>
      <c r="B15" s="4" t="s">
        <v>1373</v>
      </c>
      <c r="C15" s="4">
        <v>1173</v>
      </c>
      <c r="D15" s="4" t="str">
        <f>=VLOOKUP(B15,[1]在校生综合信息查询!$A$701:$C$752,2,0)</f>
        <v>25q740101046</v>
      </c>
      <c r="E15" s="12">
        <v>29</v>
      </c>
      <c r="F15" s="12">
        <v>16</v>
      </c>
      <c r="G15" s="12">
        <v>21</v>
      </c>
      <c r="H15" s="12">
        <v>34</v>
      </c>
      <c r="I15" s="12">
        <v>24</v>
      </c>
      <c r="J15" s="12">
        <v>27</v>
      </c>
      <c r="K15" s="5" t="s"/>
      <c r="L15" s="5" t="s"/>
    </row>
    <row r="16" spans="1:12" ht="18.75">
      <c r="A16" s="4">
        <v>16</v>
      </c>
      <c r="B16" s="4" t="s">
        <v>1375</v>
      </c>
      <c r="C16" s="4">
        <v>1167</v>
      </c>
      <c r="D16" s="4" t="str">
        <f>=VLOOKUP(B16,[1]在校生综合信息查询!$A$701:$C$752,2,0)</f>
        <v>25q740101037</v>
      </c>
      <c r="E16" s="12">
        <v>27</v>
      </c>
      <c r="F16" s="12">
        <v>12</v>
      </c>
      <c r="G16" s="12">
        <v>17.5</v>
      </c>
      <c r="H16" s="12">
        <v>29</v>
      </c>
      <c r="I16" s="12">
        <v>30</v>
      </c>
      <c r="J16" s="12">
        <v>36.5</v>
      </c>
      <c r="K16" s="5" t="s"/>
      <c r="L16" s="5" t="s"/>
    </row>
    <row r="17" spans="1:12" ht="18.75">
      <c r="A17" s="4">
        <v>17</v>
      </c>
      <c r="B17" s="4" t="s">
        <v>1377</v>
      </c>
      <c r="C17" s="4">
        <v>1166</v>
      </c>
      <c r="D17" s="4" t="str">
        <f>=VLOOKUP(B17,[1]在校生综合信息查询!$A$701:$C$752,2,0)</f>
        <v>25q740101036</v>
      </c>
      <c r="E17" s="12">
        <v>63</v>
      </c>
      <c r="F17" s="12">
        <v>20</v>
      </c>
      <c r="G17" s="12">
        <v>58</v>
      </c>
      <c r="H17" s="12">
        <v>48.5</v>
      </c>
      <c r="I17" s="12">
        <v>65.5</v>
      </c>
      <c r="J17" s="12">
        <v>41.5</v>
      </c>
      <c r="K17" s="5" t="s"/>
      <c r="L17" s="5" t="s"/>
    </row>
    <row r="18" spans="1:12" ht="18.75">
      <c r="A18" s="4">
        <v>18</v>
      </c>
      <c r="B18" s="4" t="s">
        <v>1379</v>
      </c>
      <c r="C18" s="4">
        <v>1152</v>
      </c>
      <c r="D18" s="4" t="str">
        <f>=VLOOKUP(B18,[1]在校生综合信息查询!$A$701:$C$752,2,0)</f>
        <v>25q740101015</v>
      </c>
      <c r="E18" s="12">
        <v>52</v>
      </c>
      <c r="F18" s="12">
        <v>16</v>
      </c>
      <c r="G18" s="12">
        <v>29</v>
      </c>
      <c r="H18" s="12">
        <v>49</v>
      </c>
      <c r="I18" s="12">
        <v>33.5</v>
      </c>
      <c r="J18" s="12">
        <v>32.5</v>
      </c>
      <c r="K18" s="5" t="s"/>
      <c r="L18" s="5" t="s"/>
    </row>
    <row r="19" spans="1:12" ht="18.75">
      <c r="A19" s="4">
        <v>19</v>
      </c>
      <c r="B19" s="4" t="s">
        <v>1381</v>
      </c>
      <c r="C19" s="4">
        <v>1170</v>
      </c>
      <c r="D19" s="4" t="str">
        <f>=VLOOKUP(B19,[1]在校生综合信息查询!$A$701:$C$752,2,0)</f>
        <v>25q740101041</v>
      </c>
      <c r="E19" s="12">
        <v>58</v>
      </c>
      <c r="F19" s="12">
        <v>20</v>
      </c>
      <c r="G19" s="12">
        <v>26.5</v>
      </c>
      <c r="H19" s="12">
        <v>78.5</v>
      </c>
      <c r="I19" s="12">
        <v>82.5</v>
      </c>
      <c r="J19" s="12">
        <v>68</v>
      </c>
      <c r="K19" s="5" t="s"/>
      <c r="L19" s="5" t="s"/>
    </row>
    <row r="20" spans="1:12" ht="18.75">
      <c r="A20" s="4">
        <v>20</v>
      </c>
      <c r="B20" s="4" t="s">
        <v>1383</v>
      </c>
      <c r="C20" s="4">
        <v>1145</v>
      </c>
      <c r="D20" s="4" t="str">
        <f>=VLOOKUP(B20,[1]在校生综合信息查询!$A$701:$C$752,2,0)</f>
        <v>24q710103168</v>
      </c>
      <c r="E20" s="12">
        <v>27</v>
      </c>
      <c r="F20" s="12">
        <v>24</v>
      </c>
      <c r="G20" s="12">
        <v>32.5</v>
      </c>
      <c r="H20" s="12">
        <v>30</v>
      </c>
      <c r="I20" s="12">
        <v>36.5</v>
      </c>
      <c r="J20" s="12">
        <v>18.5</v>
      </c>
      <c r="K20" s="5" t="s"/>
      <c r="L20" s="5" t="s"/>
    </row>
    <row r="21" spans="1:12" ht="18.75">
      <c r="A21" s="4">
        <v>21</v>
      </c>
      <c r="B21" s="4" t="s">
        <v>1385</v>
      </c>
      <c r="C21" s="4">
        <v>1162</v>
      </c>
      <c r="D21" s="4" t="str">
        <f>=VLOOKUP(B21,[1]在校生综合信息查询!$A$701:$C$752,2,0)</f>
        <v>25q740101030</v>
      </c>
      <c r="E21" s="12">
        <v>16</v>
      </c>
      <c r="F21" s="12">
        <v>8</v>
      </c>
      <c r="G21" s="12">
        <v>16.5</v>
      </c>
      <c r="H21" s="12">
        <v>27.5</v>
      </c>
      <c r="I21" s="12">
        <v>36</v>
      </c>
      <c r="J21" s="12">
        <v>39.5</v>
      </c>
      <c r="K21" s="5" t="s"/>
      <c r="L21" s="5" t="s"/>
    </row>
    <row r="22" spans="1:12" ht="18.75">
      <c r="A22" s="4">
        <v>22</v>
      </c>
      <c r="B22" s="4" t="s">
        <v>1387</v>
      </c>
      <c r="C22" s="4">
        <v>1164</v>
      </c>
      <c r="D22" s="4" t="str">
        <f>=VLOOKUP(B22,[1]在校生综合信息查询!$A$701:$C$752,2,0)</f>
        <v>25q740101033</v>
      </c>
      <c r="E22" s="12">
        <v>6</v>
      </c>
      <c r="F22" s="12">
        <v>12</v>
      </c>
      <c r="G22" s="12">
        <v>19</v>
      </c>
      <c r="H22" s="12">
        <v>35</v>
      </c>
      <c r="I22" s="12">
        <v>0</v>
      </c>
      <c r="J22" s="4" t="s"/>
      <c r="K22" s="5" t="s"/>
      <c r="L22" s="5" t="s"/>
    </row>
    <row r="23" spans="1:12" ht="18.75">
      <c r="A23" s="4">
        <v>23</v>
      </c>
      <c r="B23" s="4" t="s">
        <v>1389</v>
      </c>
      <c r="C23" s="4">
        <v>1168</v>
      </c>
      <c r="D23" s="4" t="str">
        <f>=VLOOKUP(B23,[1]在校生综合信息查询!$A$701:$C$752,2,0)</f>
        <v>25q740101038</v>
      </c>
      <c r="E23" s="12">
        <v>69</v>
      </c>
      <c r="F23" s="12">
        <v>24</v>
      </c>
      <c r="G23" s="12">
        <v>15</v>
      </c>
      <c r="H23" s="12">
        <v>56</v>
      </c>
      <c r="I23" s="12">
        <v>65.5</v>
      </c>
      <c r="J23" s="12">
        <v>44.5</v>
      </c>
      <c r="K23" s="5" t="s"/>
      <c r="L23" s="5" t="s"/>
    </row>
    <row r="24" spans="1:12" ht="18.75">
      <c r="A24" s="4">
        <v>24</v>
      </c>
      <c r="B24" s="4" t="s">
        <v>1391</v>
      </c>
      <c r="C24" s="4">
        <v>1176</v>
      </c>
      <c r="D24" s="4" t="str">
        <f>=VLOOKUP(B24,[1]在校生综合信息查询!$A$701:$C$752,2,0)</f>
        <v>25q740101035</v>
      </c>
      <c r="E24" s="12">
        <v>53</v>
      </c>
      <c r="F24" s="12">
        <v>25</v>
      </c>
      <c r="G24" s="12">
        <v>46.5</v>
      </c>
      <c r="H24" s="12">
        <v>43</v>
      </c>
      <c r="I24" s="12">
        <v>37</v>
      </c>
      <c r="J24" s="12">
        <v>55.5</v>
      </c>
      <c r="K24" s="5" t="s"/>
      <c r="L24" s="5" t="s"/>
    </row>
    <row r="25" spans="1:12" ht="18.75">
      <c r="A25" s="4">
        <v>25</v>
      </c>
      <c r="B25" s="4" t="s">
        <v>1393</v>
      </c>
      <c r="C25" s="4">
        <v>1160</v>
      </c>
      <c r="D25" s="4" t="str">
        <f>=VLOOKUP(B25,[1]在校生综合信息查询!$A$701:$C$752,2,0)</f>
        <v>25q740101026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4" t="s"/>
      <c r="K25" s="5" t="s"/>
      <c r="L25" s="5" t="s"/>
    </row>
    <row r="26" spans="1:12" ht="18.75">
      <c r="A26" s="4">
        <v>26</v>
      </c>
      <c r="B26" s="4" t="s">
        <v>1395</v>
      </c>
      <c r="C26" s="4">
        <v>1157</v>
      </c>
      <c r="D26" s="4" t="str">
        <f>=VLOOKUP(B26,[1]在校生综合信息查询!$A$701:$C$752,2,0)</f>
        <v>25q740101021</v>
      </c>
      <c r="E26" s="12">
        <v>9</v>
      </c>
      <c r="F26" s="12">
        <v>20</v>
      </c>
      <c r="G26" s="12">
        <v>25</v>
      </c>
      <c r="H26" s="12">
        <v>40</v>
      </c>
      <c r="I26" s="12">
        <v>10.5</v>
      </c>
      <c r="J26" s="12">
        <v>31</v>
      </c>
      <c r="K26" s="5" t="s"/>
      <c r="L26" s="5" t="s"/>
    </row>
    <row r="27" spans="1:12" ht="18.75">
      <c r="A27" s="4">
        <v>27</v>
      </c>
      <c r="B27" s="4" t="s">
        <v>1397</v>
      </c>
      <c r="C27" s="4">
        <v>1154</v>
      </c>
      <c r="D27" s="4" t="str">
        <f>=VLOOKUP(B27,[1]在校生综合信息查询!$A$701:$C$752,2,0)</f>
        <v>25q740101017</v>
      </c>
      <c r="E27" s="12">
        <v>9</v>
      </c>
      <c r="F27" s="12">
        <v>20</v>
      </c>
      <c r="G27" s="12">
        <v>17.5</v>
      </c>
      <c r="H27" s="12">
        <v>28</v>
      </c>
      <c r="I27" s="12">
        <v>25.5</v>
      </c>
      <c r="J27" s="12">
        <v>35</v>
      </c>
      <c r="K27" s="5" t="s"/>
      <c r="L27" s="5" t="s"/>
    </row>
    <row r="28" spans="1:12" ht="18.75">
      <c r="A28" s="4">
        <v>28</v>
      </c>
      <c r="B28" s="4" t="s">
        <v>1399</v>
      </c>
      <c r="C28" s="4">
        <v>1178</v>
      </c>
      <c r="D28" s="4" t="str">
        <f>=VLOOKUP(B28,[1]在校生综合信息查询!$A$701:$C$752,2,0)</f>
        <v>25q740101007</v>
      </c>
      <c r="E28" s="12">
        <v>44</v>
      </c>
      <c r="F28" s="12">
        <v>28</v>
      </c>
      <c r="G28" s="12">
        <v>20.5</v>
      </c>
      <c r="H28" s="12">
        <v>45.5</v>
      </c>
      <c r="I28" s="12">
        <v>39</v>
      </c>
      <c r="J28" s="12">
        <v>30.5</v>
      </c>
      <c r="K28" s="5" t="s"/>
      <c r="L28" s="5" t="s"/>
    </row>
    <row r="29" spans="1:12" ht="18.75">
      <c r="A29" s="4">
        <v>29</v>
      </c>
      <c r="B29" s="4" t="s">
        <v>1401</v>
      </c>
      <c r="C29" s="4">
        <v>1179</v>
      </c>
      <c r="D29" s="4" t="str">
        <f>=VLOOKUP(B29,[1]在校生综合信息查询!$A$701:$C$752,2,0)</f>
        <v>25q740101062</v>
      </c>
      <c r="E29" s="12">
        <v>3</v>
      </c>
      <c r="F29" s="12">
        <v>24</v>
      </c>
      <c r="G29" s="12">
        <v>20.5</v>
      </c>
      <c r="H29" s="12">
        <v>30.5</v>
      </c>
      <c r="I29" s="12">
        <v>0</v>
      </c>
      <c r="J29" s="12">
        <v>31.5</v>
      </c>
      <c r="K29" s="5" t="s"/>
      <c r="L29" s="5" t="s"/>
    </row>
    <row r="30" spans="1:12" ht="18.75">
      <c r="A30" s="4">
        <v>30</v>
      </c>
      <c r="B30" s="4" t="s">
        <v>1403</v>
      </c>
      <c r="C30" s="4">
        <v>1153</v>
      </c>
      <c r="D30" s="4" t="str">
        <f>=VLOOKUP(B30,[1]在校生综合信息查询!$A$701:$C$752,2,0)</f>
        <v>25q740101016</v>
      </c>
      <c r="E30" s="12">
        <v>57</v>
      </c>
      <c r="F30" s="12">
        <v>24</v>
      </c>
      <c r="G30" s="12">
        <v>51</v>
      </c>
      <c r="H30" s="12">
        <v>42.5</v>
      </c>
      <c r="I30" s="12">
        <v>30.5</v>
      </c>
      <c r="J30" s="12">
        <v>36.5</v>
      </c>
      <c r="K30" s="5" t="s"/>
      <c r="L30" s="5" t="s"/>
    </row>
    <row r="31" spans="1:12" ht="18.75">
      <c r="A31" s="4">
        <v>31</v>
      </c>
      <c r="B31" s="4" t="s">
        <v>1405</v>
      </c>
      <c r="C31" s="4">
        <v>1191</v>
      </c>
      <c r="D31" s="4" t="e">
        <f>=VLOOKUP(B31,[1]在校生综合信息查询!$A$701:$C$752,2,0)</f>
        <v>#N/A</v>
      </c>
      <c r="E31" s="12">
        <v>6</v>
      </c>
      <c r="F31" s="12">
        <v>0</v>
      </c>
      <c r="G31" s="12">
        <v>27.5</v>
      </c>
      <c r="H31" s="4" t="s"/>
      <c r="I31" s="12">
        <v>0</v>
      </c>
      <c r="J31" s="4" t="s"/>
      <c r="K31" s="5" t="s"/>
      <c r="L31" s="5" t="s"/>
    </row>
    <row r="32" spans="1:12" ht="18.75">
      <c r="A32" s="4">
        <v>32</v>
      </c>
      <c r="B32" s="4" t="s">
        <v>1406</v>
      </c>
      <c r="C32" s="4">
        <v>1150</v>
      </c>
      <c r="D32" s="4" t="str">
        <f>=VLOOKUP(B32,[1]在校生综合信息查询!$A$701:$C$752,2,0)</f>
        <v>25q740101012</v>
      </c>
      <c r="E32" s="12">
        <v>70</v>
      </c>
      <c r="F32" s="12">
        <v>46</v>
      </c>
      <c r="G32" s="12">
        <v>62.5</v>
      </c>
      <c r="H32" s="12">
        <v>59.5</v>
      </c>
      <c r="I32" s="12">
        <v>52.5</v>
      </c>
      <c r="J32" s="12">
        <v>41.5</v>
      </c>
      <c r="K32" s="5" t="s"/>
      <c r="L32" s="5" t="s"/>
    </row>
    <row r="33" spans="1:12" ht="18.75">
      <c r="A33" s="4">
        <v>33</v>
      </c>
      <c r="B33" s="4" t="s">
        <v>1408</v>
      </c>
      <c r="C33" s="4">
        <v>1155</v>
      </c>
      <c r="D33" s="4" t="str">
        <f>=VLOOKUP(B33,[1]在校生综合信息查询!$A$701:$C$752,2,0)</f>
        <v>25q740101018</v>
      </c>
      <c r="E33" s="12">
        <v>12</v>
      </c>
      <c r="F33" s="12">
        <v>20</v>
      </c>
      <c r="G33" s="12">
        <v>21</v>
      </c>
      <c r="H33" s="12">
        <v>17.5</v>
      </c>
      <c r="I33" s="12">
        <v>22.5</v>
      </c>
      <c r="J33" s="12">
        <v>21.5</v>
      </c>
      <c r="K33" s="5" t="s"/>
      <c r="L33" s="5" t="s"/>
    </row>
    <row r="34" spans="1:12" ht="18.75">
      <c r="A34" s="4">
        <v>34</v>
      </c>
      <c r="B34" s="4" t="s">
        <v>1410</v>
      </c>
      <c r="C34" s="4">
        <v>1185</v>
      </c>
      <c r="D34" s="4" t="str">
        <f>=VLOOKUP(B34,[1]在校生综合信息查询!$A$701:$C$752,2,0)</f>
        <v>25q740101005</v>
      </c>
      <c r="E34" s="12">
        <v>35</v>
      </c>
      <c r="F34" s="12">
        <v>12</v>
      </c>
      <c r="G34" s="12">
        <v>23</v>
      </c>
      <c r="H34" s="12">
        <v>43</v>
      </c>
      <c r="I34" s="12">
        <v>31.5</v>
      </c>
      <c r="J34" s="12">
        <v>31.5</v>
      </c>
      <c r="K34" s="5" t="s"/>
      <c r="L34" s="5" t="s"/>
    </row>
    <row r="35" spans="1:12" ht="18.75">
      <c r="A35" s="4">
        <v>35</v>
      </c>
      <c r="B35" s="4" t="s">
        <v>1412</v>
      </c>
      <c r="C35" s="4">
        <v>1159</v>
      </c>
      <c r="D35" s="4" t="str">
        <f>=VLOOKUP(B35,[1]在校生综合信息查询!$A$701:$C$752,2,0)</f>
        <v>25q740101020</v>
      </c>
      <c r="E35" s="12">
        <v>61</v>
      </c>
      <c r="F35" s="12">
        <v>28</v>
      </c>
      <c r="G35" s="12">
        <v>36.5</v>
      </c>
      <c r="H35" s="12">
        <v>74.5</v>
      </c>
      <c r="I35" s="12">
        <v>79</v>
      </c>
      <c r="J35" s="12">
        <v>54.5</v>
      </c>
      <c r="K35" s="5" t="s"/>
      <c r="L35" s="5" t="s"/>
    </row>
    <row r="36" spans="1:12" ht="18.75">
      <c r="A36" s="4">
        <v>36</v>
      </c>
      <c r="B36" s="4" t="s">
        <v>1414</v>
      </c>
      <c r="C36" s="4">
        <v>1169</v>
      </c>
      <c r="D36" s="4" t="str">
        <f>=VLOOKUP(B36,[1]在校生综合信息查询!$A$701:$C$752,2,0)</f>
        <v>202513010130</v>
      </c>
      <c r="E36" s="12">
        <v>17</v>
      </c>
      <c r="F36" s="12">
        <v>12</v>
      </c>
      <c r="G36" s="12">
        <v>25</v>
      </c>
      <c r="H36" s="12">
        <v>34</v>
      </c>
      <c r="I36" s="12">
        <v>25</v>
      </c>
      <c r="J36" s="12">
        <v>12</v>
      </c>
      <c r="K36" s="5" t="s"/>
      <c r="L36" s="5" t="s"/>
    </row>
    <row r="37" spans="1:12" ht="18.75">
      <c r="A37" s="4">
        <v>37</v>
      </c>
      <c r="B37" s="4" t="s">
        <v>1416</v>
      </c>
      <c r="C37" s="4">
        <v>1158</v>
      </c>
      <c r="D37" s="4" t="str">
        <f>=VLOOKUP(B37,[1]在校生综合信息查询!$A$701:$C$752,2,0)</f>
        <v>25q740101001</v>
      </c>
      <c r="E37" s="12">
        <v>30</v>
      </c>
      <c r="F37" s="12">
        <v>24</v>
      </c>
      <c r="G37" s="12">
        <v>22</v>
      </c>
      <c r="H37" s="12">
        <v>40</v>
      </c>
      <c r="I37" s="12">
        <v>31.5</v>
      </c>
      <c r="J37" s="12">
        <v>47.5</v>
      </c>
      <c r="K37" s="5" t="s"/>
      <c r="L37" s="5" t="s"/>
    </row>
    <row r="38" spans="1:12" ht="18.75">
      <c r="A38" s="4">
        <v>38</v>
      </c>
      <c r="B38" s="4" t="s">
        <v>1418</v>
      </c>
      <c r="C38" s="4">
        <v>1180</v>
      </c>
      <c r="D38" s="4" t="str">
        <f>=VLOOKUP(B38,[1]在校生综合信息查询!$A$701:$C$752,2,0)</f>
        <v>25q740101001</v>
      </c>
      <c r="E38" s="12">
        <v>12</v>
      </c>
      <c r="F38" s="12">
        <v>12</v>
      </c>
      <c r="G38" s="12">
        <v>23</v>
      </c>
      <c r="H38" s="12">
        <v>34.5</v>
      </c>
      <c r="I38" s="12">
        <v>33.5</v>
      </c>
      <c r="J38" s="12">
        <v>33</v>
      </c>
      <c r="K38" s="5" t="s"/>
      <c r="L38" s="5" t="s"/>
    </row>
    <row r="39" spans="1:12" ht="18.75">
      <c r="A39" s="4">
        <v>39</v>
      </c>
      <c r="B39" s="4" t="s">
        <v>1419</v>
      </c>
      <c r="C39" s="4" t="s"/>
      <c r="D39" s="4" t="str">
        <f>=VLOOKUP(B39,[1]在校生综合信息查询!$A$701:$C$752,2,0)</f>
        <v>25q740101045</v>
      </c>
      <c r="E39" s="12">
        <v>15</v>
      </c>
      <c r="F39" s="12">
        <v>12</v>
      </c>
      <c r="G39" s="12">
        <v>12.5</v>
      </c>
      <c r="H39" s="12">
        <v>29.5</v>
      </c>
      <c r="I39" s="12">
        <v>33</v>
      </c>
      <c r="J39" s="12">
        <v>25</v>
      </c>
      <c r="K39" s="5" t="s"/>
      <c r="L39" s="5" t="s"/>
    </row>
    <row r="40" spans="1:12" ht="18.75">
      <c r="A40" s="4">
        <v>40</v>
      </c>
      <c r="B40" s="4" t="s">
        <v>1421</v>
      </c>
      <c r="C40" s="4" t="s"/>
      <c r="D40" s="4" t="str">
        <f>=VLOOKUP(B40,[1]在校生综合信息查询!$A$701:$C$752,2,0)</f>
        <v>25q740101012</v>
      </c>
      <c r="E40" s="12">
        <v>35</v>
      </c>
      <c r="F40" s="12">
        <v>20</v>
      </c>
      <c r="G40" s="12">
        <v>24</v>
      </c>
      <c r="H40" s="12">
        <v>31</v>
      </c>
      <c r="I40" s="12">
        <v>27</v>
      </c>
      <c r="J40" s="12">
        <v>34</v>
      </c>
      <c r="K40" s="5" t="s"/>
      <c r="L40" s="5" t="s"/>
    </row>
    <row r="41" spans="1:12" ht="18.75">
      <c r="A41" s="4">
        <v>41</v>
      </c>
      <c r="B41" s="4" t="s">
        <v>1422</v>
      </c>
      <c r="C41" s="4" t="s"/>
      <c r="D41" s="4" t="str">
        <f>=VLOOKUP(B41,[1]在校生综合信息查询!$A$701:$C$752,2,0)</f>
        <v>25q740101016</v>
      </c>
      <c r="E41" s="12">
        <v>50</v>
      </c>
      <c r="F41" s="12">
        <v>12</v>
      </c>
      <c r="G41" s="12">
        <v>23</v>
      </c>
      <c r="H41" s="12">
        <v>33.5</v>
      </c>
      <c r="I41" s="12">
        <v>28.5</v>
      </c>
      <c r="J41" s="12">
        <v>28</v>
      </c>
      <c r="K41" s="5" t="s"/>
      <c r="L41" s="5" t="s"/>
    </row>
    <row r="42" spans="1:12" ht="18.75">
      <c r="A42" s="4">
        <v>42</v>
      </c>
      <c r="B42" s="4" t="s">
        <v>1423</v>
      </c>
      <c r="C42" s="4" t="s"/>
      <c r="D42" s="4" t="str">
        <f>=VLOOKUP(B42,[1]在校生综合信息查询!$A$701:$C$752,2,0)</f>
        <v>25q740101027</v>
      </c>
      <c r="E42" s="12">
        <v>6</v>
      </c>
      <c r="F42" s="12">
        <v>16</v>
      </c>
      <c r="G42" s="12">
        <v>17.5</v>
      </c>
      <c r="H42" s="12">
        <v>32</v>
      </c>
      <c r="I42" s="12">
        <v>38.5</v>
      </c>
      <c r="J42" s="12">
        <v>36.5</v>
      </c>
      <c r="K42" s="5" t="s"/>
      <c r="L42" s="5" t="s"/>
    </row>
    <row r="43" spans="1:12" ht="18.75">
      <c r="A43" s="4">
        <v>43</v>
      </c>
      <c r="B43" s="4" t="s">
        <v>1425</v>
      </c>
      <c r="C43" s="4" t="s"/>
      <c r="D43" s="4" t="str">
        <f>=VLOOKUP(B43,[1]在校生综合信息查询!$A$701:$C$752,2,0)</f>
        <v>25q740101052</v>
      </c>
      <c r="E43" s="12">
        <v>81</v>
      </c>
      <c r="F43" s="12">
        <v>20</v>
      </c>
      <c r="G43" s="12">
        <v>43.5</v>
      </c>
      <c r="H43" s="12">
        <v>58</v>
      </c>
      <c r="I43" s="12">
        <v>68</v>
      </c>
      <c r="J43" s="12">
        <v>57</v>
      </c>
      <c r="K43" s="5" t="s"/>
      <c r="L43" s="5" t="s"/>
    </row>
    <row r="44" spans="1:12" ht="18.75">
      <c r="A44" s="4">
        <v>44</v>
      </c>
      <c r="B44" s="4" t="s">
        <v>1427</v>
      </c>
      <c r="C44" s="4" t="s"/>
      <c r="D44" s="4" t="str">
        <f>=VLOOKUP(B44,[1]在校生综合信息查询!$A$701:$C$752,2,0)</f>
        <v>25q740101025</v>
      </c>
      <c r="E44" s="12">
        <v>58</v>
      </c>
      <c r="F44" s="12">
        <v>16</v>
      </c>
      <c r="G44" s="12">
        <v>35.5</v>
      </c>
      <c r="H44" s="12">
        <v>45.5</v>
      </c>
      <c r="I44" s="12">
        <v>26</v>
      </c>
      <c r="J44" s="12">
        <v>37</v>
      </c>
      <c r="K44" s="5" t="s"/>
      <c r="L44" s="5" t="s"/>
    </row>
    <row r="45" spans="1:12" ht="18.75">
      <c r="A45" s="4">
        <v>45</v>
      </c>
      <c r="B45" s="4" t="s">
        <v>1429</v>
      </c>
      <c r="C45" s="4" t="s"/>
      <c r="D45" s="4" t="str">
        <f>=VLOOKUP(B45,[1]在校生综合信息查询!$A$701:$C$752,2,0)</f>
        <v>25q740101040</v>
      </c>
      <c r="E45" s="12">
        <v>78</v>
      </c>
      <c r="F45" s="12">
        <v>12</v>
      </c>
      <c r="G45" s="12">
        <v>33.5</v>
      </c>
      <c r="H45" s="12">
        <v>44.5</v>
      </c>
      <c r="I45" s="12">
        <v>35</v>
      </c>
      <c r="J45" s="12">
        <v>35.5</v>
      </c>
      <c r="K45" s="5" t="s"/>
      <c r="L45" s="5" t="s"/>
    </row>
    <row r="46" spans="1:12" ht="18.75">
      <c r="A46" s="4">
        <v>46</v>
      </c>
      <c r="B46" s="4" t="s">
        <v>1431</v>
      </c>
      <c r="C46" s="4" t="s"/>
      <c r="D46" s="4" t="str">
        <f>=VLOOKUP(B46,[1]在校生综合信息查询!$A$701:$C$752,2,0)</f>
        <v>25q740101022</v>
      </c>
      <c r="E46" s="12">
        <v>28</v>
      </c>
      <c r="F46" s="12">
        <v>20</v>
      </c>
      <c r="G46" s="12">
        <v>13</v>
      </c>
      <c r="H46" s="12">
        <v>33</v>
      </c>
      <c r="I46" s="12">
        <v>31.5</v>
      </c>
      <c r="J46" s="12">
        <v>34.5</v>
      </c>
      <c r="K46" s="5" t="s"/>
      <c r="L46" s="5" t="s"/>
    </row>
    <row r="47" spans="1:12" ht="18.75">
      <c r="A47" s="4">
        <v>47</v>
      </c>
      <c r="B47" s="4" t="s">
        <v>1433</v>
      </c>
      <c r="C47" s="4" t="s"/>
      <c r="D47" s="4" t="str">
        <f>=VLOOKUP(B47,[1]在校生综合信息查询!$A$701:$C$752,2,0)</f>
        <v>25q740101006</v>
      </c>
      <c r="E47" s="12">
        <v>47</v>
      </c>
      <c r="F47" s="12">
        <v>20</v>
      </c>
      <c r="G47" s="12">
        <v>73.5</v>
      </c>
      <c r="H47" s="12">
        <v>55.5</v>
      </c>
      <c r="I47" s="12">
        <v>36</v>
      </c>
      <c r="J47" s="12">
        <v>40.5</v>
      </c>
      <c r="K47" s="5" t="s"/>
      <c r="L47" s="5" t="s"/>
    </row>
    <row r="48" spans="1:10">
      <c r="A48" s="13">
        <v>48</v>
      </c>
      <c r="B48" s="8" t="s">
        <v>1435</v>
      </c>
      <c r="G48" s="14" t="s"/>
      <c r="H48" s="14">
        <v>21</v>
      </c>
      <c r="I48" s="14">
        <v>30</v>
      </c>
      <c r="J48" s="14">
        <v>23</v>
      </c>
    </row>
    <row r="49" spans="2:7">
      <c r="B49" s="8" t="s">
        <v>142</v>
      </c>
      <c r="E49" s="14">
        <v>20</v>
      </c>
      <c r="F49" s="14">
        <v>8</v>
      </c>
      <c r="G49" s="14">
        <v>20</v>
      </c>
    </row>
  </sheetData>
  <pageMargins left="0.75" right="0.75" top="1" bottom="1" header="0.5" footer="0.5"/>
  <pageSetup paperSize="9" orientation="portrait" verticalDpi="0"/>
</worksheet>
</file>

<file path=xl/worksheets/sheet15.xml><?xml version="1.0" encoding="utf-8"?>
<worksheet xmlns="http://schemas.openxmlformats.org/spreadsheetml/2006/main">
  <sheetPr/>
  <dimension ref="L23"/>
  <sheetViews>
    <sheetView showGridLines="1" workbookViewId="0"/>
  </sheetViews>
  <sheetFormatPr defaultColWidth="8.75" defaultRowHeight="14.25"/>
  <cols>
    <col min="1" max="1" width="8.75" style="122"/>
    <col min="2" max="2" width="10.375" style="123" customWidth="1"/>
    <col min="3" max="3" width="0" style="123" customWidth="1"/>
    <col min="4" max="4" width="17.375" style="123" customWidth="1"/>
    <col min="5" max="7" width="8.71094" customWidth="1"/>
    <col min="8" max="8" width="12.375" customWidth="1"/>
    <col min="9" max="9" width="17.75" customWidth="1"/>
    <col min="10" max="10" width="18.125" customWidth="1"/>
    <col min="11" max="12" width="5.71094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1347</v>
      </c>
      <c r="I1" s="4" t="s">
        <v>106</v>
      </c>
      <c r="J1" s="4" t="s">
        <v>108</v>
      </c>
      <c r="K1" s="5" t="s">
        <v>11</v>
      </c>
      <c r="L1" s="5" t="s">
        <v>12</v>
      </c>
    </row>
    <row r="2" spans="1:12" ht="18.75">
      <c r="A2" s="36">
        <v>1</v>
      </c>
      <c r="B2" s="37" t="s">
        <v>1436</v>
      </c>
      <c r="C2" s="37" t="s"/>
      <c r="D2" s="36" t="s"/>
      <c r="E2" s="36">
        <v>77</v>
      </c>
      <c r="F2" s="36">
        <v>106</v>
      </c>
      <c r="G2" s="36">
        <v>64.5</v>
      </c>
      <c r="H2" s="11">
        <v>82</v>
      </c>
      <c r="I2" s="11">
        <v>82</v>
      </c>
      <c r="J2" s="11">
        <v>75</v>
      </c>
      <c r="K2" s="11">
        <v>486.5</v>
      </c>
      <c r="L2" s="38">
        <v>1</v>
      </c>
    </row>
    <row r="3" spans="1:12" ht="18.75">
      <c r="A3" s="36">
        <v>2</v>
      </c>
      <c r="B3" s="37" t="s">
        <v>1437</v>
      </c>
      <c r="C3" s="37" t="s"/>
      <c r="D3" s="36" t="s"/>
      <c r="E3" s="36">
        <v>105</v>
      </c>
      <c r="F3" s="36">
        <v>59</v>
      </c>
      <c r="G3" s="36">
        <v>83.5</v>
      </c>
      <c r="H3" s="11">
        <v>64.5</v>
      </c>
      <c r="I3" s="11">
        <v>73</v>
      </c>
      <c r="J3" s="11">
        <v>64</v>
      </c>
      <c r="K3" s="11">
        <v>449</v>
      </c>
      <c r="L3" s="38">
        <v>2</v>
      </c>
    </row>
    <row r="4" spans="1:12" ht="18.75">
      <c r="A4" s="36">
        <v>3</v>
      </c>
      <c r="B4" s="37" t="s">
        <v>1438</v>
      </c>
      <c r="C4" s="37" t="s"/>
      <c r="D4" s="36" t="s"/>
      <c r="E4" s="36">
        <v>94</v>
      </c>
      <c r="F4" s="36">
        <v>62</v>
      </c>
      <c r="G4" s="36">
        <v>68.5</v>
      </c>
      <c r="H4" s="11">
        <v>70.5</v>
      </c>
      <c r="I4" s="11">
        <v>80</v>
      </c>
      <c r="J4" s="11">
        <v>72.5</v>
      </c>
      <c r="K4" s="11">
        <v>447.5</v>
      </c>
      <c r="L4" s="38">
        <v>3</v>
      </c>
    </row>
    <row r="5" spans="1:12" ht="18.75">
      <c r="A5" s="36">
        <v>4</v>
      </c>
      <c r="B5" s="37" t="s">
        <v>1439</v>
      </c>
      <c r="C5" s="37" t="s"/>
      <c r="D5" s="36" t="s"/>
      <c r="E5" s="36">
        <v>88</v>
      </c>
      <c r="F5" s="36">
        <v>74</v>
      </c>
      <c r="G5" s="36">
        <v>67.5</v>
      </c>
      <c r="H5" s="11">
        <v>72</v>
      </c>
      <c r="I5" s="11">
        <v>67.5</v>
      </c>
      <c r="J5" s="11">
        <v>66</v>
      </c>
      <c r="K5" s="11">
        <v>435</v>
      </c>
      <c r="L5" s="38">
        <v>4</v>
      </c>
    </row>
    <row r="6" spans="1:12" ht="18.75">
      <c r="A6" s="36">
        <v>5</v>
      </c>
      <c r="B6" s="10" t="s">
        <v>1440</v>
      </c>
      <c r="C6" s="10" t="s"/>
      <c r="D6" s="10" t="s"/>
      <c r="E6" s="10">
        <v>103</v>
      </c>
      <c r="F6" s="10">
        <v>122</v>
      </c>
      <c r="G6" s="10">
        <v>74.5</v>
      </c>
      <c r="H6" s="11">
        <v>50</v>
      </c>
      <c r="I6" s="11">
        <v>36</v>
      </c>
      <c r="J6" s="11">
        <v>46.5</v>
      </c>
      <c r="K6" s="11">
        <v>432</v>
      </c>
      <c r="L6" s="38">
        <v>5</v>
      </c>
    </row>
    <row r="7" spans="1:12" ht="18.75">
      <c r="A7" s="36">
        <v>6</v>
      </c>
      <c r="B7" s="37" t="s">
        <v>1441</v>
      </c>
      <c r="C7" s="37" t="s"/>
      <c r="D7" s="36" t="s"/>
      <c r="E7" s="36">
        <v>89</v>
      </c>
      <c r="F7" s="36">
        <v>100</v>
      </c>
      <c r="G7" s="36">
        <v>41</v>
      </c>
      <c r="H7" s="11">
        <v>73</v>
      </c>
      <c r="I7" s="11">
        <v>71</v>
      </c>
      <c r="J7" s="11">
        <v>56</v>
      </c>
      <c r="K7" s="11">
        <v>430</v>
      </c>
      <c r="L7" s="38">
        <v>6</v>
      </c>
    </row>
    <row r="8" spans="1:12" ht="18.75">
      <c r="A8" s="36">
        <v>7</v>
      </c>
      <c r="B8" s="37" t="s">
        <v>1442</v>
      </c>
      <c r="C8" s="37" t="s"/>
      <c r="D8" s="36" t="s"/>
      <c r="E8" s="36">
        <v>98</v>
      </c>
      <c r="F8" s="36">
        <v>80</v>
      </c>
      <c r="G8" s="36">
        <v>55.5</v>
      </c>
      <c r="H8" s="11">
        <v>67.5</v>
      </c>
      <c r="I8" s="11">
        <v>76</v>
      </c>
      <c r="J8" s="11">
        <v>43.5</v>
      </c>
      <c r="K8" s="11">
        <v>420.5</v>
      </c>
      <c r="L8" s="38">
        <v>7</v>
      </c>
    </row>
    <row r="9" spans="1:12" ht="18.75">
      <c r="A9" s="36">
        <v>8</v>
      </c>
      <c r="B9" s="37" t="s">
        <v>1443</v>
      </c>
      <c r="C9" s="37" t="s"/>
      <c r="D9" s="36" t="s"/>
      <c r="E9" s="36">
        <v>62</v>
      </c>
      <c r="F9" s="36">
        <v>108</v>
      </c>
      <c r="G9" s="36">
        <v>41</v>
      </c>
      <c r="H9" s="11">
        <v>73</v>
      </c>
      <c r="I9" s="11">
        <v>69.5</v>
      </c>
      <c r="J9" s="11">
        <v>64</v>
      </c>
      <c r="K9" s="11">
        <v>417.5</v>
      </c>
      <c r="L9" s="38">
        <v>8</v>
      </c>
    </row>
    <row r="10" spans="1:12" ht="18.75">
      <c r="A10" s="36">
        <v>9</v>
      </c>
      <c r="B10" s="37" t="s">
        <v>1444</v>
      </c>
      <c r="C10" s="37" t="s"/>
      <c r="D10" s="36" t="s"/>
      <c r="E10" s="36">
        <v>69</v>
      </c>
      <c r="F10" s="36">
        <v>134</v>
      </c>
      <c r="G10" s="36">
        <v>51</v>
      </c>
      <c r="H10" s="11">
        <v>59.5</v>
      </c>
      <c r="I10" s="11">
        <v>49.5</v>
      </c>
      <c r="J10" s="11">
        <v>38.5</v>
      </c>
      <c r="K10" s="11">
        <v>401.5</v>
      </c>
      <c r="L10" s="38">
        <v>9</v>
      </c>
    </row>
    <row r="11" spans="1:12" ht="18.75">
      <c r="A11" s="36">
        <v>10</v>
      </c>
      <c r="B11" s="37" t="s">
        <v>1445</v>
      </c>
      <c r="C11" s="37" t="s"/>
      <c r="D11" s="36" t="s"/>
      <c r="E11" s="36">
        <v>95</v>
      </c>
      <c r="F11" s="36">
        <v>44</v>
      </c>
      <c r="G11" s="36">
        <v>48.5</v>
      </c>
      <c r="H11" s="11">
        <v>68</v>
      </c>
      <c r="I11" s="11">
        <v>68</v>
      </c>
      <c r="J11" s="11">
        <v>67</v>
      </c>
      <c r="K11" s="11">
        <v>390.5</v>
      </c>
      <c r="L11" s="38">
        <v>10</v>
      </c>
    </row>
    <row r="12" spans="1:12" ht="18.75">
      <c r="A12" s="36">
        <v>11</v>
      </c>
      <c r="B12" s="37" t="s">
        <v>1446</v>
      </c>
      <c r="C12" s="37" t="s"/>
      <c r="D12" s="36" t="s"/>
      <c r="E12" s="36">
        <v>67</v>
      </c>
      <c r="F12" s="36">
        <v>38</v>
      </c>
      <c r="G12" s="36">
        <v>56</v>
      </c>
      <c r="H12" s="11">
        <v>68</v>
      </c>
      <c r="I12" s="11">
        <v>65</v>
      </c>
      <c r="J12" s="11">
        <v>77</v>
      </c>
      <c r="K12" s="11">
        <v>371</v>
      </c>
      <c r="L12" s="38">
        <v>11</v>
      </c>
    </row>
    <row r="13" spans="1:12" ht="18.75">
      <c r="A13" s="36">
        <v>12</v>
      </c>
      <c r="B13" s="37" t="s">
        <v>1447</v>
      </c>
      <c r="C13" s="37" t="s"/>
      <c r="D13" s="36" t="s"/>
      <c r="E13" s="36">
        <v>79</v>
      </c>
      <c r="F13" s="36">
        <v>36</v>
      </c>
      <c r="G13" s="36">
        <v>67</v>
      </c>
      <c r="H13" s="11">
        <v>66</v>
      </c>
      <c r="I13" s="11">
        <v>71.5</v>
      </c>
      <c r="J13" s="11">
        <v>48.5</v>
      </c>
      <c r="K13" s="11">
        <v>368</v>
      </c>
      <c r="L13" s="38">
        <v>12</v>
      </c>
    </row>
    <row r="14" spans="1:12" ht="18.75">
      <c r="A14" s="36">
        <v>13</v>
      </c>
      <c r="B14" s="37" t="s">
        <v>1448</v>
      </c>
      <c r="C14" s="37" t="s"/>
      <c r="D14" s="36" t="s"/>
      <c r="E14" s="36">
        <v>92</v>
      </c>
      <c r="F14" s="36">
        <v>65</v>
      </c>
      <c r="G14" s="36">
        <v>43</v>
      </c>
      <c r="H14" s="11">
        <v>59</v>
      </c>
      <c r="I14" s="11">
        <v>66.5</v>
      </c>
      <c r="J14" s="11">
        <v>41</v>
      </c>
      <c r="K14" s="11">
        <v>366.5</v>
      </c>
      <c r="L14" s="38">
        <v>13</v>
      </c>
    </row>
    <row r="15" spans="1:12" ht="18.75">
      <c r="A15" s="36">
        <v>14</v>
      </c>
      <c r="B15" s="37" t="s">
        <v>1449</v>
      </c>
      <c r="C15" s="37" t="s"/>
      <c r="D15" s="36" t="s"/>
      <c r="E15" s="36">
        <v>78</v>
      </c>
      <c r="F15" s="36">
        <v>28</v>
      </c>
      <c r="G15" s="36">
        <v>37</v>
      </c>
      <c r="H15" s="11">
        <v>65</v>
      </c>
      <c r="I15" s="11">
        <v>70.5</v>
      </c>
      <c r="J15" s="11">
        <v>71</v>
      </c>
      <c r="K15" s="11">
        <v>349.5</v>
      </c>
      <c r="L15" s="38">
        <v>14</v>
      </c>
    </row>
    <row r="16" spans="1:12" ht="18.75">
      <c r="A16" s="36">
        <v>15</v>
      </c>
      <c r="B16" s="37" t="s">
        <v>1450</v>
      </c>
      <c r="C16" s="37" t="s"/>
      <c r="D16" s="36" t="s"/>
      <c r="E16" s="36">
        <v>73</v>
      </c>
      <c r="F16" s="36">
        <v>49</v>
      </c>
      <c r="G16" s="36">
        <v>28</v>
      </c>
      <c r="H16" s="11">
        <v>76</v>
      </c>
      <c r="I16" s="11">
        <v>57.5</v>
      </c>
      <c r="J16" s="11">
        <v>63</v>
      </c>
      <c r="K16" s="11">
        <v>346.5</v>
      </c>
      <c r="L16" s="38">
        <v>15</v>
      </c>
    </row>
    <row r="17" spans="1:12" ht="18.75">
      <c r="A17" s="36">
        <v>16</v>
      </c>
      <c r="B17" s="37" t="s">
        <v>1451</v>
      </c>
      <c r="C17" s="37" t="s"/>
      <c r="D17" s="36" t="s"/>
      <c r="E17" s="36">
        <v>92</v>
      </c>
      <c r="F17" s="36">
        <v>20</v>
      </c>
      <c r="G17" s="36">
        <v>39.5</v>
      </c>
      <c r="H17" s="11">
        <v>66</v>
      </c>
      <c r="I17" s="11">
        <v>71</v>
      </c>
      <c r="J17" s="11">
        <v>54.5</v>
      </c>
      <c r="K17" s="11">
        <v>343</v>
      </c>
      <c r="L17" s="38">
        <v>16</v>
      </c>
    </row>
    <row r="18" spans="1:12" ht="18.75">
      <c r="A18" s="36">
        <v>17</v>
      </c>
      <c r="B18" s="37" t="s">
        <v>1452</v>
      </c>
      <c r="C18" s="37" t="s"/>
      <c r="D18" s="36" t="s"/>
      <c r="E18" s="36">
        <v>87</v>
      </c>
      <c r="F18" s="36">
        <v>40</v>
      </c>
      <c r="G18" s="36">
        <v>40.5</v>
      </c>
      <c r="H18" s="11">
        <v>56.5</v>
      </c>
      <c r="I18" s="11">
        <v>76.5</v>
      </c>
      <c r="J18" s="11">
        <v>41.5</v>
      </c>
      <c r="K18" s="11">
        <v>342</v>
      </c>
      <c r="L18" s="38">
        <v>17</v>
      </c>
    </row>
    <row r="19" spans="1:12" ht="18.75">
      <c r="A19" s="36">
        <v>18</v>
      </c>
      <c r="B19" s="37" t="s">
        <v>1453</v>
      </c>
      <c r="C19" s="37" t="s"/>
      <c r="D19" s="36" t="s"/>
      <c r="E19" s="36">
        <v>79</v>
      </c>
      <c r="F19" s="36">
        <v>35</v>
      </c>
      <c r="G19" s="36">
        <v>28.5</v>
      </c>
      <c r="H19" s="11">
        <v>61</v>
      </c>
      <c r="I19" s="11">
        <v>60.5</v>
      </c>
      <c r="J19" s="11">
        <v>69</v>
      </c>
      <c r="K19" s="11">
        <v>333</v>
      </c>
      <c r="L19" s="38">
        <v>18</v>
      </c>
    </row>
    <row r="20" spans="1:12" ht="18.75">
      <c r="A20" s="36">
        <v>19</v>
      </c>
      <c r="B20" s="37" t="s">
        <v>1454</v>
      </c>
      <c r="C20" s="37" t="s"/>
      <c r="D20" s="36" t="s"/>
      <c r="E20" s="36">
        <v>59</v>
      </c>
      <c r="F20" s="36">
        <v>4</v>
      </c>
      <c r="G20" s="36">
        <v>40</v>
      </c>
      <c r="H20" s="11">
        <v>81.5</v>
      </c>
      <c r="I20" s="11">
        <v>71.5</v>
      </c>
      <c r="J20" s="11">
        <v>76</v>
      </c>
      <c r="K20" s="11">
        <v>332</v>
      </c>
      <c r="L20" s="38">
        <v>19</v>
      </c>
    </row>
    <row r="21" spans="1:12" ht="18.75">
      <c r="A21" s="36">
        <v>20</v>
      </c>
      <c r="B21" s="37" t="s">
        <v>1455</v>
      </c>
      <c r="C21" s="37" t="s"/>
      <c r="D21" s="36" t="s"/>
      <c r="E21" s="36">
        <v>67</v>
      </c>
      <c r="F21" s="36">
        <v>34</v>
      </c>
      <c r="G21" s="36">
        <v>38.5</v>
      </c>
      <c r="H21" s="11">
        <v>64</v>
      </c>
      <c r="I21" s="11">
        <v>68.5</v>
      </c>
      <c r="J21" s="11">
        <v>52.5</v>
      </c>
      <c r="K21" s="11">
        <v>324.5</v>
      </c>
      <c r="L21" s="38">
        <v>20</v>
      </c>
    </row>
    <row r="22" spans="1:12" ht="18.75">
      <c r="A22" s="36">
        <v>21</v>
      </c>
      <c r="B22" s="37" t="s">
        <v>1456</v>
      </c>
      <c r="C22" s="37" t="s"/>
      <c r="D22" s="36" t="s"/>
      <c r="E22" s="36">
        <v>68</v>
      </c>
      <c r="F22" s="36">
        <v>24</v>
      </c>
      <c r="G22" s="36">
        <v>36.5</v>
      </c>
      <c r="H22" s="11">
        <v>50</v>
      </c>
      <c r="I22" s="11">
        <v>68.5</v>
      </c>
      <c r="J22" s="11">
        <v>52.5</v>
      </c>
      <c r="K22" s="11">
        <v>299.5</v>
      </c>
      <c r="L22" s="38">
        <v>21</v>
      </c>
    </row>
    <row r="23" spans="1:12">
      <c r="A23" s="39">
        <v>22</v>
      </c>
      <c r="B23" s="40" t="s">
        <v>1457</v>
      </c>
      <c r="C23" s="41" t="s"/>
      <c r="D23" s="42" t="s"/>
      <c r="E23" s="43">
        <v>61</v>
      </c>
      <c r="F23" s="43">
        <v>69</v>
      </c>
      <c r="G23" s="43">
        <v>24</v>
      </c>
      <c r="H23" s="44">
        <v>39</v>
      </c>
      <c r="I23" s="44">
        <v>60</v>
      </c>
      <c r="J23" s="44">
        <v>41</v>
      </c>
      <c r="K23" s="44">
        <v>294</v>
      </c>
      <c r="L23" s="45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/>
  <dimension ref="K64"/>
  <sheetViews>
    <sheetView showGridLines="1" tabSelected="0" topLeftCell="A49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8" max="8" width="21.5" customWidth="1"/>
    <col min="9" max="9" width="21.875" customWidth="1"/>
    <col min="10" max="10" width="14" customWidth="1"/>
    <col min="11" max="11" width="18.125" customWidth="1"/>
  </cols>
  <sheetData>
    <row r="1" spans="1:13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5" t="s">
        <v>6</v>
      </c>
      <c r="G1" s="5" t="s">
        <v>7</v>
      </c>
      <c r="H1" s="5" t="s">
        <v>1458</v>
      </c>
      <c r="I1" s="5" t="s">
        <v>1459</v>
      </c>
      <c r="J1" s="5" t="s">
        <v>1460</v>
      </c>
      <c r="K1" s="5" t="s">
        <v>1461</v>
      </c>
      <c r="L1" s="5" t="s">
        <v>11</v>
      </c>
      <c r="M1" s="46" t="s">
        <v>12</v>
      </c>
    </row>
    <row r="2" spans="1:13" ht="18.75">
      <c r="A2" s="4">
        <v>1</v>
      </c>
      <c r="B2" s="4" t="s">
        <v>1462</v>
      </c>
      <c r="C2" s="4">
        <v>1555</v>
      </c>
      <c r="D2" s="4" t="str">
        <f>=VLOOKUP(B2,[1]在校生综合信息查询!$A$774:$C$836,2,0)</f>
        <v>25q710201224</v>
      </c>
      <c r="E2" s="6">
        <v>12</v>
      </c>
      <c r="F2" s="6">
        <v>28</v>
      </c>
      <c r="G2" s="6">
        <v>0</v>
      </c>
      <c r="H2" s="6">
        <v>20</v>
      </c>
      <c r="I2" s="6">
        <v>0</v>
      </c>
      <c r="J2" s="6">
        <v>24</v>
      </c>
      <c r="K2" s="6">
        <v>0</v>
      </c>
      <c r="L2" s="5" t="s"/>
      <c r="M2" s="47" t="s"/>
    </row>
    <row r="3" spans="1:13" ht="18.75">
      <c r="A3" s="4">
        <v>2</v>
      </c>
      <c r="B3" s="4" t="s">
        <v>1464</v>
      </c>
      <c r="C3" s="4">
        <v>1560</v>
      </c>
      <c r="D3" s="4" t="str">
        <f>=VLOOKUP(B3,[1]在校生综合信息查询!$A$774:$C$836,2,0)</f>
        <v>25q710201567</v>
      </c>
      <c r="E3" s="6">
        <v>49</v>
      </c>
      <c r="F3" s="6">
        <v>20</v>
      </c>
      <c r="G3" s="6">
        <v>17.5</v>
      </c>
      <c r="H3" s="6">
        <v>28</v>
      </c>
      <c r="I3" s="6">
        <v>58</v>
      </c>
      <c r="J3" s="6">
        <v>60</v>
      </c>
      <c r="K3" s="6">
        <v>33</v>
      </c>
      <c r="L3" s="5" t="s"/>
      <c r="M3" s="47" t="s"/>
    </row>
    <row r="4" spans="1:13" ht="18.75">
      <c r="A4" s="4">
        <v>3</v>
      </c>
      <c r="B4" s="4" t="s">
        <v>1466</v>
      </c>
      <c r="C4" s="4">
        <v>1505</v>
      </c>
      <c r="D4" s="4" t="str">
        <f>=VLOOKUP(B4,[1]在校生综合信息查询!$A$774:$C$836,2,0)</f>
        <v>25q660701003</v>
      </c>
      <c r="E4" s="6">
        <v>0</v>
      </c>
      <c r="F4" s="6">
        <v>28</v>
      </c>
      <c r="G4" s="6">
        <v>18.5</v>
      </c>
      <c r="H4" s="5" t="s"/>
      <c r="I4" s="5" t="s"/>
      <c r="J4" s="5" t="s"/>
      <c r="K4" s="6">
        <v>0</v>
      </c>
      <c r="L4" s="5" t="s"/>
      <c r="M4" s="47" t="s"/>
    </row>
    <row r="5" spans="1:13" ht="18.75">
      <c r="A5" s="4">
        <v>4</v>
      </c>
      <c r="B5" s="4" t="s">
        <v>1468</v>
      </c>
      <c r="C5" s="4">
        <v>1548</v>
      </c>
      <c r="D5" s="4" t="str">
        <f>=VLOOKUP(B5,[1]在校生综合信息查询!$A$774:$C$836,2,0)</f>
        <v>25q660701050</v>
      </c>
      <c r="E5" s="6">
        <v>21</v>
      </c>
      <c r="F5" s="6">
        <v>24</v>
      </c>
      <c r="G5" s="6">
        <v>23</v>
      </c>
      <c r="H5" s="6">
        <v>23</v>
      </c>
      <c r="I5" s="6">
        <v>44</v>
      </c>
      <c r="J5" s="6">
        <v>12</v>
      </c>
      <c r="K5" s="6">
        <v>22</v>
      </c>
      <c r="L5" s="5" t="s"/>
      <c r="M5" s="47" t="s"/>
    </row>
    <row r="6" spans="1:13" ht="18.75">
      <c r="A6" s="4">
        <v>5</v>
      </c>
      <c r="B6" s="4" t="s">
        <v>1470</v>
      </c>
      <c r="C6" s="4">
        <v>1537</v>
      </c>
      <c r="D6" s="4" t="str">
        <f>=VLOOKUP(B6,[1]在校生综合信息查询!$A$774:$C$836,2,0)</f>
        <v>25q660701036</v>
      </c>
      <c r="E6" s="6">
        <v>9</v>
      </c>
      <c r="F6" s="6">
        <v>28</v>
      </c>
      <c r="G6" s="6">
        <v>14</v>
      </c>
      <c r="H6" s="6">
        <v>32</v>
      </c>
      <c r="I6" s="6">
        <v>60</v>
      </c>
      <c r="J6" s="6">
        <v>58</v>
      </c>
      <c r="K6" s="6">
        <v>34</v>
      </c>
      <c r="L6" s="5" t="s"/>
      <c r="M6" s="47" t="s"/>
    </row>
    <row r="7" spans="1:13" ht="18.75">
      <c r="A7" s="4">
        <v>6</v>
      </c>
      <c r="B7" s="4" t="s">
        <v>1472</v>
      </c>
      <c r="C7" s="4">
        <v>1503</v>
      </c>
      <c r="D7" s="4" t="str">
        <f>=VLOOKUP(B7,[1]在校生综合信息查询!$A$774:$C$836,2,0)</f>
        <v>25q660701001</v>
      </c>
      <c r="E7" s="6">
        <v>0</v>
      </c>
      <c r="F7" s="6">
        <v>8</v>
      </c>
      <c r="G7" s="6">
        <v>20.5</v>
      </c>
      <c r="H7" s="6">
        <v>27</v>
      </c>
      <c r="I7" s="5" t="s"/>
      <c r="J7" s="6">
        <v>10</v>
      </c>
      <c r="K7" s="6">
        <v>20</v>
      </c>
      <c r="L7" s="5" t="s"/>
      <c r="M7" s="47" t="s"/>
    </row>
    <row r="8" spans="1:13" ht="18.75">
      <c r="A8" s="4">
        <v>7</v>
      </c>
      <c r="B8" s="4" t="s">
        <v>529</v>
      </c>
      <c r="C8" s="4">
        <v>1559</v>
      </c>
      <c r="D8" s="4" t="str">
        <f>=VLOOKUP(B8,[1]在校生综合信息查询!$A$774:$C$836,2,0)</f>
        <v>2508023</v>
      </c>
      <c r="E8" s="6">
        <v>61</v>
      </c>
      <c r="F8" s="6">
        <v>12</v>
      </c>
      <c r="G8" s="6">
        <v>32.5</v>
      </c>
      <c r="H8" s="6">
        <v>28</v>
      </c>
      <c r="I8" s="6">
        <v>64</v>
      </c>
      <c r="J8" s="6">
        <v>66</v>
      </c>
      <c r="K8" s="6">
        <v>44</v>
      </c>
      <c r="L8" s="5" t="s"/>
      <c r="M8" s="47" t="s"/>
    </row>
    <row r="9" spans="1:13" ht="18.75">
      <c r="A9" s="4">
        <v>8</v>
      </c>
      <c r="B9" s="4" t="s">
        <v>1475</v>
      </c>
      <c r="C9" s="4">
        <v>1532</v>
      </c>
      <c r="D9" s="4" t="str">
        <f>=VLOOKUP(B9,[1]在校生综合信息查询!$A$774:$C$836,2,0)</f>
        <v>25q660701030</v>
      </c>
      <c r="E9" s="6">
        <v>38</v>
      </c>
      <c r="F9" s="6">
        <v>44</v>
      </c>
      <c r="G9" s="6">
        <v>18.5</v>
      </c>
      <c r="H9" s="6">
        <v>35</v>
      </c>
      <c r="I9" s="6">
        <v>66</v>
      </c>
      <c r="J9" s="6">
        <v>44</v>
      </c>
      <c r="K9" s="6">
        <v>40</v>
      </c>
      <c r="L9" s="5" t="s"/>
      <c r="M9" s="47" t="s"/>
    </row>
    <row r="10" spans="1:13" ht="18.75">
      <c r="A10" s="4">
        <v>9</v>
      </c>
      <c r="B10" s="4" t="s">
        <v>1477</v>
      </c>
      <c r="C10" s="4">
        <v>1504</v>
      </c>
      <c r="D10" s="4" t="str">
        <f>=VLOOKUP(B10,[1]在校生综合信息查询!$A$774:$C$836,2,0)</f>
        <v>25q660701002</v>
      </c>
      <c r="E10" s="6">
        <v>9</v>
      </c>
      <c r="F10" s="6">
        <v>12</v>
      </c>
      <c r="G10" s="6">
        <v>15.5</v>
      </c>
      <c r="H10" s="6">
        <v>12</v>
      </c>
      <c r="I10" s="6">
        <v>30</v>
      </c>
      <c r="J10" s="6">
        <v>36</v>
      </c>
      <c r="K10" s="6">
        <v>12</v>
      </c>
      <c r="L10" s="5" t="s"/>
      <c r="M10" s="47" t="s"/>
    </row>
    <row r="11" spans="1:13" ht="18.75">
      <c r="A11" s="4">
        <v>10</v>
      </c>
      <c r="B11" s="4" t="s">
        <v>1479</v>
      </c>
      <c r="C11" s="4">
        <v>1533</v>
      </c>
      <c r="D11" s="4" t="str">
        <f>=VLOOKUP(B11,[1]在校生综合信息查询!$A$774:$C$836,2,0)</f>
        <v>25q660701031</v>
      </c>
      <c r="E11" s="5" t="s"/>
      <c r="F11" s="5" t="s"/>
      <c r="G11" s="5" t="s"/>
      <c r="H11" s="5" t="s"/>
      <c r="I11" s="5" t="s"/>
      <c r="J11" s="5" t="s"/>
      <c r="K11" s="6" t="s"/>
      <c r="L11" s="5" t="s"/>
      <c r="M11" s="47" t="s"/>
    </row>
    <row r="12" spans="1:13" ht="18.75">
      <c r="A12" s="4">
        <v>11</v>
      </c>
      <c r="B12" s="4" t="s">
        <v>1481</v>
      </c>
      <c r="C12" s="4">
        <v>1529</v>
      </c>
      <c r="D12" s="4" t="str">
        <f>=VLOOKUP(B12,[1]在校生综合信息查询!$A$774:$C$836,2,0)</f>
        <v>25q660701027</v>
      </c>
      <c r="E12" s="6">
        <v>6</v>
      </c>
      <c r="F12" s="6">
        <v>4</v>
      </c>
      <c r="G12" s="6">
        <v>23.5</v>
      </c>
      <c r="H12" s="6">
        <v>27</v>
      </c>
      <c r="I12" s="6">
        <v>38</v>
      </c>
      <c r="J12" s="6">
        <v>46</v>
      </c>
      <c r="K12" s="6">
        <v>6</v>
      </c>
      <c r="L12" s="5" t="s"/>
      <c r="M12" s="47" t="s"/>
    </row>
    <row r="13" spans="1:13" ht="18.75">
      <c r="A13" s="4">
        <v>12</v>
      </c>
      <c r="B13" s="4" t="s">
        <v>1483</v>
      </c>
      <c r="C13" s="4">
        <v>1530</v>
      </c>
      <c r="D13" s="4" t="str">
        <f>=VLOOKUP(B13,[1]在校生综合信息查询!$A$774:$C$836,2,0)</f>
        <v>25q660701028</v>
      </c>
      <c r="E13" s="6">
        <v>14</v>
      </c>
      <c r="F13" s="6">
        <v>8</v>
      </c>
      <c r="G13" s="6">
        <v>27</v>
      </c>
      <c r="H13" s="6">
        <v>30</v>
      </c>
      <c r="I13" s="6">
        <v>38</v>
      </c>
      <c r="J13" s="6">
        <v>52</v>
      </c>
      <c r="K13" s="6">
        <v>16</v>
      </c>
      <c r="L13" s="5" t="s"/>
      <c r="M13" s="47" t="s"/>
    </row>
    <row r="14" spans="1:13" ht="18.75">
      <c r="A14" s="4">
        <v>13</v>
      </c>
      <c r="B14" s="4" t="s">
        <v>1485</v>
      </c>
      <c r="C14" s="4">
        <v>1547</v>
      </c>
      <c r="D14" s="4" t="str">
        <f>=VLOOKUP(B14,[1]在校生综合信息查询!$A$774:$C$836,2,0)</f>
        <v>25q660701049</v>
      </c>
      <c r="E14" s="6">
        <v>12</v>
      </c>
      <c r="F14" s="6">
        <v>8</v>
      </c>
      <c r="G14" s="6">
        <v>26.5</v>
      </c>
      <c r="H14" s="6">
        <v>27</v>
      </c>
      <c r="I14" s="5" t="s"/>
      <c r="J14" s="5" t="s"/>
      <c r="K14" s="6">
        <v>0</v>
      </c>
      <c r="L14" s="5" t="s"/>
      <c r="M14" s="47" t="s"/>
    </row>
    <row r="15" spans="1:13" ht="18.75">
      <c r="A15" s="4">
        <v>14</v>
      </c>
      <c r="B15" s="4" t="s">
        <v>1487</v>
      </c>
      <c r="C15" s="4">
        <v>1544</v>
      </c>
      <c r="D15" s="4" t="str">
        <f>=VLOOKUP(B15,[1]在校生综合信息查询!$A$774:$C$836,2,0)</f>
        <v>25q660701045</v>
      </c>
      <c r="E15" s="5" t="s"/>
      <c r="F15" s="5" t="s"/>
      <c r="G15" s="5" t="s"/>
      <c r="H15" s="5" t="s"/>
      <c r="I15" s="5" t="s"/>
      <c r="J15" s="5" t="s"/>
      <c r="K15" s="5" t="s"/>
      <c r="L15" s="5" t="s"/>
      <c r="M15" s="47" t="s"/>
    </row>
    <row r="16" spans="1:13" ht="18.75">
      <c r="A16" s="4">
        <v>15</v>
      </c>
      <c r="B16" s="4" t="s">
        <v>1489</v>
      </c>
      <c r="C16" s="4">
        <v>1549</v>
      </c>
      <c r="D16" s="4" t="str">
        <f>=VLOOKUP(B16,[1]在校生综合信息查询!$A$774:$C$836,2,0)</f>
        <v>25q660701052</v>
      </c>
      <c r="E16" s="6">
        <v>6</v>
      </c>
      <c r="F16" s="6">
        <v>32</v>
      </c>
      <c r="G16" s="6">
        <v>26</v>
      </c>
      <c r="H16" s="6">
        <v>19</v>
      </c>
      <c r="I16" s="5" t="s"/>
      <c r="J16" s="5" t="s"/>
      <c r="K16" s="6">
        <v>12</v>
      </c>
      <c r="L16" s="5" t="s"/>
      <c r="M16" s="47" t="s"/>
    </row>
    <row r="17" spans="1:13" ht="18.75">
      <c r="A17" s="4">
        <v>16</v>
      </c>
      <c r="B17" s="4" t="s">
        <v>1491</v>
      </c>
      <c r="C17" s="4">
        <v>1542</v>
      </c>
      <c r="D17" s="4" t="str">
        <f>=VLOOKUP(B17,[1]在校生综合信息查询!$A$774:$C$836,2,0)</f>
        <v>25q660701041</v>
      </c>
      <c r="E17" s="6">
        <v>16</v>
      </c>
      <c r="F17" s="6">
        <v>32</v>
      </c>
      <c r="G17" s="6">
        <v>19.5</v>
      </c>
      <c r="H17" s="6">
        <v>18</v>
      </c>
      <c r="I17" s="6">
        <v>32</v>
      </c>
      <c r="J17" s="6">
        <v>38</v>
      </c>
      <c r="K17" s="6">
        <v>14</v>
      </c>
      <c r="L17" s="5" t="s"/>
      <c r="M17" s="47" t="s"/>
    </row>
    <row r="18" spans="1:13" ht="18.75">
      <c r="A18" s="4">
        <v>17</v>
      </c>
      <c r="B18" s="4" t="s">
        <v>1493</v>
      </c>
      <c r="C18" s="4">
        <v>1509</v>
      </c>
      <c r="D18" s="4" t="str">
        <f>=VLOOKUP(B18,[1]在校生综合信息查询!$A$774:$C$836,2,0)</f>
        <v>25q660701007</v>
      </c>
      <c r="E18" s="6">
        <v>42</v>
      </c>
      <c r="F18" s="6">
        <v>12</v>
      </c>
      <c r="G18" s="6">
        <v>54</v>
      </c>
      <c r="H18" s="6">
        <v>27</v>
      </c>
      <c r="I18" s="6">
        <v>64</v>
      </c>
      <c r="J18" s="6">
        <v>52</v>
      </c>
      <c r="K18" s="6">
        <v>30</v>
      </c>
      <c r="L18" s="5" t="s"/>
      <c r="M18" s="47" t="s"/>
    </row>
    <row r="19" spans="1:13" ht="18.75">
      <c r="A19" s="4">
        <v>18</v>
      </c>
      <c r="B19" s="4" t="s">
        <v>1495</v>
      </c>
      <c r="C19" s="4">
        <v>1531</v>
      </c>
      <c r="D19" s="4" t="str">
        <f>=VLOOKUP(B19,[1]在校生综合信息查询!$A$774:$C$836,2,0)</f>
        <v>25q660701029</v>
      </c>
      <c r="E19" s="6">
        <v>6</v>
      </c>
      <c r="F19" s="6">
        <v>12</v>
      </c>
      <c r="G19" s="6">
        <v>27</v>
      </c>
      <c r="H19" s="6">
        <v>18</v>
      </c>
      <c r="I19" s="6">
        <v>0</v>
      </c>
      <c r="J19" s="6">
        <v>52</v>
      </c>
      <c r="K19" s="6">
        <v>16</v>
      </c>
      <c r="L19" s="5" t="s"/>
      <c r="M19" s="47" t="s"/>
    </row>
    <row r="20" spans="1:13" ht="18.75">
      <c r="A20" s="4">
        <v>19</v>
      </c>
      <c r="B20" s="4" t="s">
        <v>1497</v>
      </c>
      <c r="C20" s="4">
        <v>1508</v>
      </c>
      <c r="D20" s="4" t="str">
        <f>=VLOOKUP(B20,[1]在校生综合信息查询!$A$774:$C$836,2,0)</f>
        <v>25q660701006</v>
      </c>
      <c r="E20" s="6">
        <v>9</v>
      </c>
      <c r="F20" s="6">
        <v>20</v>
      </c>
      <c r="G20" s="6">
        <v>17</v>
      </c>
      <c r="H20" s="6">
        <v>13</v>
      </c>
      <c r="I20" s="6">
        <v>34</v>
      </c>
      <c r="J20" s="6">
        <v>32</v>
      </c>
      <c r="K20" s="6">
        <v>18</v>
      </c>
      <c r="L20" s="5" t="s"/>
      <c r="M20" s="47" t="s"/>
    </row>
    <row r="21" spans="1:13" ht="18.75">
      <c r="A21" s="4">
        <v>20</v>
      </c>
      <c r="B21" s="4" t="s">
        <v>1499</v>
      </c>
      <c r="C21" s="4">
        <v>1502</v>
      </c>
      <c r="D21" s="4" t="str">
        <f>=VLOOKUP(B21,[1]在校生综合信息查询!$A$774:$C$836,2,0)</f>
        <v>25q660701058</v>
      </c>
      <c r="E21" s="6">
        <v>16</v>
      </c>
      <c r="F21" s="6">
        <v>12</v>
      </c>
      <c r="G21" s="6">
        <v>24</v>
      </c>
      <c r="H21" s="6">
        <v>17</v>
      </c>
      <c r="I21" s="6">
        <v>34</v>
      </c>
      <c r="J21" s="6">
        <v>16</v>
      </c>
      <c r="K21" s="6">
        <v>14</v>
      </c>
      <c r="L21" s="5" t="s"/>
      <c r="M21" s="47" t="s"/>
    </row>
    <row r="22" spans="1:13" ht="18.75">
      <c r="A22" s="4">
        <v>21</v>
      </c>
      <c r="B22" s="4" t="s">
        <v>1501</v>
      </c>
      <c r="C22" s="4">
        <v>1524</v>
      </c>
      <c r="D22" s="4" t="str">
        <f>=VLOOKUP(B22,[1]在校生综合信息查询!$A$774:$C$836,2,0)</f>
        <v>25q660701022</v>
      </c>
      <c r="E22" s="6">
        <v>3</v>
      </c>
      <c r="F22" s="6">
        <v>4</v>
      </c>
      <c r="G22" s="6">
        <v>19</v>
      </c>
      <c r="H22" s="6">
        <v>29</v>
      </c>
      <c r="I22" s="6">
        <v>36</v>
      </c>
      <c r="J22" s="6">
        <v>46</v>
      </c>
      <c r="K22" s="6">
        <v>28</v>
      </c>
      <c r="L22" s="5" t="s"/>
      <c r="M22" s="47" t="s"/>
    </row>
    <row r="23" spans="1:13" ht="18.75">
      <c r="A23" s="4">
        <v>22</v>
      </c>
      <c r="B23" s="4" t="s">
        <v>1503</v>
      </c>
      <c r="C23" s="4">
        <v>1510</v>
      </c>
      <c r="D23" s="4" t="str">
        <f>=VLOOKUP(B23,[1]在校生综合信息查询!$A$774:$C$836,2,0)</f>
        <v>25q660701008</v>
      </c>
      <c r="E23" s="6">
        <v>45</v>
      </c>
      <c r="F23" s="6">
        <v>12</v>
      </c>
      <c r="G23" s="6">
        <v>25</v>
      </c>
      <c r="H23" s="6">
        <v>20</v>
      </c>
      <c r="I23" s="6">
        <v>40</v>
      </c>
      <c r="J23" s="6">
        <v>38</v>
      </c>
      <c r="K23" s="6">
        <v>42</v>
      </c>
      <c r="L23" s="5" t="s"/>
      <c r="M23" s="47" t="s"/>
    </row>
    <row r="24" spans="1:13" ht="18.75">
      <c r="A24" s="4">
        <v>23</v>
      </c>
      <c r="B24" s="4" t="s">
        <v>1505</v>
      </c>
      <c r="C24" s="4">
        <v>1551</v>
      </c>
      <c r="D24" s="4" t="str">
        <f>=VLOOKUP(B24,[1]在校生综合信息查询!$A$774:$C$836,2,0)</f>
        <v>25q660701033</v>
      </c>
      <c r="E24" s="5" t="s"/>
      <c r="F24" s="5" t="s"/>
      <c r="G24" s="5" t="s"/>
      <c r="H24" s="5" t="s"/>
      <c r="I24" s="6" t="s"/>
      <c r="J24" s="6" t="s"/>
      <c r="K24" s="6">
        <v>0</v>
      </c>
      <c r="L24" s="5" t="s"/>
      <c r="M24" s="47" t="s"/>
    </row>
    <row r="25" spans="1:13" ht="18.75">
      <c r="A25" s="4">
        <v>24</v>
      </c>
      <c r="B25" s="4" t="s">
        <v>1507</v>
      </c>
      <c r="C25" s="4">
        <v>1499</v>
      </c>
      <c r="D25" s="4" t="str">
        <f>=VLOOKUP(B25,[1]在校生综合信息查询!$A$774:$C$836,2,0)</f>
        <v>25q660701055</v>
      </c>
      <c r="E25" s="6">
        <v>58</v>
      </c>
      <c r="F25" s="6">
        <v>71</v>
      </c>
      <c r="G25" s="6">
        <v>18</v>
      </c>
      <c r="H25" s="6">
        <v>46</v>
      </c>
      <c r="I25" s="6">
        <v>74</v>
      </c>
      <c r="J25" s="6">
        <v>66</v>
      </c>
      <c r="K25" s="6">
        <v>64</v>
      </c>
      <c r="L25" s="5" t="s"/>
      <c r="M25" s="47" t="s"/>
    </row>
    <row r="26" spans="1:13" ht="18.75">
      <c r="A26" s="4">
        <v>25</v>
      </c>
      <c r="B26" s="4" t="s">
        <v>1509</v>
      </c>
      <c r="C26" s="4">
        <v>1557</v>
      </c>
      <c r="D26" s="4" t="str">
        <f>=VLOOKUP(B26,[1]在校生综合信息查询!$A$774:$C$836,2,0)</f>
        <v>25q710201247</v>
      </c>
      <c r="E26" s="5" t="s"/>
      <c r="F26" s="5" t="s"/>
      <c r="G26" s="5" t="s"/>
      <c r="H26" s="5" t="s"/>
      <c r="I26" s="5" t="s"/>
      <c r="J26" s="5" t="s"/>
      <c r="K26" s="5" t="s"/>
      <c r="L26" s="5" t="s"/>
      <c r="M26" s="47" t="s"/>
    </row>
    <row r="27" spans="1:13" ht="18.75">
      <c r="A27" s="4">
        <v>26</v>
      </c>
      <c r="B27" s="4" t="s">
        <v>1511</v>
      </c>
      <c r="C27" s="4">
        <v>1523</v>
      </c>
      <c r="D27" s="4" t="str">
        <f>=VLOOKUP(B27,[1]在校生综合信息查询!$A$774:$C$836,2,0)</f>
        <v>25q660701021</v>
      </c>
      <c r="E27" s="6">
        <v>42</v>
      </c>
      <c r="F27" s="6">
        <v>4</v>
      </c>
      <c r="G27" s="6">
        <v>16.5</v>
      </c>
      <c r="H27" s="6">
        <v>20</v>
      </c>
      <c r="I27" s="6">
        <v>38</v>
      </c>
      <c r="J27" s="6">
        <v>40</v>
      </c>
      <c r="K27" s="6">
        <v>12</v>
      </c>
      <c r="L27" s="5" t="s"/>
      <c r="M27" s="47" t="s"/>
    </row>
    <row r="28" spans="1:13" ht="18.75">
      <c r="A28" s="4">
        <v>27</v>
      </c>
      <c r="B28" s="4" t="s">
        <v>1513</v>
      </c>
      <c r="C28" s="4">
        <v>1552</v>
      </c>
      <c r="D28" s="4" t="str">
        <f>=VLOOKUP(B28,[1]在校生综合信息查询!$A$774:$C$836,2,0)</f>
        <v>25q660701043</v>
      </c>
      <c r="E28" s="5" t="s"/>
      <c r="F28" s="6">
        <v>16</v>
      </c>
      <c r="G28" s="6">
        <v>0</v>
      </c>
      <c r="H28" s="6">
        <v>23</v>
      </c>
      <c r="I28" s="5" t="s"/>
      <c r="J28" s="5" t="s"/>
      <c r="K28" s="6">
        <v>0</v>
      </c>
      <c r="L28" s="5" t="s"/>
      <c r="M28" s="18" t="s"/>
    </row>
    <row r="29" spans="1:13" ht="18.75">
      <c r="A29" s="4">
        <v>28</v>
      </c>
      <c r="B29" s="4" t="s">
        <v>1515</v>
      </c>
      <c r="C29" s="4">
        <v>1556</v>
      </c>
      <c r="D29" s="4" t="str">
        <f>=VLOOKUP(B29,[1]在校生综合信息查询!$A$774:$C$836,2,0)</f>
        <v>25q710201246</v>
      </c>
      <c r="E29" s="5" t="s"/>
      <c r="F29" s="5" t="s"/>
      <c r="G29" s="5" t="s"/>
      <c r="H29" s="5" t="s"/>
      <c r="I29" s="5" t="s"/>
      <c r="J29" s="5" t="s"/>
      <c r="K29" s="5" t="s"/>
      <c r="L29" s="5" t="s"/>
      <c r="M29" s="18" t="s"/>
    </row>
    <row r="30" spans="1:13" ht="18.75">
      <c r="A30" s="4">
        <v>29</v>
      </c>
      <c r="B30" s="4" t="s">
        <v>1517</v>
      </c>
      <c r="C30" s="4">
        <v>1518</v>
      </c>
      <c r="D30" s="4" t="str">
        <f>=VLOOKUP(B30,[1]在校生综合信息查询!$A$774:$C$836,2,0)</f>
        <v>25q660701016</v>
      </c>
      <c r="E30" s="6">
        <v>21</v>
      </c>
      <c r="F30" s="6">
        <v>28</v>
      </c>
      <c r="G30" s="6">
        <v>12</v>
      </c>
      <c r="H30" s="6">
        <v>17</v>
      </c>
      <c r="I30" s="6">
        <v>40</v>
      </c>
      <c r="J30" s="6">
        <v>40</v>
      </c>
      <c r="K30" s="6">
        <v>23</v>
      </c>
      <c r="L30" s="5" t="s"/>
      <c r="M30" s="18" t="s"/>
    </row>
    <row r="31" spans="1:13" ht="18.75">
      <c r="A31" s="4">
        <v>30</v>
      </c>
      <c r="B31" s="4" t="s">
        <v>1519</v>
      </c>
      <c r="C31" s="4">
        <v>1558</v>
      </c>
      <c r="D31" s="4" t="str">
        <f>=VLOOKUP(B31,[1]在校生综合信息查询!$A$774:$C$836,2,0)</f>
        <v>25q660103036</v>
      </c>
      <c r="E31" s="6">
        <v>31</v>
      </c>
      <c r="F31" s="6">
        <v>12</v>
      </c>
      <c r="G31" s="6">
        <v>23</v>
      </c>
      <c r="H31" s="6">
        <v>24</v>
      </c>
      <c r="I31" s="6">
        <v>50</v>
      </c>
      <c r="J31" s="6">
        <v>62</v>
      </c>
      <c r="K31" s="6">
        <v>36</v>
      </c>
      <c r="L31" s="5" t="s"/>
      <c r="M31" s="18" t="s"/>
    </row>
    <row r="32" spans="1:13" ht="18.75">
      <c r="A32" s="4">
        <v>31</v>
      </c>
      <c r="B32" s="4" t="s">
        <v>1521</v>
      </c>
      <c r="C32" s="4">
        <v>1525</v>
      </c>
      <c r="D32" s="4" t="str">
        <f>=VLOOKUP(B32,[1]在校生综合信息查询!$A$774:$C$836,2,0)</f>
        <v>25q660701023</v>
      </c>
      <c r="E32" s="6">
        <v>43</v>
      </c>
      <c r="F32" s="6">
        <v>36</v>
      </c>
      <c r="G32" s="6">
        <v>8.5</v>
      </c>
      <c r="H32" s="6">
        <v>17</v>
      </c>
      <c r="I32" s="6">
        <v>44</v>
      </c>
      <c r="J32" s="6">
        <v>48</v>
      </c>
      <c r="K32" s="6">
        <v>14</v>
      </c>
      <c r="L32" s="5" t="s"/>
      <c r="M32" s="18" t="s"/>
    </row>
    <row r="33" spans="1:13" ht="18.75">
      <c r="A33" s="4">
        <v>32</v>
      </c>
      <c r="B33" s="4" t="s">
        <v>1523</v>
      </c>
      <c r="C33" s="4">
        <v>1513</v>
      </c>
      <c r="D33" s="4" t="str">
        <f>=VLOOKUP(B33,[1]在校生综合信息查询!$A$774:$C$836,2,0)</f>
        <v>25q660701011</v>
      </c>
      <c r="E33" s="6">
        <v>14</v>
      </c>
      <c r="F33" s="6">
        <v>16</v>
      </c>
      <c r="G33" s="6">
        <v>28</v>
      </c>
      <c r="H33" s="6">
        <v>28</v>
      </c>
      <c r="I33" s="6">
        <v>50</v>
      </c>
      <c r="J33" s="6">
        <v>26</v>
      </c>
      <c r="K33" s="6">
        <v>14</v>
      </c>
      <c r="L33" s="5" t="s"/>
      <c r="M33" s="18" t="s"/>
    </row>
    <row r="34" spans="1:12" ht="18.75">
      <c r="A34" s="4">
        <v>33</v>
      </c>
      <c r="B34" s="4" t="s">
        <v>1525</v>
      </c>
      <c r="C34" s="4">
        <v>1519</v>
      </c>
      <c r="D34" s="4" t="str">
        <f>=VLOOKUP(B34,[1]在校生综合信息查询!$A$774:$C$836,2,0)</f>
        <v>25q660701017</v>
      </c>
      <c r="E34" s="6">
        <v>39</v>
      </c>
      <c r="F34" s="6">
        <v>28</v>
      </c>
      <c r="G34" s="6">
        <v>16</v>
      </c>
      <c r="H34" s="6">
        <v>47</v>
      </c>
      <c r="I34" s="6">
        <v>60</v>
      </c>
      <c r="J34" s="6">
        <v>86</v>
      </c>
      <c r="K34" s="5" t="s"/>
      <c r="L34" s="5" t="s"/>
    </row>
    <row r="35" spans="1:12" ht="18.75">
      <c r="A35" s="4">
        <v>34</v>
      </c>
      <c r="B35" s="4" t="s">
        <v>1527</v>
      </c>
      <c r="C35" s="4">
        <v>1541</v>
      </c>
      <c r="D35" s="4" t="str">
        <f>=VLOOKUP(B35,[1]在校生综合信息查询!$A$774:$C$836,2,0)</f>
        <v>25q660701040</v>
      </c>
      <c r="E35" s="6">
        <v>11</v>
      </c>
      <c r="F35" s="6">
        <v>44</v>
      </c>
      <c r="G35" s="6">
        <v>24.5</v>
      </c>
      <c r="H35" s="6">
        <v>15</v>
      </c>
      <c r="I35" s="6">
        <v>36</v>
      </c>
      <c r="J35" s="6">
        <v>40</v>
      </c>
      <c r="K35" s="6">
        <v>8</v>
      </c>
      <c r="L35" s="5" t="s"/>
    </row>
    <row r="36" spans="1:11" ht="18.75">
      <c r="A36" s="4">
        <v>35</v>
      </c>
      <c r="B36" s="15" t="s">
        <v>1529</v>
      </c>
      <c r="C36" s="4">
        <v>1506</v>
      </c>
      <c r="D36" s="4" t="str">
        <f>=VLOOKUP(B36,[1]在校生综合信息查询!$A$774:$C$836,2,0)</f>
        <v>25q660701057</v>
      </c>
      <c r="E36" s="5" t="s"/>
      <c r="F36" s="5" t="s"/>
      <c r="G36" s="5" t="s"/>
      <c r="H36" s="5" t="s"/>
      <c r="I36" s="5" t="s"/>
      <c r="J36" s="5" t="s"/>
      <c r="K36" s="5" t="s"/>
    </row>
    <row r="37" spans="1:11" ht="18.75">
      <c r="A37" s="4">
        <v>36</v>
      </c>
      <c r="B37" s="15" t="s">
        <v>1531</v>
      </c>
      <c r="C37" s="4">
        <v>1517</v>
      </c>
      <c r="D37" s="4" t="str">
        <f>=VLOOKUP(B37,[1]在校生综合信息查询!$A$774:$C$836,2,0)</f>
        <v>25q660701034</v>
      </c>
      <c r="E37" s="5" t="s"/>
      <c r="F37" s="5" t="s"/>
      <c r="G37" s="5" t="s"/>
      <c r="H37" s="5" t="s"/>
      <c r="I37" s="5" t="s"/>
      <c r="J37" s="5" t="s"/>
      <c r="K37" s="5" t="s"/>
    </row>
    <row r="38" spans="1:11" ht="18.75">
      <c r="A38" s="4">
        <v>37</v>
      </c>
      <c r="B38" s="15" t="s">
        <v>1533</v>
      </c>
      <c r="C38" s="4">
        <v>1538</v>
      </c>
      <c r="D38" s="4" t="str">
        <f>=VLOOKUP(B38,[1]在校生综合信息查询!$A$774:$C$836,2,0)</f>
        <v>25q660701005</v>
      </c>
      <c r="E38" s="5" t="s"/>
      <c r="F38" s="5" t="s"/>
      <c r="G38" s="5" t="s"/>
      <c r="H38" s="5" t="s"/>
      <c r="I38" s="5" t="s"/>
      <c r="J38" s="5" t="s"/>
      <c r="K38" s="5" t="s"/>
    </row>
    <row r="39" spans="1:11" ht="18.75">
      <c r="A39" s="4">
        <v>38</v>
      </c>
      <c r="B39" s="15" t="s">
        <v>1535</v>
      </c>
      <c r="C39" s="4">
        <v>1553</v>
      </c>
      <c r="D39" s="4" t="str">
        <f>=VLOOKUP(B39,[1]在校生综合信息查询!$A$774:$C$836,2,0)</f>
        <v>25q660701048</v>
      </c>
      <c r="E39" s="5" t="s"/>
      <c r="F39" s="5" t="s"/>
      <c r="G39" s="5" t="s"/>
      <c r="H39" s="5" t="s"/>
      <c r="I39" s="5" t="s"/>
      <c r="J39" s="5" t="s"/>
      <c r="K39" s="5" t="s"/>
    </row>
    <row r="40" spans="1:11" ht="18.75">
      <c r="A40" s="4">
        <v>39</v>
      </c>
      <c r="B40" s="15" t="s">
        <v>1537</v>
      </c>
      <c r="C40" s="4">
        <v>1527</v>
      </c>
      <c r="D40" s="4" t="str">
        <f>=VLOOKUP(B40,[1]在校生综合信息查询!$A$774:$C$836,2,0)</f>
        <v>25q660701054</v>
      </c>
      <c r="E40" s="6">
        <v>12</v>
      </c>
      <c r="F40" s="6">
        <v>24</v>
      </c>
      <c r="G40" s="6">
        <v>29.5</v>
      </c>
      <c r="H40" s="6">
        <v>24</v>
      </c>
      <c r="I40" s="6">
        <v>0</v>
      </c>
      <c r="J40" s="6">
        <v>0</v>
      </c>
      <c r="K40" s="6">
        <v>0</v>
      </c>
    </row>
    <row r="41" spans="1:11" ht="18.75">
      <c r="A41" s="4">
        <v>40</v>
      </c>
      <c r="B41" s="15" t="s">
        <v>1539</v>
      </c>
      <c r="C41" s="4">
        <v>1540</v>
      </c>
      <c r="D41" s="4" t="str">
        <f>=VLOOKUP(B41,[1]在校生综合信息查询!$A$774:$C$836,2,0)</f>
        <v>25q660701024</v>
      </c>
      <c r="E41" s="6">
        <v>16</v>
      </c>
      <c r="F41" s="6">
        <v>12</v>
      </c>
      <c r="G41" s="6">
        <v>13.5</v>
      </c>
      <c r="H41" s="6">
        <v>20</v>
      </c>
      <c r="I41" s="6">
        <v>32</v>
      </c>
      <c r="J41" s="6">
        <v>44</v>
      </c>
      <c r="K41" s="6">
        <v>12</v>
      </c>
    </row>
    <row r="42" spans="1:11" ht="18.75">
      <c r="A42" s="4">
        <v>41</v>
      </c>
      <c r="B42" s="15" t="s">
        <v>1541</v>
      </c>
      <c r="C42" s="4">
        <v>1543</v>
      </c>
      <c r="D42" s="4" t="str">
        <f>=VLOOKUP(B42,[1]在校生综合信息查询!$A$774:$C$836,2,0)</f>
        <v>25q660701046</v>
      </c>
      <c r="E42" s="6">
        <v>14</v>
      </c>
      <c r="F42" s="6">
        <v>12</v>
      </c>
      <c r="G42" s="6">
        <v>23</v>
      </c>
      <c r="H42" s="5" t="s"/>
      <c r="I42" s="6">
        <v>32</v>
      </c>
      <c r="J42" s="6">
        <v>22</v>
      </c>
      <c r="K42" s="6">
        <v>22</v>
      </c>
    </row>
    <row r="43" spans="1:11" ht="18.75">
      <c r="A43" s="4">
        <v>42</v>
      </c>
      <c r="B43" s="15" t="s">
        <v>1543</v>
      </c>
      <c r="C43" s="4">
        <v>1539</v>
      </c>
      <c r="D43" s="4" t="str">
        <f>=VLOOKUP(B43,[1]在校生综合信息查询!$A$774:$C$836,2,0)</f>
        <v>25q660701013</v>
      </c>
      <c r="E43" s="5" t="s"/>
      <c r="F43" s="5" t="s"/>
      <c r="G43" s="5" t="s"/>
      <c r="H43" s="6">
        <v>14</v>
      </c>
      <c r="I43" s="5" t="s"/>
      <c r="J43" s="5" t="s"/>
      <c r="K43" s="5" t="s"/>
    </row>
    <row r="44" spans="1:11" ht="18.75">
      <c r="A44" s="4">
        <v>43</v>
      </c>
      <c r="B44" s="15" t="s">
        <v>1545</v>
      </c>
      <c r="C44" s="4">
        <v>1516</v>
      </c>
      <c r="D44" s="4" t="str">
        <f>=VLOOKUP(B44,[1]在校生综合信息查询!$A$774:$C$836,2,0)</f>
        <v>25q660701018</v>
      </c>
      <c r="E44" s="6">
        <v>43</v>
      </c>
      <c r="F44" s="6">
        <v>47</v>
      </c>
      <c r="G44" s="6">
        <v>21</v>
      </c>
      <c r="H44" s="6">
        <v>22</v>
      </c>
      <c r="I44" s="6">
        <v>40</v>
      </c>
      <c r="J44" s="6">
        <v>0</v>
      </c>
      <c r="K44" s="6">
        <v>22</v>
      </c>
    </row>
    <row r="45" spans="1:11" ht="18.75">
      <c r="A45" s="4">
        <v>44</v>
      </c>
      <c r="B45" s="15" t="s">
        <v>1547</v>
      </c>
      <c r="C45" s="4">
        <v>1534</v>
      </c>
      <c r="D45" s="4" t="str">
        <f>=VLOOKUP(B45,[1]在校生综合信息查询!$A$774:$C$836,2,0)</f>
        <v>25q660701004</v>
      </c>
      <c r="E45" s="6">
        <v>9</v>
      </c>
      <c r="F45" s="6">
        <v>16</v>
      </c>
      <c r="G45" s="6">
        <v>31</v>
      </c>
      <c r="H45" s="6">
        <v>15</v>
      </c>
      <c r="I45" s="6">
        <v>18</v>
      </c>
      <c r="J45" s="6">
        <v>0</v>
      </c>
      <c r="K45" s="6">
        <v>0</v>
      </c>
    </row>
    <row r="46" spans="1:11" ht="18.75">
      <c r="A46" s="4">
        <v>45</v>
      </c>
      <c r="B46" s="15" t="s">
        <v>1549</v>
      </c>
      <c r="C46" s="4">
        <v>1536</v>
      </c>
      <c r="D46" s="4" t="str">
        <f>=VLOOKUP(B46,[1]在校生综合信息查询!$A$774:$C$836,2,0)</f>
        <v>25q660701015</v>
      </c>
      <c r="E46" s="6">
        <v>52</v>
      </c>
      <c r="F46" s="6">
        <v>56</v>
      </c>
      <c r="G46" s="6">
        <v>16</v>
      </c>
      <c r="H46" s="6">
        <v>21</v>
      </c>
      <c r="I46" s="6">
        <v>42</v>
      </c>
      <c r="J46" s="6">
        <v>50</v>
      </c>
      <c r="K46" s="6">
        <v>31</v>
      </c>
    </row>
    <row r="47" spans="1:11" ht="18.75">
      <c r="A47" s="4">
        <v>46</v>
      </c>
      <c r="B47" s="15" t="s">
        <v>1551</v>
      </c>
      <c r="C47" s="4">
        <v>1550</v>
      </c>
      <c r="D47" s="4" t="str">
        <f>=VLOOKUP(B47,[1]在校生综合信息查询!$A$774:$C$836,2,0)</f>
        <v>25q660701037</v>
      </c>
      <c r="E47" s="6">
        <v>45</v>
      </c>
      <c r="F47" s="6">
        <v>8</v>
      </c>
      <c r="G47" s="6">
        <v>26.5</v>
      </c>
      <c r="H47" s="6">
        <v>28</v>
      </c>
      <c r="I47" s="6">
        <v>66</v>
      </c>
      <c r="J47" s="6">
        <v>72</v>
      </c>
      <c r="K47" s="6">
        <v>50</v>
      </c>
    </row>
    <row r="48" spans="1:11" ht="18.75">
      <c r="A48" s="4">
        <v>47</v>
      </c>
      <c r="B48" s="15" t="s">
        <v>1553</v>
      </c>
      <c r="C48" s="4">
        <v>1500</v>
      </c>
      <c r="D48" s="4" t="str">
        <f>=VLOOKUP(B48,[1]在校生综合信息查询!$A$774:$C$836,2,0)</f>
        <v>25q660701044</v>
      </c>
      <c r="E48" s="6">
        <v>3</v>
      </c>
      <c r="F48" s="6">
        <v>28</v>
      </c>
      <c r="G48" s="6">
        <v>23.5</v>
      </c>
      <c r="H48" s="6">
        <v>15</v>
      </c>
      <c r="I48" s="6">
        <v>38</v>
      </c>
      <c r="J48" s="6">
        <v>60</v>
      </c>
      <c r="K48" s="6">
        <v>12</v>
      </c>
    </row>
    <row r="49" spans="1:11" ht="18.75">
      <c r="A49" s="4">
        <v>48</v>
      </c>
      <c r="B49" s="15" t="s">
        <v>1555</v>
      </c>
      <c r="C49" s="4">
        <v>1522</v>
      </c>
      <c r="D49" s="4" t="str">
        <f>=VLOOKUP(B49,[1]在校生综合信息查询!$A$774:$C$836,2,0)</f>
        <v>25q660701025</v>
      </c>
      <c r="E49" s="6">
        <v>51</v>
      </c>
      <c r="F49" s="6">
        <v>28</v>
      </c>
      <c r="G49" s="6">
        <v>16.5</v>
      </c>
      <c r="H49" s="6">
        <v>30</v>
      </c>
      <c r="I49" s="6">
        <v>62</v>
      </c>
      <c r="J49" s="6">
        <v>80</v>
      </c>
      <c r="K49" s="6">
        <v>42</v>
      </c>
    </row>
    <row r="50" spans="1:11" ht="18.75">
      <c r="A50" s="4">
        <v>49</v>
      </c>
      <c r="B50" s="15" t="s">
        <v>1557</v>
      </c>
      <c r="C50" s="4">
        <v>1511</v>
      </c>
      <c r="D50" s="4" t="str">
        <f>=VLOOKUP(B50,[1]在校生综合信息查询!$A$774:$C$836,2,0)</f>
        <v>25q660701039</v>
      </c>
      <c r="E50" s="5" t="s"/>
      <c r="F50" s="5" t="s"/>
      <c r="G50" s="5" t="s"/>
      <c r="H50" s="5" t="s"/>
      <c r="I50" s="5" t="s"/>
      <c r="J50" s="5" t="s"/>
      <c r="K50" s="5" t="s"/>
    </row>
    <row r="51" spans="1:11" ht="18.75">
      <c r="A51" s="4">
        <v>50</v>
      </c>
      <c r="B51" s="15" t="s">
        <v>1559</v>
      </c>
      <c r="C51" s="4">
        <v>1528</v>
      </c>
      <c r="D51" s="4" t="str">
        <f>=VLOOKUP(B51,[1]在校生综合信息查询!$A$774:$C$836,2,0)</f>
        <v>25q660701042</v>
      </c>
      <c r="E51" s="6">
        <v>21</v>
      </c>
      <c r="F51" s="6">
        <v>24</v>
      </c>
      <c r="G51" s="6">
        <v>18</v>
      </c>
      <c r="H51" s="6">
        <v>0</v>
      </c>
      <c r="I51" s="6">
        <v>0</v>
      </c>
      <c r="J51" s="6">
        <v>36</v>
      </c>
      <c r="K51" s="6">
        <v>6</v>
      </c>
    </row>
    <row r="52" spans="1:11" ht="18.75">
      <c r="A52" s="4">
        <v>51</v>
      </c>
      <c r="B52" s="15" t="s">
        <v>1561</v>
      </c>
      <c r="C52" s="4">
        <v>1512</v>
      </c>
      <c r="D52" s="4" t="str">
        <f>=VLOOKUP(B52,[1]在校生综合信息查询!$A$774:$C$836,2,0)</f>
        <v>25q660701038</v>
      </c>
      <c r="E52" s="5" t="s"/>
      <c r="F52" s="5" t="s"/>
      <c r="G52" s="5" t="s"/>
      <c r="H52" s="5" t="s"/>
      <c r="I52" s="5" t="s"/>
      <c r="J52" s="5" t="s"/>
      <c r="K52" s="6">
        <v>0</v>
      </c>
    </row>
    <row r="53" spans="1:11" ht="18.75">
      <c r="A53" s="4">
        <v>52</v>
      </c>
      <c r="B53" s="15" t="s">
        <v>1563</v>
      </c>
      <c r="C53" s="4">
        <v>1521</v>
      </c>
      <c r="D53" s="4" t="str">
        <f>=VLOOKUP(B53,[1]在校生综合信息查询!$A$774:$C$836,2,0)</f>
        <v>25q660701014</v>
      </c>
      <c r="E53" s="6">
        <v>12</v>
      </c>
      <c r="F53" s="6">
        <v>16</v>
      </c>
      <c r="G53" s="6">
        <v>16.5</v>
      </c>
      <c r="H53" s="6">
        <v>42</v>
      </c>
      <c r="I53" s="6">
        <v>54</v>
      </c>
      <c r="J53" s="6">
        <v>54</v>
      </c>
      <c r="K53" s="6">
        <v>34</v>
      </c>
    </row>
    <row r="54" spans="1:11" ht="18.75">
      <c r="A54" s="4">
        <v>53</v>
      </c>
      <c r="B54" s="4" t="s">
        <v>1565</v>
      </c>
      <c r="C54" s="4">
        <v>1514</v>
      </c>
      <c r="D54" s="4" t="str">
        <f>=VLOOKUP(B54,[1]在校生综合信息查询!$A$774:$C$836,2,0)</f>
        <v>25q660701032</v>
      </c>
      <c r="E54" s="5" t="s"/>
      <c r="F54" s="5" t="s"/>
      <c r="G54" s="5" t="s"/>
      <c r="H54" s="5" t="s"/>
      <c r="I54" s="5" t="s"/>
      <c r="J54" s="5" t="s"/>
      <c r="K54" s="6">
        <v>0</v>
      </c>
    </row>
    <row r="55" spans="1:11" ht="18.75">
      <c r="A55" s="4">
        <v>54</v>
      </c>
      <c r="B55" s="4" t="s">
        <v>1567</v>
      </c>
      <c r="C55" s="4" t="s"/>
      <c r="D55" s="4" t="str">
        <f>=VLOOKUP(B55,[1]在校生综合信息查询!$A$774:$C$836,2,0)</f>
        <v>25q660701035</v>
      </c>
      <c r="E55" s="5" t="s"/>
      <c r="F55" s="5" t="s"/>
      <c r="G55" s="5" t="s"/>
      <c r="H55" s="5" t="s"/>
      <c r="I55" s="5" t="s"/>
      <c r="J55" s="5" t="s"/>
      <c r="K55" s="6">
        <v>0</v>
      </c>
    </row>
    <row r="56" spans="1:11" ht="18.75">
      <c r="A56" s="4">
        <v>55</v>
      </c>
      <c r="B56" s="4" t="s">
        <v>1569</v>
      </c>
      <c r="C56" s="4" t="s"/>
      <c r="D56" s="4" t="str">
        <f>=VLOOKUP(B56,[1]在校生综合信息查询!$A$774:$C$836,2,0)</f>
        <v>25q660701053</v>
      </c>
      <c r="E56" s="6">
        <v>18</v>
      </c>
      <c r="F56" s="6">
        <v>24</v>
      </c>
      <c r="G56" s="6">
        <v>20.5</v>
      </c>
      <c r="H56" s="6">
        <v>38</v>
      </c>
      <c r="I56" s="6">
        <v>74</v>
      </c>
      <c r="J56" s="6">
        <v>56</v>
      </c>
      <c r="K56" s="6">
        <v>28</v>
      </c>
    </row>
    <row r="57" spans="1:11" ht="18.75">
      <c r="A57" s="4">
        <v>56</v>
      </c>
      <c r="B57" s="4" t="s">
        <v>1571</v>
      </c>
      <c r="C57" s="4" t="s"/>
      <c r="D57" s="4" t="str">
        <f>=VLOOKUP(B57,[1]在校生综合信息查询!$A$774:$C$836,2,0)</f>
        <v>25q660701056</v>
      </c>
      <c r="E57" s="5" t="s"/>
      <c r="F57" s="5" t="s"/>
      <c r="G57" s="5" t="s"/>
      <c r="H57" s="6">
        <v>0</v>
      </c>
      <c r="I57" s="5" t="s"/>
      <c r="J57" s="5" t="s"/>
      <c r="K57" s="5" t="s"/>
    </row>
    <row r="58" spans="1:11" ht="18.75">
      <c r="A58" s="4">
        <v>57</v>
      </c>
      <c r="B58" s="4" t="s">
        <v>1573</v>
      </c>
      <c r="C58" s="4" t="s"/>
      <c r="D58" s="4" t="str">
        <f>=VLOOKUP(B58,[1]在校生综合信息查询!$A$774:$C$836,2,0)</f>
        <v>25q660701020</v>
      </c>
      <c r="E58" s="6">
        <v>17</v>
      </c>
      <c r="F58" s="6">
        <v>20</v>
      </c>
      <c r="G58" s="6">
        <v>33.5</v>
      </c>
      <c r="H58" s="6">
        <v>19</v>
      </c>
      <c r="I58" s="6">
        <v>56</v>
      </c>
      <c r="J58" s="6">
        <v>50</v>
      </c>
      <c r="K58" s="6">
        <v>24</v>
      </c>
    </row>
    <row r="59" spans="1:11" ht="18.75">
      <c r="A59" s="4">
        <v>58</v>
      </c>
      <c r="B59" s="4" t="s">
        <v>1575</v>
      </c>
      <c r="C59" s="4" t="s"/>
      <c r="D59" s="4" t="str">
        <f>=VLOOKUP(B59,[1]在校生综合信息查询!$A$774:$C$836,2,0)</f>
        <v>25q660701009</v>
      </c>
      <c r="E59" s="6">
        <v>52</v>
      </c>
      <c r="F59" s="6">
        <v>40</v>
      </c>
      <c r="G59" s="6">
        <v>34.5</v>
      </c>
      <c r="H59" s="6">
        <v>22</v>
      </c>
      <c r="I59" s="6">
        <v>40</v>
      </c>
      <c r="J59" s="6">
        <v>44</v>
      </c>
      <c r="K59" s="6">
        <v>12</v>
      </c>
    </row>
    <row r="60" spans="1:11" ht="18.75">
      <c r="A60" s="4">
        <v>59</v>
      </c>
      <c r="B60" s="4" t="s">
        <v>1577</v>
      </c>
      <c r="C60" s="4" t="s"/>
      <c r="D60" s="4" t="str">
        <f>=VLOOKUP(B60,[1]在校生综合信息查询!$A$774:$C$836,2,0)</f>
        <v>25q660701026</v>
      </c>
      <c r="E60" s="6">
        <v>9</v>
      </c>
      <c r="F60" s="6">
        <v>12</v>
      </c>
      <c r="G60" s="6">
        <v>15</v>
      </c>
      <c r="H60" s="6">
        <v>26</v>
      </c>
      <c r="I60" s="6">
        <v>40</v>
      </c>
      <c r="J60" s="6">
        <v>28</v>
      </c>
      <c r="K60" s="6">
        <v>10</v>
      </c>
    </row>
    <row r="61" spans="1:11" ht="18.75">
      <c r="A61" s="4">
        <v>60</v>
      </c>
      <c r="B61" s="4" t="s">
        <v>1579</v>
      </c>
      <c r="C61" s="4" t="s"/>
      <c r="D61" s="4" t="str">
        <f>=VLOOKUP(B61,[1]在校生综合信息查询!$A$774:$C$836,2,0)</f>
        <v>25q660701010</v>
      </c>
      <c r="E61" s="5" t="s"/>
      <c r="F61" s="5" t="s"/>
      <c r="G61" s="5" t="s"/>
      <c r="H61" s="6">
        <v>0</v>
      </c>
      <c r="I61" s="5" t="s"/>
      <c r="J61" s="5" t="s"/>
      <c r="K61" s="6">
        <v>0</v>
      </c>
    </row>
    <row r="62" spans="1:11" ht="18.75">
      <c r="A62" s="4">
        <v>61</v>
      </c>
      <c r="B62" s="4" t="s">
        <v>1581</v>
      </c>
      <c r="C62" s="4" t="s"/>
      <c r="D62" s="4" t="str">
        <f>=VLOOKUP(B62,[1]在校生综合信息查询!$A$774:$C$836,2,0)</f>
        <v>25q660701019</v>
      </c>
      <c r="E62" s="5" t="s"/>
      <c r="F62" s="5" t="s"/>
      <c r="G62" s="5" t="s"/>
      <c r="H62" s="6">
        <v>0</v>
      </c>
      <c r="I62" s="5" t="s"/>
      <c r="J62" s="5" t="s"/>
      <c r="K62" s="6">
        <v>0</v>
      </c>
    </row>
    <row r="63" spans="1:11" ht="18.75">
      <c r="A63" s="4">
        <v>62</v>
      </c>
      <c r="B63" s="4" t="s">
        <v>1583</v>
      </c>
      <c r="C63" s="4" t="s"/>
      <c r="D63" s="4" t="str">
        <f>=VLOOKUP(B63,[1]在校生综合信息查询!$A$774:$C$836,2,0)</f>
        <v>25q660701012</v>
      </c>
      <c r="E63" s="6">
        <v>6</v>
      </c>
      <c r="F63" s="6">
        <v>36</v>
      </c>
      <c r="G63" s="6">
        <v>18</v>
      </c>
      <c r="H63" s="6">
        <v>23</v>
      </c>
      <c r="I63" s="6">
        <v>40</v>
      </c>
      <c r="J63" s="6">
        <v>54</v>
      </c>
      <c r="K63" s="6">
        <v>22</v>
      </c>
    </row>
    <row r="64" spans="1:2">
      <c r="A64" s="13" t="s"/>
      <c r="B64" s="8" t="s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/>
  <dimension ref="K77"/>
  <sheetViews>
    <sheetView showGridLines="1" workbookViewId="0"/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17.375" style="123" customWidth="1"/>
    <col min="8" max="8" width="13.875" style="124" customWidth="1"/>
    <col min="9" max="9" width="43.25" customWidth="1"/>
    <col min="10" max="10" width="15" customWidth="1"/>
    <col min="11" max="11" width="23.75" customWidth="1"/>
  </cols>
  <sheetData>
    <row r="1" spans="1:13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8" t="s">
        <v>1585</v>
      </c>
      <c r="I1" s="4" t="s">
        <v>1586</v>
      </c>
      <c r="J1" s="4" t="s">
        <v>1587</v>
      </c>
      <c r="K1" s="4" t="s">
        <v>1588</v>
      </c>
      <c r="L1" s="5" t="s">
        <v>11</v>
      </c>
      <c r="M1" s="46" t="s">
        <v>12</v>
      </c>
    </row>
    <row r="2" spans="1:13" ht="18.75">
      <c r="A2" s="4">
        <v>1</v>
      </c>
      <c r="B2" s="4" t="s">
        <v>1589</v>
      </c>
      <c r="C2" s="4">
        <v>1564</v>
      </c>
      <c r="D2" s="4" t="str">
        <f>=VLOOKUP(B3,[1]在校生综合信息查询!$A$837:$C$900,2,0)</f>
        <v>25q660103004</v>
      </c>
      <c r="E2" s="12">
        <v>6</v>
      </c>
      <c r="F2" s="12">
        <v>16</v>
      </c>
      <c r="G2" s="12">
        <v>12.5</v>
      </c>
      <c r="H2" s="48">
        <v>7</v>
      </c>
      <c r="I2" s="12">
        <v>28</v>
      </c>
      <c r="J2" s="49">
        <v>32</v>
      </c>
      <c r="K2" s="12">
        <v>22</v>
      </c>
      <c r="L2" s="5">
        <f>=SUM(E2:K2)</f>
        <v>123.5</v>
      </c>
      <c r="M2" s="47">
        <f>=RANK(L2,$L$2:$L$65)</f>
        <v>29</v>
      </c>
    </row>
    <row r="3" spans="1:13" ht="18.75">
      <c r="A3" s="4">
        <v>2</v>
      </c>
      <c r="B3" s="4" t="s">
        <v>1591</v>
      </c>
      <c r="C3" s="4">
        <v>1565</v>
      </c>
      <c r="D3" s="4" t="str">
        <f>=VLOOKUP(B4,[1]在校生综合信息查询!$A$837:$C$900,2,0)</f>
        <v>25q660103005</v>
      </c>
      <c r="E3" s="12">
        <v>6</v>
      </c>
      <c r="F3" s="12">
        <v>0</v>
      </c>
      <c r="G3" s="12">
        <v>14</v>
      </c>
      <c r="H3" s="48">
        <v>12</v>
      </c>
      <c r="I3" s="12">
        <v>26</v>
      </c>
      <c r="J3" s="50">
        <v>16</v>
      </c>
      <c r="K3" s="12">
        <v>12</v>
      </c>
      <c r="L3" s="5">
        <f>=SUM(E3:K3)</f>
        <v>86</v>
      </c>
      <c r="M3" s="47">
        <f>=RANK(L3,$L$2:$L$65)</f>
        <v>43</v>
      </c>
    </row>
    <row r="4" spans="1:13" ht="18.75">
      <c r="A4" s="4">
        <v>3</v>
      </c>
      <c r="B4" s="4" t="s">
        <v>1593</v>
      </c>
      <c r="C4" s="4">
        <v>1566</v>
      </c>
      <c r="D4" s="4" t="str">
        <f>=VLOOKUP(B5,[1]在校生综合信息查询!$A$837:$C$900,2,0)</f>
        <v>25q660103006</v>
      </c>
      <c r="E4" s="12">
        <v>12</v>
      </c>
      <c r="F4" s="12">
        <v>8</v>
      </c>
      <c r="G4" s="12">
        <v>6</v>
      </c>
      <c r="H4" s="48">
        <v>8</v>
      </c>
      <c r="I4" s="12">
        <v>16</v>
      </c>
      <c r="J4" s="51">
        <v>17</v>
      </c>
      <c r="K4" s="12">
        <v>6</v>
      </c>
      <c r="L4" s="5">
        <f>=SUM(E4:K4)</f>
        <v>73</v>
      </c>
      <c r="M4" s="47">
        <f>=RANK(L4,$L$2:$L$65)</f>
        <v>44</v>
      </c>
    </row>
    <row r="5" spans="1:13" ht="18.75">
      <c r="A5" s="4">
        <v>4</v>
      </c>
      <c r="B5" s="4" t="s">
        <v>1595</v>
      </c>
      <c r="C5" s="4">
        <v>1567</v>
      </c>
      <c r="D5" s="4" t="str">
        <f>=VLOOKUP(B6,[1]在校生综合信息查询!$A$837:$C$900,2,0)</f>
        <v>25q660103007</v>
      </c>
      <c r="E5" s="12">
        <v>42</v>
      </c>
      <c r="F5" s="12">
        <v>20</v>
      </c>
      <c r="G5" s="12">
        <v>22.5</v>
      </c>
      <c r="H5" s="48">
        <v>11</v>
      </c>
      <c r="I5" s="12">
        <v>26</v>
      </c>
      <c r="J5" s="50">
        <v>34</v>
      </c>
      <c r="K5" s="12">
        <v>37</v>
      </c>
      <c r="L5" s="5">
        <f>=SUM(E5:K5)</f>
        <v>192.5</v>
      </c>
      <c r="M5" s="47">
        <f>=RANK(L5,$L$2:$L$65)</f>
        <v>8</v>
      </c>
    </row>
    <row r="6" spans="1:13" ht="18.75">
      <c r="A6" s="4">
        <v>5</v>
      </c>
      <c r="B6" s="4" t="s">
        <v>1597</v>
      </c>
      <c r="C6" s="4">
        <v>1561</v>
      </c>
      <c r="D6" s="4" t="str">
        <f>=VLOOKUP(B7,[1]在校生综合信息查询!$A$837:$C$900,2,0)</f>
        <v>25q660103010</v>
      </c>
      <c r="E6" s="52">
        <v>61</v>
      </c>
      <c r="F6" s="52">
        <v>51</v>
      </c>
      <c r="G6" s="52">
        <v>14</v>
      </c>
      <c r="H6" s="48">
        <v>35</v>
      </c>
      <c r="I6" s="12">
        <v>20</v>
      </c>
      <c r="J6" s="51">
        <v>34</v>
      </c>
      <c r="K6" s="12">
        <v>28</v>
      </c>
      <c r="L6" s="5">
        <f>=SUM(E6:K6)</f>
        <v>243</v>
      </c>
      <c r="M6" s="47">
        <f>=RANK(L6,$L$2:$L$65)</f>
        <v>4</v>
      </c>
    </row>
    <row r="7" spans="1:13" ht="18.75">
      <c r="A7" s="4">
        <v>6</v>
      </c>
      <c r="B7" s="4" t="s">
        <v>1599</v>
      </c>
      <c r="C7" s="4">
        <v>1568</v>
      </c>
      <c r="D7" s="4" t="str">
        <f>=VLOOKUP(B8,[1]在校生综合信息查询!$A$837:$C$900,2,0)</f>
        <v>25q660103011</v>
      </c>
      <c r="E7" s="12">
        <v>21</v>
      </c>
      <c r="F7" s="12">
        <v>12</v>
      </c>
      <c r="G7" s="12">
        <v>23</v>
      </c>
      <c r="H7" s="48">
        <v>0</v>
      </c>
      <c r="I7" s="12">
        <v>0</v>
      </c>
      <c r="J7" s="50">
        <v>17</v>
      </c>
      <c r="K7" s="12">
        <v>0</v>
      </c>
      <c r="L7" s="5">
        <f>=SUM(E7:K7)</f>
        <v>73</v>
      </c>
      <c r="M7" s="47">
        <f>=RANK(L7,$L$2:$L$65)</f>
        <v>44</v>
      </c>
    </row>
    <row r="8" spans="1:13" ht="18.75">
      <c r="A8" s="4">
        <v>7</v>
      </c>
      <c r="B8" s="4" t="s">
        <v>1601</v>
      </c>
      <c r="C8" s="4">
        <v>1569</v>
      </c>
      <c r="D8" s="4" t="str">
        <f>=VLOOKUP(B9,[1]在校生综合信息查询!$A$837:$C$900,2,0)</f>
        <v>25q660103012</v>
      </c>
      <c r="E8" s="12">
        <v>0</v>
      </c>
      <c r="F8" s="12">
        <v>0</v>
      </c>
      <c r="G8" s="12">
        <v>0</v>
      </c>
      <c r="H8" s="48">
        <v>0</v>
      </c>
      <c r="I8" s="12">
        <v>0</v>
      </c>
      <c r="J8" s="51" t="s">
        <v>105</v>
      </c>
      <c r="K8" s="12">
        <v>0</v>
      </c>
      <c r="L8" s="5">
        <f>=SUM(E8:K8)</f>
        <v>0</v>
      </c>
      <c r="M8" s="47">
        <f>=RANK(L8,$L$2:$L$65)</f>
        <v>52</v>
      </c>
    </row>
    <row r="9" spans="1:13" ht="18.75">
      <c r="A9" s="4">
        <v>8</v>
      </c>
      <c r="B9" s="4" t="s">
        <v>1603</v>
      </c>
      <c r="C9" s="4">
        <v>1570</v>
      </c>
      <c r="D9" s="4" t="str">
        <f>=VLOOKUP(B10,[1]在校生综合信息查询!$A$837:$C$900,2,0)</f>
        <v>25q660103013</v>
      </c>
      <c r="E9" s="12">
        <v>48</v>
      </c>
      <c r="F9" s="12">
        <v>20</v>
      </c>
      <c r="G9" s="12">
        <v>19</v>
      </c>
      <c r="H9" s="48">
        <v>4</v>
      </c>
      <c r="I9" s="12">
        <v>26</v>
      </c>
      <c r="J9" s="50">
        <v>35</v>
      </c>
      <c r="K9" s="12">
        <v>20</v>
      </c>
      <c r="L9" s="5">
        <f>=SUM(E9:K9)</f>
        <v>172</v>
      </c>
      <c r="M9" s="47">
        <f>=RANK(L9,$L$2:$L$65)</f>
        <v>14</v>
      </c>
    </row>
    <row r="10" spans="1:13" ht="18.75">
      <c r="A10" s="4">
        <v>9</v>
      </c>
      <c r="B10" s="4" t="s">
        <v>1605</v>
      </c>
      <c r="C10" s="4">
        <v>1571</v>
      </c>
      <c r="D10" s="4" t="str">
        <f>=VLOOKUP(B11,[1]在校生综合信息查询!$A$837:$C$900,2,0)</f>
        <v>25q660103014</v>
      </c>
      <c r="E10" s="12">
        <v>61</v>
      </c>
      <c r="F10" s="12">
        <v>51</v>
      </c>
      <c r="G10" s="12">
        <v>23</v>
      </c>
      <c r="H10" s="48">
        <v>61</v>
      </c>
      <c r="I10" s="12">
        <v>21.5</v>
      </c>
      <c r="J10" s="51">
        <v>37</v>
      </c>
      <c r="K10" s="12">
        <v>34</v>
      </c>
      <c r="L10" s="5">
        <f>=SUM(E10:K10)</f>
        <v>288.5</v>
      </c>
      <c r="M10" s="47">
        <f>=RANK(L10,$L$2:$L$65)</f>
        <v>1</v>
      </c>
    </row>
    <row r="11" spans="1:13" ht="18.75">
      <c r="A11" s="4">
        <v>10</v>
      </c>
      <c r="B11" s="4" t="s">
        <v>1607</v>
      </c>
      <c r="C11" s="4">
        <v>1572</v>
      </c>
      <c r="D11" s="4" t="str">
        <f>=VLOOKUP(B12,[1]在校生综合信息查询!$A$837:$C$900,2,0)</f>
        <v>25q660103015</v>
      </c>
      <c r="E11" s="12">
        <v>52</v>
      </c>
      <c r="F11" s="12">
        <v>32</v>
      </c>
      <c r="G11" s="12">
        <v>26.5</v>
      </c>
      <c r="H11" s="48">
        <v>18</v>
      </c>
      <c r="I11" s="12">
        <v>25</v>
      </c>
      <c r="J11" s="50">
        <v>34</v>
      </c>
      <c r="K11" s="12">
        <v>28</v>
      </c>
      <c r="L11" s="5">
        <f>=SUM(E11:K11)</f>
        <v>215.5</v>
      </c>
      <c r="M11" s="47">
        <f>=RANK(L11,$L$2:$L$65)</f>
        <v>5</v>
      </c>
    </row>
    <row r="12" spans="1:13" ht="18.75">
      <c r="A12" s="4">
        <v>11</v>
      </c>
      <c r="B12" s="4" t="s">
        <v>1609</v>
      </c>
      <c r="C12" s="4">
        <v>1573</v>
      </c>
      <c r="D12" s="4" t="str">
        <f>=VLOOKUP(B13,[1]在校生综合信息查询!$A$837:$C$900,2,0)</f>
        <v>25q660103017</v>
      </c>
      <c r="E12" s="12">
        <v>0</v>
      </c>
      <c r="F12" s="12">
        <v>0</v>
      </c>
      <c r="G12" s="12">
        <v>0</v>
      </c>
      <c r="H12" s="48">
        <v>0</v>
      </c>
      <c r="I12" s="12">
        <v>0</v>
      </c>
      <c r="J12" s="51" t="s">
        <v>105</v>
      </c>
      <c r="K12" s="12">
        <v>0</v>
      </c>
      <c r="L12" s="5">
        <f>=SUM(E12:K12)</f>
        <v>0</v>
      </c>
      <c r="M12" s="47">
        <f>=RANK(L12,$L$2:$L$65)</f>
        <v>52</v>
      </c>
    </row>
    <row r="13" spans="1:13" ht="18.75">
      <c r="A13" s="4">
        <v>12</v>
      </c>
      <c r="B13" s="4" t="s">
        <v>1611</v>
      </c>
      <c r="C13" s="4">
        <v>1574</v>
      </c>
      <c r="D13" s="4" t="str">
        <f>=VLOOKUP(B14,[1]在校生综合信息查询!$A$837:$C$900,2,0)</f>
        <v>25q660103018</v>
      </c>
      <c r="E13" s="12">
        <v>25</v>
      </c>
      <c r="F13" s="12">
        <v>27</v>
      </c>
      <c r="G13" s="12">
        <v>18.5</v>
      </c>
      <c r="H13" s="48">
        <v>11</v>
      </c>
      <c r="I13" s="12">
        <v>28</v>
      </c>
      <c r="J13" s="50">
        <v>37</v>
      </c>
      <c r="K13" s="12">
        <v>20</v>
      </c>
      <c r="L13" s="5">
        <f>=SUM(E13:K13)</f>
        <v>166.5</v>
      </c>
      <c r="M13" s="47">
        <f>=RANK(L13,$L$2:$L$65)</f>
        <v>16</v>
      </c>
    </row>
    <row r="14" spans="1:13" ht="18.75">
      <c r="A14" s="4">
        <v>13</v>
      </c>
      <c r="B14" s="4" t="s">
        <v>1613</v>
      </c>
      <c r="C14" s="4">
        <v>1562</v>
      </c>
      <c r="D14" s="4" t="str">
        <f>=VLOOKUP(B15,[1]在校生综合信息查询!$A$837:$C$900,2,0)</f>
        <v>25q660103019</v>
      </c>
      <c r="E14" s="12">
        <v>49</v>
      </c>
      <c r="F14" s="12">
        <v>8</v>
      </c>
      <c r="G14" s="12" t="s">
        <v>1615</v>
      </c>
      <c r="H14" s="48">
        <v>20</v>
      </c>
      <c r="I14" s="12">
        <v>27</v>
      </c>
      <c r="J14" s="51">
        <v>50</v>
      </c>
      <c r="K14" s="12">
        <v>29</v>
      </c>
      <c r="L14" s="5">
        <f>=SUM(E14:K14)</f>
        <v>183</v>
      </c>
      <c r="M14" s="47">
        <f>=RANK(L14,$L$2:$L$65)</f>
        <v>10</v>
      </c>
    </row>
    <row r="15" spans="1:13" ht="18.75">
      <c r="A15" s="4">
        <v>14</v>
      </c>
      <c r="B15" s="4" t="s">
        <v>1616</v>
      </c>
      <c r="C15" s="4">
        <v>1575</v>
      </c>
      <c r="D15" s="4" t="str">
        <f>=VLOOKUP(B16,[1]在校生综合信息查询!$A$837:$C$900,2,0)</f>
        <v>25q660103020</v>
      </c>
      <c r="E15" s="12">
        <v>0</v>
      </c>
      <c r="F15" s="12">
        <v>0</v>
      </c>
      <c r="G15" s="12">
        <v>0</v>
      </c>
      <c r="H15" s="48">
        <v>0</v>
      </c>
      <c r="I15" s="12">
        <v>0</v>
      </c>
      <c r="J15" s="50" t="s">
        <v>105</v>
      </c>
      <c r="K15" s="12">
        <v>0</v>
      </c>
      <c r="L15" s="5">
        <f>=SUM(E15:K15)</f>
        <v>0</v>
      </c>
      <c r="M15" s="47">
        <f>=RANK(L15,$L$2:$L$65)</f>
        <v>52</v>
      </c>
    </row>
    <row r="16" spans="1:13" ht="18.75">
      <c r="A16" s="4">
        <v>15</v>
      </c>
      <c r="B16" s="4" t="s">
        <v>1618</v>
      </c>
      <c r="C16" s="4">
        <v>1576</v>
      </c>
      <c r="D16" s="4" t="str">
        <f>=VLOOKUP(B17,[1]在校生综合信息查询!$A$837:$C$900,2,0)</f>
        <v>25q660103021</v>
      </c>
      <c r="E16" s="12">
        <v>33</v>
      </c>
      <c r="F16" s="12">
        <v>28</v>
      </c>
      <c r="G16" s="12">
        <v>23.5</v>
      </c>
      <c r="H16" s="48">
        <v>23</v>
      </c>
      <c r="I16" s="12">
        <v>24.5</v>
      </c>
      <c r="J16" s="51">
        <v>25</v>
      </c>
      <c r="K16" s="12">
        <v>21</v>
      </c>
      <c r="L16" s="5">
        <f>=SUM(E16:K16)</f>
        <v>178</v>
      </c>
      <c r="M16" s="47">
        <f>=RANK(L16,$L$2:$L$65)</f>
        <v>12</v>
      </c>
    </row>
    <row r="17" spans="1:13" ht="18.75">
      <c r="A17" s="4">
        <v>16</v>
      </c>
      <c r="B17" s="4" t="s">
        <v>1620</v>
      </c>
      <c r="C17" s="4">
        <v>1577</v>
      </c>
      <c r="D17" s="4" t="str">
        <f>=VLOOKUP(B18,[1]在校生综合信息查询!$A$837:$C$900,2,0)</f>
        <v>25q660103022</v>
      </c>
      <c r="E17" s="12">
        <v>0</v>
      </c>
      <c r="F17" s="12">
        <v>0</v>
      </c>
      <c r="G17" s="12">
        <v>0</v>
      </c>
      <c r="H17" s="48">
        <v>0</v>
      </c>
      <c r="I17" s="12">
        <v>0</v>
      </c>
      <c r="J17" s="50" t="s">
        <v>105</v>
      </c>
      <c r="K17" s="12">
        <v>0</v>
      </c>
      <c r="L17" s="5">
        <f>=SUM(E17:K17)</f>
        <v>0</v>
      </c>
      <c r="M17" s="47">
        <f>=RANK(L17,$L$2:$L$65)</f>
        <v>52</v>
      </c>
    </row>
    <row r="18" spans="1:13" ht="18.75">
      <c r="A18" s="4">
        <v>17</v>
      </c>
      <c r="B18" s="4" t="s">
        <v>1622</v>
      </c>
      <c r="C18" s="4">
        <v>1578</v>
      </c>
      <c r="D18" s="4" t="str">
        <f>=VLOOKUP(B19,[1]在校生综合信息查询!$A$837:$C$900,2,0)</f>
        <v>25q660103124</v>
      </c>
      <c r="E18" s="12">
        <v>22</v>
      </c>
      <c r="F18" s="12">
        <v>12</v>
      </c>
      <c r="G18" s="12">
        <v>17.5</v>
      </c>
      <c r="H18" s="48">
        <v>3</v>
      </c>
      <c r="I18" s="12">
        <v>25</v>
      </c>
      <c r="J18" s="51">
        <v>34</v>
      </c>
      <c r="K18" s="12">
        <v>24</v>
      </c>
      <c r="L18" s="5">
        <f>=SUM(E18:K18)</f>
        <v>137.5</v>
      </c>
      <c r="M18" s="47">
        <f>=RANK(L18,$L$2:$L$65)</f>
        <v>23</v>
      </c>
    </row>
    <row r="19" spans="1:13" ht="18.75">
      <c r="A19" s="4">
        <v>18</v>
      </c>
      <c r="B19" s="4" t="s">
        <v>1624</v>
      </c>
      <c r="C19" s="4">
        <v>1620</v>
      </c>
      <c r="D19" s="4" t="str">
        <f>=VLOOKUP(B20,[1]在校生综合信息查询!$A$837:$C$900,2,0)</f>
        <v>25q660103023</v>
      </c>
      <c r="E19" s="12">
        <v>16</v>
      </c>
      <c r="F19" s="12">
        <v>8</v>
      </c>
      <c r="G19" s="12">
        <v>11.5</v>
      </c>
      <c r="H19" s="48">
        <v>9</v>
      </c>
      <c r="I19" s="12">
        <v>16</v>
      </c>
      <c r="J19" s="53">
        <v>15</v>
      </c>
      <c r="K19" s="12">
        <v>18</v>
      </c>
      <c r="L19" s="5">
        <f>=SUM(E19:K19)</f>
        <v>93.5</v>
      </c>
      <c r="M19" s="47">
        <f>=RANK(L19,$L$2:$L$65)</f>
        <v>40</v>
      </c>
    </row>
    <row r="20" spans="1:13" ht="18.75">
      <c r="A20" s="4">
        <v>19</v>
      </c>
      <c r="B20" s="4" t="s">
        <v>1626</v>
      </c>
      <c r="C20" s="4">
        <v>1579</v>
      </c>
      <c r="D20" s="4" t="str">
        <f>=VLOOKUP(B21,[1]在校生综合信息查询!$A$837:$C$900,2,0)</f>
        <v>25q660103024</v>
      </c>
      <c r="E20" s="12">
        <v>0</v>
      </c>
      <c r="F20" s="12">
        <v>0</v>
      </c>
      <c r="G20" s="12">
        <v>0</v>
      </c>
      <c r="H20" s="48">
        <v>0</v>
      </c>
      <c r="I20" s="12">
        <v>0</v>
      </c>
      <c r="J20" s="51" t="s">
        <v>105</v>
      </c>
      <c r="K20" s="12">
        <v>0</v>
      </c>
      <c r="L20" s="5">
        <f>=SUM(E20:K20)</f>
        <v>0</v>
      </c>
      <c r="M20" s="47">
        <f>=RANK(L20,$L$2:$L$65)</f>
        <v>52</v>
      </c>
    </row>
    <row r="21" spans="1:13" ht="18.75">
      <c r="A21" s="4">
        <v>20</v>
      </c>
      <c r="B21" s="4" t="s">
        <v>1628</v>
      </c>
      <c r="C21" s="4">
        <v>1580</v>
      </c>
      <c r="D21" s="4" t="str">
        <f>=VLOOKUP(B22,[1]在校生综合信息查询!$A$837:$C$900,2,0)</f>
        <v>25q660103025</v>
      </c>
      <c r="E21" s="12">
        <v>6</v>
      </c>
      <c r="F21" s="12">
        <v>16</v>
      </c>
      <c r="G21" s="12">
        <v>25.5</v>
      </c>
      <c r="H21" s="48">
        <v>22</v>
      </c>
      <c r="I21" s="12">
        <v>22</v>
      </c>
      <c r="J21" s="50">
        <v>29</v>
      </c>
      <c r="K21" s="12">
        <v>14</v>
      </c>
      <c r="L21" s="5">
        <f>=SUM(E21:K21)</f>
        <v>134.5</v>
      </c>
      <c r="M21" s="47">
        <f>=RANK(L21,$L$2:$L$65)</f>
        <v>25</v>
      </c>
    </row>
    <row r="22" spans="1:13" ht="18.75">
      <c r="A22" s="4">
        <v>21</v>
      </c>
      <c r="B22" s="4" t="s">
        <v>1630</v>
      </c>
      <c r="C22" s="4">
        <v>1581</v>
      </c>
      <c r="D22" s="4" t="str">
        <f>=VLOOKUP(B23,[1]在校生综合信息查询!$A$837:$C$900,2,0)</f>
        <v>25q660103026</v>
      </c>
      <c r="E22" s="12">
        <v>16</v>
      </c>
      <c r="F22" s="12">
        <v>20</v>
      </c>
      <c r="G22" s="12">
        <v>17.5</v>
      </c>
      <c r="H22" s="48">
        <v>11</v>
      </c>
      <c r="I22" s="12">
        <v>24</v>
      </c>
      <c r="J22" s="51">
        <v>26</v>
      </c>
      <c r="K22" s="12">
        <v>24</v>
      </c>
      <c r="L22" s="5">
        <f>=SUM(E22:K22)</f>
        <v>138.5</v>
      </c>
      <c r="M22" s="47">
        <f>=RANK(L22,$L$2:$L$65)</f>
        <v>21</v>
      </c>
    </row>
    <row r="23" spans="1:13" ht="18.75">
      <c r="A23" s="4">
        <v>22</v>
      </c>
      <c r="B23" s="4" t="s">
        <v>1632</v>
      </c>
      <c r="C23" s="4">
        <v>1582</v>
      </c>
      <c r="D23" s="4" t="str">
        <f>=VLOOKUP(B24,[1]在校生综合信息查询!$A$837:$C$900,2,0)</f>
        <v>25q660103027</v>
      </c>
      <c r="E23" s="12">
        <v>28</v>
      </c>
      <c r="F23" s="12">
        <v>12</v>
      </c>
      <c r="G23" s="12">
        <v>24.5</v>
      </c>
      <c r="H23" s="48">
        <v>6</v>
      </c>
      <c r="I23" s="12">
        <v>27</v>
      </c>
      <c r="J23" s="50">
        <v>18</v>
      </c>
      <c r="K23" s="12">
        <v>12</v>
      </c>
      <c r="L23" s="5">
        <f>=SUM(E23:K23)</f>
        <v>127.5</v>
      </c>
      <c r="M23" s="47">
        <f>=RANK(L23,$L$2:$L$65)</f>
        <v>27</v>
      </c>
    </row>
    <row r="24" spans="1:13" ht="18.75">
      <c r="A24" s="4">
        <v>23</v>
      </c>
      <c r="B24" s="4" t="s">
        <v>1634</v>
      </c>
      <c r="C24" s="4">
        <v>1583</v>
      </c>
      <c r="D24" s="4" t="str">
        <f>=VLOOKUP(B25,[1]在校生综合信息查询!$A$837:$C$900,2,0)</f>
        <v>25q660103028</v>
      </c>
      <c r="E24" s="12">
        <v>12</v>
      </c>
      <c r="F24" s="12">
        <v>8</v>
      </c>
      <c r="G24" s="12">
        <v>28.5</v>
      </c>
      <c r="H24" s="48">
        <v>10</v>
      </c>
      <c r="I24" s="12">
        <v>14</v>
      </c>
      <c r="J24" s="51">
        <v>17</v>
      </c>
      <c r="K24" s="12">
        <v>30</v>
      </c>
      <c r="L24" s="5">
        <f>=SUM(E24:K24)</f>
        <v>119.5</v>
      </c>
      <c r="M24" s="47">
        <f>=RANK(L24,$L$2:$L$65)</f>
        <v>33</v>
      </c>
    </row>
    <row r="25" spans="1:13" ht="18.75">
      <c r="A25" s="4">
        <v>24</v>
      </c>
      <c r="B25" s="4" t="s">
        <v>1636</v>
      </c>
      <c r="C25" s="4">
        <v>1584</v>
      </c>
      <c r="D25" s="4" t="str">
        <f>=VLOOKUP(B26,[1]在校生综合信息查询!$A$837:$C$900,2,0)</f>
        <v>25q660103123</v>
      </c>
      <c r="E25" s="12">
        <v>9</v>
      </c>
      <c r="F25" s="12">
        <v>8</v>
      </c>
      <c r="G25" s="12">
        <v>22</v>
      </c>
      <c r="H25" s="48">
        <v>14</v>
      </c>
      <c r="I25" s="12">
        <v>17</v>
      </c>
      <c r="J25" s="50">
        <v>18</v>
      </c>
      <c r="K25" s="12">
        <v>36</v>
      </c>
      <c r="L25" s="5">
        <f>=SUM(E25:K25)</f>
        <v>124</v>
      </c>
      <c r="M25" s="47">
        <f>=RANK(L25,$L$2:$L$65)</f>
        <v>28</v>
      </c>
    </row>
    <row r="26" spans="1:13" ht="18.75">
      <c r="A26" s="4">
        <v>25</v>
      </c>
      <c r="B26" s="4" t="s">
        <v>1638</v>
      </c>
      <c r="C26" s="4">
        <v>1622</v>
      </c>
      <c r="D26" s="4" t="str">
        <f>=VLOOKUP(B27,[1]在校生综合信息查询!$A$837:$C$900,2,0)</f>
        <v>25q660103029</v>
      </c>
      <c r="E26" s="12">
        <v>9</v>
      </c>
      <c r="F26" s="12">
        <v>12</v>
      </c>
      <c r="G26" s="12">
        <v>16.5</v>
      </c>
      <c r="H26" s="48">
        <v>10</v>
      </c>
      <c r="I26" s="12">
        <v>26</v>
      </c>
      <c r="J26" s="54">
        <v>22</v>
      </c>
      <c r="K26" s="12">
        <v>26</v>
      </c>
      <c r="L26" s="5">
        <f>=SUM(E26:K26)</f>
        <v>121.5</v>
      </c>
      <c r="M26" s="47">
        <f>=RANK(L26,$L$2:$L$65)</f>
        <v>31</v>
      </c>
    </row>
    <row r="27" spans="1:13" ht="18.75">
      <c r="A27" s="4">
        <v>26</v>
      </c>
      <c r="B27" s="4" t="s">
        <v>1640</v>
      </c>
      <c r="C27" s="4">
        <v>1585</v>
      </c>
      <c r="D27" s="4" t="str">
        <f>=VLOOKUP(B28,[1]在校生综合信息查询!$A$837:$C$900,2,0)</f>
        <v>25q660103030</v>
      </c>
      <c r="E27" s="12">
        <v>50</v>
      </c>
      <c r="F27" s="12">
        <v>36</v>
      </c>
      <c r="G27" s="12">
        <v>18</v>
      </c>
      <c r="H27" s="48">
        <v>40</v>
      </c>
      <c r="I27" s="12">
        <v>33.5</v>
      </c>
      <c r="J27" s="50">
        <v>40</v>
      </c>
      <c r="K27" s="12">
        <v>26</v>
      </c>
      <c r="L27" s="5">
        <f>=SUM(E27:K27)</f>
        <v>243.5</v>
      </c>
      <c r="M27" s="47">
        <f>=RANK(L27,$L$2:$L$65)</f>
        <v>3</v>
      </c>
    </row>
    <row r="28" spans="1:13" ht="18.75">
      <c r="A28" s="4">
        <v>27</v>
      </c>
      <c r="B28" s="4" t="s">
        <v>1642</v>
      </c>
      <c r="C28" s="4">
        <v>1586</v>
      </c>
      <c r="D28" s="4" t="str">
        <f>=VLOOKUP(B29,[1]在校生综合信息查询!$A$837:$C$900,2,0)</f>
        <v>25q660103031</v>
      </c>
      <c r="E28" s="12">
        <v>24</v>
      </c>
      <c r="F28" s="12">
        <v>23</v>
      </c>
      <c r="G28" s="12">
        <v>49.5</v>
      </c>
      <c r="H28" s="48">
        <v>25</v>
      </c>
      <c r="I28" s="12">
        <v>37.5</v>
      </c>
      <c r="J28" s="51">
        <v>46</v>
      </c>
      <c r="K28" s="12">
        <v>0</v>
      </c>
      <c r="L28" s="5">
        <f>=SUM(E28:K28)</f>
        <v>205</v>
      </c>
      <c r="M28" s="18">
        <f>=RANK(L28,$L$2:$L$65)</f>
        <v>7</v>
      </c>
    </row>
    <row r="29" spans="1:13" ht="18.75">
      <c r="A29" s="4">
        <v>28</v>
      </c>
      <c r="B29" s="4" t="s">
        <v>1644</v>
      </c>
      <c r="C29" s="4">
        <v>1587</v>
      </c>
      <c r="D29" s="4" t="str">
        <f>=VLOOKUP(B30,[1]在校生综合信息查询!$A$837:$C$900,2,0)</f>
        <v>25q660103032</v>
      </c>
      <c r="E29" s="12">
        <v>9</v>
      </c>
      <c r="F29" s="12">
        <v>24</v>
      </c>
      <c r="G29" s="12">
        <v>22</v>
      </c>
      <c r="H29" s="48">
        <v>9</v>
      </c>
      <c r="I29" s="12">
        <v>26</v>
      </c>
      <c r="J29" s="50">
        <v>15</v>
      </c>
      <c r="K29" s="12">
        <v>16</v>
      </c>
      <c r="L29" s="5">
        <f>=SUM(E29:K29)</f>
        <v>121</v>
      </c>
      <c r="M29" s="18">
        <f>=RANK(L29,$L$2:$L$65)</f>
        <v>32</v>
      </c>
    </row>
    <row r="30" spans="1:13" ht="18.75">
      <c r="A30" s="4">
        <v>29</v>
      </c>
      <c r="B30" s="4" t="s">
        <v>1646</v>
      </c>
      <c r="C30" s="4">
        <v>1588</v>
      </c>
      <c r="D30" s="4" t="str">
        <f>=VLOOKUP(B31,[1]在校生综合信息查询!$A$837:$C$900,2,0)</f>
        <v>25q660103033</v>
      </c>
      <c r="E30" s="12">
        <v>3</v>
      </c>
      <c r="F30" s="12">
        <v>12</v>
      </c>
      <c r="G30" s="12">
        <v>13.5</v>
      </c>
      <c r="H30" s="48">
        <v>10</v>
      </c>
      <c r="I30" s="12">
        <v>22</v>
      </c>
      <c r="J30" s="51">
        <v>22</v>
      </c>
      <c r="K30" s="12">
        <v>18</v>
      </c>
      <c r="L30" s="5">
        <f>=SUM(E30:K30)</f>
        <v>100.5</v>
      </c>
      <c r="M30" s="18">
        <f>=RANK(L30,$L$2:$L$65)</f>
        <v>38</v>
      </c>
    </row>
    <row r="31" spans="1:13" ht="18.75">
      <c r="A31" s="4">
        <v>30</v>
      </c>
      <c r="B31" s="4" t="s">
        <v>43</v>
      </c>
      <c r="C31" s="4">
        <v>1589</v>
      </c>
      <c r="D31" s="4" t="str">
        <f>=VLOOKUP(B32,[1]在校生综合信息查询!$A$837:$C$900,2,0)</f>
        <v>25q660103034</v>
      </c>
      <c r="E31" s="12">
        <v>19</v>
      </c>
      <c r="F31" s="12">
        <v>24</v>
      </c>
      <c r="G31" s="12">
        <v>17</v>
      </c>
      <c r="H31" s="48">
        <v>3</v>
      </c>
      <c r="I31" s="12">
        <v>26</v>
      </c>
      <c r="J31" s="50">
        <v>22</v>
      </c>
      <c r="K31" s="12">
        <v>34</v>
      </c>
      <c r="L31" s="5">
        <f>=SUM(E31:K31)</f>
        <v>145</v>
      </c>
      <c r="M31" s="18">
        <f>=RANK(L31,$L$2:$L$65)</f>
        <v>18</v>
      </c>
    </row>
    <row r="32" spans="1:13" ht="18.75">
      <c r="A32" s="4">
        <v>31</v>
      </c>
      <c r="B32" s="4" t="s">
        <v>1649</v>
      </c>
      <c r="C32" s="4">
        <v>1590</v>
      </c>
      <c r="D32" s="4" t="str">
        <f>=VLOOKUP(B33,[1]在校生综合信息查询!$A$837:$C$900,2,0)</f>
        <v>25q660103035</v>
      </c>
      <c r="E32" s="12">
        <v>54</v>
      </c>
      <c r="F32" s="12">
        <v>48</v>
      </c>
      <c r="G32" s="12">
        <v>39</v>
      </c>
      <c r="H32" s="48">
        <v>30</v>
      </c>
      <c r="I32" s="12">
        <v>23.5</v>
      </c>
      <c r="J32" s="51">
        <v>52</v>
      </c>
      <c r="K32" s="12">
        <v>26</v>
      </c>
      <c r="L32" s="5">
        <f>=SUM(E32:K32)</f>
        <v>272.5</v>
      </c>
      <c r="M32" s="18">
        <f>=RANK(L32,$L$2:$L$65)</f>
        <v>2</v>
      </c>
    </row>
    <row r="33" spans="1:13" ht="18.75">
      <c r="A33" s="4">
        <v>32</v>
      </c>
      <c r="B33" s="4" t="s">
        <v>1651</v>
      </c>
      <c r="C33" s="4">
        <v>1591</v>
      </c>
      <c r="D33" s="4" t="str">
        <f>=VLOOKUP(B34,[1]在校生综合信息查询!$A$837:$C$900,2,0)</f>
        <v>25q660103037</v>
      </c>
      <c r="E33" s="12">
        <v>0</v>
      </c>
      <c r="F33" s="12">
        <v>0</v>
      </c>
      <c r="G33" s="12">
        <v>0</v>
      </c>
      <c r="H33" s="48">
        <v>0</v>
      </c>
      <c r="I33" s="12">
        <v>0</v>
      </c>
      <c r="J33" s="50" t="s">
        <v>105</v>
      </c>
      <c r="K33" s="12">
        <v>0</v>
      </c>
      <c r="L33" s="5">
        <f>=SUM(E33:K33)</f>
        <v>0</v>
      </c>
      <c r="M33" s="18">
        <f>=RANK(L33,$L$2:$L$65)</f>
        <v>52</v>
      </c>
    </row>
    <row r="34" spans="1:13" ht="18.75">
      <c r="A34" s="4">
        <v>33</v>
      </c>
      <c r="B34" s="4" t="s">
        <v>1653</v>
      </c>
      <c r="C34" s="4">
        <v>1592</v>
      </c>
      <c r="D34" s="4" t="str">
        <f>=VLOOKUP(B35,[1]在校生综合信息查询!$A$837:$C$900,2,0)</f>
        <v>25q660103038</v>
      </c>
      <c r="E34" s="12">
        <v>0</v>
      </c>
      <c r="F34" s="12">
        <v>0</v>
      </c>
      <c r="G34" s="12">
        <v>0</v>
      </c>
      <c r="H34" s="48">
        <v>0</v>
      </c>
      <c r="I34" s="12">
        <v>0</v>
      </c>
      <c r="J34" s="51" t="s">
        <v>105</v>
      </c>
      <c r="K34" s="12" t="s">
        <v>1655</v>
      </c>
      <c r="L34" s="5">
        <f>=SUM(E34:K34)</f>
        <v>0</v>
      </c>
      <c r="M34" s="55">
        <f>=RANK(L34,$L$2:$L$65)</f>
        <v>52</v>
      </c>
    </row>
    <row r="35" spans="1:13" ht="18.75">
      <c r="A35" s="4">
        <v>34</v>
      </c>
      <c r="B35" s="4" t="s">
        <v>1656</v>
      </c>
      <c r="C35" s="4">
        <v>1593</v>
      </c>
      <c r="D35" s="4" t="str">
        <f>=VLOOKUP(B36,[1]在校生综合信息查询!$A$837:$C$900,2,0)</f>
        <v>25q660103039</v>
      </c>
      <c r="E35" s="12">
        <v>4</v>
      </c>
      <c r="F35" s="12">
        <v>20</v>
      </c>
      <c r="G35" s="12">
        <v>23</v>
      </c>
      <c r="H35" s="48">
        <v>16</v>
      </c>
      <c r="I35" s="12">
        <v>35</v>
      </c>
      <c r="J35" s="50">
        <v>21</v>
      </c>
      <c r="K35" s="12">
        <v>18</v>
      </c>
      <c r="L35" s="5">
        <f>=SUM(E35:K35)</f>
        <v>137</v>
      </c>
      <c r="M35" s="55">
        <f>=RANK(L35,$L$2:$L$65)</f>
        <v>24</v>
      </c>
    </row>
    <row r="36" spans="1:13" ht="18.75">
      <c r="A36" s="4">
        <v>35</v>
      </c>
      <c r="B36" s="15" t="s">
        <v>1658</v>
      </c>
      <c r="C36" s="4">
        <v>1602</v>
      </c>
      <c r="D36" s="4" t="str">
        <f>=VLOOKUP(B37,[1]在校生综合信息查询!$A$837:$C$900,2,0)</f>
        <v>2507047</v>
      </c>
      <c r="E36" s="12">
        <v>12</v>
      </c>
      <c r="F36" s="12">
        <v>16</v>
      </c>
      <c r="G36" s="12">
        <v>21</v>
      </c>
      <c r="H36" s="48">
        <v>12</v>
      </c>
      <c r="I36" s="12">
        <v>28</v>
      </c>
      <c r="J36" s="51">
        <v>13</v>
      </c>
      <c r="K36" s="12">
        <v>26</v>
      </c>
      <c r="L36" s="25">
        <f>=SUM(E36:K36)</f>
        <v>128</v>
      </c>
      <c r="M36" s="55">
        <f>=RANK(L36,$L$2:$L$65)</f>
        <v>26</v>
      </c>
    </row>
    <row r="37" spans="1:13" ht="18.75">
      <c r="A37" s="4">
        <v>36</v>
      </c>
      <c r="B37" s="15" t="s">
        <v>1660</v>
      </c>
      <c r="C37" s="4">
        <v>1623</v>
      </c>
      <c r="D37" s="4" t="e">
        <f>=VLOOKUP(B38,[1]在校生综合信息查询!$A$837:$C$900,2,0)</f>
        <v>#N/A</v>
      </c>
      <c r="E37" s="12">
        <v>0</v>
      </c>
      <c r="F37" s="12">
        <v>28</v>
      </c>
      <c r="G37" s="12">
        <v>21</v>
      </c>
      <c r="H37" s="48">
        <v>15</v>
      </c>
      <c r="I37" s="12">
        <v>0</v>
      </c>
      <c r="J37" s="56">
        <v>15</v>
      </c>
      <c r="K37" s="12">
        <v>10</v>
      </c>
      <c r="L37" s="57">
        <f>=SUM(E37:K37)</f>
        <v>89</v>
      </c>
      <c r="M37" s="55">
        <f>=RANK(L37,$L$2:$L$65)</f>
        <v>41</v>
      </c>
    </row>
    <row r="38" spans="1:13" ht="18.75">
      <c r="A38" s="4">
        <v>37</v>
      </c>
      <c r="B38" s="15" t="s">
        <v>1661</v>
      </c>
      <c r="C38" s="4">
        <v>1563</v>
      </c>
      <c r="D38" s="4" t="str">
        <f>=VLOOKUP(B39,[1]在校生综合信息查询!$A$837:$C$900,2,0)</f>
        <v>25q660103042</v>
      </c>
      <c r="E38" s="12">
        <v>0</v>
      </c>
      <c r="F38" s="12">
        <v>0</v>
      </c>
      <c r="G38" s="12">
        <v>0</v>
      </c>
      <c r="H38" s="48">
        <v>0</v>
      </c>
      <c r="I38" s="12">
        <v>0</v>
      </c>
      <c r="J38" s="51" t="s">
        <v>105</v>
      </c>
      <c r="K38" s="12">
        <v>0</v>
      </c>
      <c r="L38" s="25">
        <f>=SUM(E38:K38)</f>
        <v>0</v>
      </c>
      <c r="M38" s="55">
        <f>=RANK(L38,$L$2:$L$65)</f>
        <v>52</v>
      </c>
    </row>
    <row r="39" spans="1:13" ht="18.75">
      <c r="A39" s="4">
        <v>38</v>
      </c>
      <c r="B39" s="15" t="s">
        <v>1535</v>
      </c>
      <c r="C39" s="4">
        <v>1603</v>
      </c>
      <c r="D39" s="4" t="str">
        <f>=VLOOKUP(B40,[1]在校生综合信息查询!$A$837:$C$900,2,0)</f>
        <v>25q660103044</v>
      </c>
      <c r="E39" s="12">
        <v>3</v>
      </c>
      <c r="F39" s="12">
        <v>36</v>
      </c>
      <c r="G39" s="12">
        <v>0</v>
      </c>
      <c r="H39" s="48">
        <v>15</v>
      </c>
      <c r="I39" s="12">
        <v>6</v>
      </c>
      <c r="J39" s="50">
        <v>40</v>
      </c>
      <c r="K39" s="12">
        <v>22</v>
      </c>
      <c r="L39" s="25">
        <f>=SUM(E39:K39)</f>
        <v>122</v>
      </c>
      <c r="M39" s="55">
        <f>=RANK(L39,$L$2:$L$65)</f>
        <v>30</v>
      </c>
    </row>
    <row r="40" spans="1:13" ht="18.75">
      <c r="A40" s="4">
        <v>39</v>
      </c>
      <c r="B40" s="15" t="s">
        <v>1664</v>
      </c>
      <c r="C40" s="4">
        <v>1604</v>
      </c>
      <c r="D40" s="4" t="str">
        <f>=VLOOKUP(B41,[1]在校生综合信息查询!$A$837:$C$900,2,0)</f>
        <v>25q660103045</v>
      </c>
      <c r="E40" s="12">
        <v>47</v>
      </c>
      <c r="F40" s="12">
        <v>41</v>
      </c>
      <c r="G40" s="12">
        <v>20.5</v>
      </c>
      <c r="H40" s="48">
        <v>17</v>
      </c>
      <c r="I40" s="80">
        <v>19</v>
      </c>
      <c r="J40" s="51">
        <v>40</v>
      </c>
      <c r="K40" s="12">
        <v>24</v>
      </c>
      <c r="L40" s="25">
        <f>=SUM(E40:K40)</f>
        <v>208.5</v>
      </c>
      <c r="M40" s="55">
        <f>=RANK(L40,$L$2:$L$65)</f>
        <v>6</v>
      </c>
    </row>
    <row r="41" spans="1:13" ht="18.75">
      <c r="A41" s="4">
        <v>40</v>
      </c>
      <c r="B41" s="15" t="s">
        <v>1666</v>
      </c>
      <c r="C41" s="4">
        <v>1605</v>
      </c>
      <c r="D41" s="4" t="str">
        <f>=VLOOKUP(B42,[1]在校生综合信息查询!$A$837:$C$900,2,0)</f>
        <v>25q660103046</v>
      </c>
      <c r="E41" s="12">
        <v>16</v>
      </c>
      <c r="F41" s="12">
        <v>28</v>
      </c>
      <c r="G41" s="12">
        <v>16</v>
      </c>
      <c r="H41" s="48">
        <v>14</v>
      </c>
      <c r="I41" s="12">
        <v>27</v>
      </c>
      <c r="J41" s="50">
        <v>19</v>
      </c>
      <c r="K41" s="12">
        <v>24</v>
      </c>
      <c r="L41" s="25">
        <f>=SUM(E41:K41)</f>
        <v>144</v>
      </c>
      <c r="M41" s="55">
        <f>=RANK(L41,$L$2:$L$65)</f>
        <v>19</v>
      </c>
    </row>
    <row r="42" spans="1:13" ht="18.75">
      <c r="A42" s="4">
        <v>41</v>
      </c>
      <c r="B42" s="15" t="s">
        <v>1321</v>
      </c>
      <c r="C42" s="4">
        <v>1606</v>
      </c>
      <c r="D42" s="4" t="str">
        <f>=VLOOKUP(B43,[1]在校生综合信息查询!$A$837:$C$900,2,0)</f>
        <v>25q660103047</v>
      </c>
      <c r="E42" s="12">
        <v>22</v>
      </c>
      <c r="F42" s="12">
        <v>12</v>
      </c>
      <c r="G42" s="12">
        <v>17.5</v>
      </c>
      <c r="H42" s="48">
        <v>41</v>
      </c>
      <c r="I42" s="12">
        <v>28</v>
      </c>
      <c r="J42" s="51">
        <v>50</v>
      </c>
      <c r="K42" s="12">
        <v>22</v>
      </c>
      <c r="L42" s="25">
        <f>=SUM(E42:K42)</f>
        <v>192.5</v>
      </c>
      <c r="M42" s="55">
        <f>=RANK(L42,$L$2:$L$65)</f>
        <v>8</v>
      </c>
    </row>
    <row r="43" spans="1:13" ht="18.75">
      <c r="A43" s="4">
        <v>42</v>
      </c>
      <c r="B43" s="15" t="s">
        <v>1669</v>
      </c>
      <c r="C43" s="4">
        <v>1607</v>
      </c>
      <c r="D43" s="4" t="str">
        <f>=VLOOKUP(B44,[1]在校生综合信息查询!$A$837:$C$900,2,0)</f>
        <v>25q660103048</v>
      </c>
      <c r="E43" s="12">
        <v>0</v>
      </c>
      <c r="F43" s="12">
        <v>0</v>
      </c>
      <c r="G43" s="12">
        <v>0</v>
      </c>
      <c r="H43" s="48">
        <v>0</v>
      </c>
      <c r="I43" s="12">
        <v>0</v>
      </c>
      <c r="J43" s="50" t="s">
        <v>105</v>
      </c>
      <c r="K43" s="12">
        <v>0</v>
      </c>
      <c r="L43" s="25">
        <f>=SUM(E43:K43)</f>
        <v>0</v>
      </c>
      <c r="M43" s="55">
        <f>=RANK(L43,$L$2:$L$65)</f>
        <v>52</v>
      </c>
    </row>
    <row r="44" spans="1:13" ht="18.75">
      <c r="A44" s="4">
        <v>43</v>
      </c>
      <c r="B44" s="15" t="s">
        <v>1671</v>
      </c>
      <c r="C44" s="4">
        <v>1608</v>
      </c>
      <c r="D44" s="4" t="str">
        <f>=VLOOKUP(B45,[1]在校生综合信息查询!$A$837:$C$900,2,0)</f>
        <v>25q660103049</v>
      </c>
      <c r="E44" s="12">
        <v>15</v>
      </c>
      <c r="F44" s="12">
        <v>24</v>
      </c>
      <c r="G44" s="12">
        <v>19.5</v>
      </c>
      <c r="H44" s="48">
        <v>15</v>
      </c>
      <c r="I44" s="12">
        <v>22</v>
      </c>
      <c r="J44" s="51">
        <v>25</v>
      </c>
      <c r="K44" s="12">
        <v>29</v>
      </c>
      <c r="L44" s="25">
        <f>=SUM(E44:K44)</f>
        <v>149.5</v>
      </c>
      <c r="M44" s="55">
        <f>=RANK(L44,$L$2:$L$65)</f>
        <v>17</v>
      </c>
    </row>
    <row r="45" spans="1:13" ht="18.75">
      <c r="A45" s="4">
        <v>44</v>
      </c>
      <c r="B45" s="15" t="s">
        <v>1673</v>
      </c>
      <c r="C45" s="4">
        <v>1609</v>
      </c>
      <c r="D45" s="4" t="str">
        <f>=VLOOKUP(B46,[1]在校生综合信息查询!$A$837:$C$900,2,0)</f>
        <v>25q660103102</v>
      </c>
      <c r="E45" s="12">
        <v>0</v>
      </c>
      <c r="F45" s="12">
        <v>20</v>
      </c>
      <c r="G45" s="12">
        <v>17</v>
      </c>
      <c r="H45" s="48">
        <v>11</v>
      </c>
      <c r="I45" s="12">
        <v>17</v>
      </c>
      <c r="J45" s="50">
        <v>17</v>
      </c>
      <c r="K45" s="12">
        <v>24</v>
      </c>
      <c r="L45" s="25">
        <f>=SUM(E45:K45)</f>
        <v>106</v>
      </c>
      <c r="M45" s="55">
        <f>=RANK(L45,$L$2:$L$65)</f>
        <v>37</v>
      </c>
    </row>
    <row r="46" spans="1:13" ht="18.75">
      <c r="A46" s="4">
        <v>45</v>
      </c>
      <c r="B46" s="15" t="s">
        <v>1675</v>
      </c>
      <c r="C46" s="4">
        <v>1610</v>
      </c>
      <c r="D46" s="4" t="str">
        <f>=VLOOKUP(B47,[1]在校生综合信息查询!$A$837:$C$900,2,0)</f>
        <v>25q660103051</v>
      </c>
      <c r="E46" s="12">
        <v>50</v>
      </c>
      <c r="F46" s="12">
        <v>12</v>
      </c>
      <c r="G46" s="12">
        <v>16.5</v>
      </c>
      <c r="H46" s="48">
        <v>15</v>
      </c>
      <c r="I46" s="12">
        <v>22</v>
      </c>
      <c r="J46" s="54">
        <v>27</v>
      </c>
      <c r="K46" s="12">
        <v>25</v>
      </c>
      <c r="L46" s="25">
        <f>=SUM(E46:K46)</f>
        <v>167.5</v>
      </c>
      <c r="M46" s="55">
        <f>=RANK(L46,$L$2:$L$65)</f>
        <v>15</v>
      </c>
    </row>
    <row r="47" spans="1:13" ht="18.75">
      <c r="A47" s="4">
        <v>46</v>
      </c>
      <c r="B47" s="15" t="s">
        <v>1677</v>
      </c>
      <c r="C47" s="4">
        <v>1611</v>
      </c>
      <c r="D47" s="4" t="str">
        <f>=VLOOKUP(B48,[1]在校生综合信息查询!$A$837:$C$900,2,0)</f>
        <v>25q660103052</v>
      </c>
      <c r="E47" s="12">
        <v>0</v>
      </c>
      <c r="F47" s="12">
        <v>0</v>
      </c>
      <c r="G47" s="12">
        <v>0</v>
      </c>
      <c r="H47" s="48">
        <v>0</v>
      </c>
      <c r="I47" s="12">
        <v>0</v>
      </c>
      <c r="J47" s="50" t="s">
        <v>105</v>
      </c>
      <c r="K47" s="12">
        <v>0</v>
      </c>
      <c r="L47" s="25">
        <f>=SUM(E47:K47)</f>
        <v>0</v>
      </c>
      <c r="M47" s="55">
        <f>=RANK(L47,$L$2:$L$65)</f>
        <v>52</v>
      </c>
    </row>
    <row r="48" spans="1:13" ht="18.75">
      <c r="A48" s="4">
        <v>47</v>
      </c>
      <c r="B48" s="15" t="s">
        <v>1679</v>
      </c>
      <c r="C48" s="4">
        <v>1621</v>
      </c>
      <c r="D48" s="4" t="str">
        <f>=VLOOKUP(B49,[1]在校生综合信息查询!$A$837:$C$900,2,0)</f>
        <v>25q660103053</v>
      </c>
      <c r="E48" s="12">
        <v>0</v>
      </c>
      <c r="F48" s="12">
        <v>0</v>
      </c>
      <c r="G48" s="12">
        <v>0</v>
      </c>
      <c r="H48" s="48">
        <v>0</v>
      </c>
      <c r="I48" s="12">
        <v>0</v>
      </c>
      <c r="J48" s="51" t="s">
        <v>105</v>
      </c>
      <c r="K48" s="12">
        <v>0</v>
      </c>
      <c r="L48" s="25">
        <f>=SUM(E48:K48)</f>
        <v>0</v>
      </c>
      <c r="M48" s="55">
        <f>=RANK(L48,$L$2:$L$65)</f>
        <v>52</v>
      </c>
    </row>
    <row r="49" spans="1:13" ht="18.75">
      <c r="A49" s="4">
        <v>48</v>
      </c>
      <c r="B49" s="15" t="s">
        <v>1681</v>
      </c>
      <c r="C49" s="4">
        <v>1612</v>
      </c>
      <c r="D49" s="4" t="str">
        <f>=VLOOKUP(B50,[1]在校生综合信息查询!$A$837:$C$900,2,0)</f>
        <v>25q660103054</v>
      </c>
      <c r="E49" s="12">
        <v>9</v>
      </c>
      <c r="F49" s="12">
        <v>16</v>
      </c>
      <c r="G49" s="12">
        <v>14.5</v>
      </c>
      <c r="H49" s="48">
        <v>0</v>
      </c>
      <c r="I49" s="12">
        <v>0</v>
      </c>
      <c r="J49" s="50" t="s">
        <v>105</v>
      </c>
      <c r="K49" s="12">
        <v>4</v>
      </c>
      <c r="L49" s="25">
        <f>=SUM(E49:K49)</f>
        <v>43.5</v>
      </c>
      <c r="M49" s="55">
        <f>=RANK(L49,$L$2:$L$65)</f>
        <v>47</v>
      </c>
    </row>
    <row r="50" spans="1:13" ht="18.75">
      <c r="A50" s="4">
        <v>49</v>
      </c>
      <c r="B50" s="15" t="s">
        <v>1683</v>
      </c>
      <c r="C50" s="4">
        <v>1613</v>
      </c>
      <c r="D50" s="4" t="str">
        <f>=VLOOKUP(B51,[1]在校生综合信息查询!$A$837:$C$900,2,0)</f>
        <v>25q660103055</v>
      </c>
      <c r="E50" s="12">
        <v>54</v>
      </c>
      <c r="F50" s="12">
        <v>16</v>
      </c>
      <c r="G50" s="12">
        <v>14.5</v>
      </c>
      <c r="H50" s="48">
        <v>15</v>
      </c>
      <c r="I50" s="12">
        <v>21</v>
      </c>
      <c r="J50" s="51">
        <v>42</v>
      </c>
      <c r="K50" s="12">
        <v>20</v>
      </c>
      <c r="L50" s="25">
        <f>=SUM(E50:K50)</f>
        <v>182.5</v>
      </c>
      <c r="M50" s="55">
        <f>=RANK(L50,$L$2:$L$65)</f>
        <v>11</v>
      </c>
    </row>
    <row r="51" spans="1:13" ht="18.75">
      <c r="A51" s="4">
        <v>50</v>
      </c>
      <c r="B51" s="15" t="s">
        <v>1685</v>
      </c>
      <c r="C51" s="4">
        <v>1614</v>
      </c>
      <c r="D51" s="4" t="str">
        <f>=VLOOKUP(B52,[1]在校生综合信息查询!$A$837:$C$900,2,0)</f>
        <v>25q660103056</v>
      </c>
      <c r="E51" s="12">
        <v>9</v>
      </c>
      <c r="F51" s="12">
        <v>20</v>
      </c>
      <c r="G51" s="12">
        <v>20.5</v>
      </c>
      <c r="H51" s="48">
        <v>9</v>
      </c>
      <c r="I51" s="12">
        <v>24</v>
      </c>
      <c r="J51" s="50">
        <v>12</v>
      </c>
      <c r="K51" s="12">
        <v>24</v>
      </c>
      <c r="L51" s="25">
        <f>=SUM(E51:K51)</f>
        <v>118.5</v>
      </c>
      <c r="M51" s="55">
        <f>=RANK(L51,$L$2:$L$65)</f>
        <v>34</v>
      </c>
    </row>
    <row r="52" spans="1:13" ht="18.75">
      <c r="A52" s="4">
        <v>51</v>
      </c>
      <c r="B52" s="15" t="s">
        <v>1687</v>
      </c>
      <c r="C52" s="4">
        <v>1615</v>
      </c>
      <c r="D52" s="4" t="str">
        <f>=VLOOKUP(B53,[1]在校生综合信息查询!$A$837:$C$900,2,0)</f>
        <v>25q660103057</v>
      </c>
      <c r="E52" s="12">
        <v>9</v>
      </c>
      <c r="F52" s="12">
        <v>12</v>
      </c>
      <c r="G52" s="12">
        <v>0</v>
      </c>
      <c r="H52" s="48">
        <v>0</v>
      </c>
      <c r="I52" s="12">
        <v>0</v>
      </c>
      <c r="J52" s="51" t="s">
        <v>105</v>
      </c>
      <c r="K52" s="12">
        <v>0</v>
      </c>
      <c r="L52" s="25">
        <f>=SUM(E52:K52)</f>
        <v>21</v>
      </c>
      <c r="M52" s="55">
        <f>=RANK(L52,$L$2:$L$65)</f>
        <v>51</v>
      </c>
    </row>
    <row r="53" spans="1:13" ht="18.75">
      <c r="A53" s="4">
        <v>52</v>
      </c>
      <c r="B53" s="15" t="s">
        <v>1689</v>
      </c>
      <c r="C53" s="4">
        <v>1616</v>
      </c>
      <c r="D53" s="4" t="str">
        <f>=VLOOKUP(B54,[1]在校生综合信息查询!$A$837:$C$900,2,0)</f>
        <v>25q660103058</v>
      </c>
      <c r="E53" s="12">
        <v>6</v>
      </c>
      <c r="F53" s="12">
        <v>24</v>
      </c>
      <c r="G53" s="12">
        <v>18</v>
      </c>
      <c r="H53" s="48">
        <v>0</v>
      </c>
      <c r="I53" s="12">
        <v>16</v>
      </c>
      <c r="J53" s="50">
        <v>23</v>
      </c>
      <c r="K53" s="12">
        <v>0</v>
      </c>
      <c r="L53" s="25">
        <f>=SUM(E53:K53)</f>
        <v>87</v>
      </c>
      <c r="M53" s="55">
        <f>=RANK(L53,$L$2:$L$65)</f>
        <v>42</v>
      </c>
    </row>
    <row r="54" spans="1:13" ht="18.75">
      <c r="A54" s="4">
        <v>53</v>
      </c>
      <c r="B54" s="15" t="s">
        <v>1691</v>
      </c>
      <c r="C54" s="4">
        <v>1617</v>
      </c>
      <c r="D54" s="4" t="str">
        <f>=VLOOKUP(B55,[1]在校生综合信息查询!$A$837:$C$900,2,0)</f>
        <v>25q660103059</v>
      </c>
      <c r="E54" s="12">
        <v>12</v>
      </c>
      <c r="F54" s="12">
        <v>16</v>
      </c>
      <c r="G54" s="12">
        <v>12</v>
      </c>
      <c r="H54" s="48">
        <v>0</v>
      </c>
      <c r="I54" s="12">
        <v>0</v>
      </c>
      <c r="J54" s="51" t="s">
        <v>105</v>
      </c>
      <c r="K54" s="12">
        <v>0</v>
      </c>
      <c r="L54" s="25">
        <f>=SUM(E54:K54)</f>
        <v>40</v>
      </c>
      <c r="M54" s="55">
        <f>=RANK(L54,$L$2:$L$65)</f>
        <v>48</v>
      </c>
    </row>
    <row r="55" spans="1:13" ht="18.75">
      <c r="A55" s="4">
        <v>54</v>
      </c>
      <c r="B55" s="15" t="s">
        <v>1693</v>
      </c>
      <c r="C55" s="4">
        <v>1618</v>
      </c>
      <c r="D55" s="4" t="str">
        <f>=VLOOKUP(B56,[1]在校生综合信息查询!$A$837:$C$900,2,0)</f>
        <v>25q660103060</v>
      </c>
      <c r="E55" s="12">
        <v>6</v>
      </c>
      <c r="F55" s="12">
        <v>12</v>
      </c>
      <c r="G55" s="12">
        <v>19.5</v>
      </c>
      <c r="H55" s="48">
        <v>20</v>
      </c>
      <c r="I55" s="12">
        <v>18</v>
      </c>
      <c r="J55" s="50">
        <v>18</v>
      </c>
      <c r="K55" s="12">
        <v>20</v>
      </c>
      <c r="L55" s="25">
        <f>=SUM(E55:K55)</f>
        <v>113.5</v>
      </c>
      <c r="M55" s="55">
        <f>=RANK(L55,$L$2:$L$65)</f>
        <v>36</v>
      </c>
    </row>
    <row r="56" spans="1:13" ht="18.75">
      <c r="A56" s="4">
        <v>55</v>
      </c>
      <c r="B56" s="4" t="s">
        <v>1695</v>
      </c>
      <c r="C56" s="4">
        <v>1619</v>
      </c>
      <c r="D56" s="4" t="str">
        <f>=VLOOKUP(B57,[1]在校生综合信息查询!$A$837:$C$900,2,0)</f>
        <v>25q710201248</v>
      </c>
      <c r="E56" s="12">
        <v>0</v>
      </c>
      <c r="F56" s="12">
        <v>0</v>
      </c>
      <c r="G56" s="12">
        <v>0</v>
      </c>
      <c r="H56" s="48">
        <v>0</v>
      </c>
      <c r="I56" s="12">
        <v>0</v>
      </c>
      <c r="J56" s="51" t="s">
        <v>105</v>
      </c>
      <c r="K56" s="12" t="s">
        <v>1655</v>
      </c>
      <c r="L56" s="25">
        <f>=SUM(E56:K56)</f>
        <v>0</v>
      </c>
      <c r="M56" s="55">
        <f>=RANK(L56,$L$2:$L$65)</f>
        <v>52</v>
      </c>
    </row>
    <row r="57" spans="1:13" ht="18.75">
      <c r="A57" s="4">
        <v>56</v>
      </c>
      <c r="B57" s="4" t="s">
        <v>1697</v>
      </c>
      <c r="C57" s="4" t="s"/>
      <c r="D57" s="4" t="str">
        <f>=VLOOKUP(B58,[1]在校生综合信息查询!$A$837:$C$900,2,0)</f>
        <v>25q660103061</v>
      </c>
      <c r="E57" s="6">
        <v>0</v>
      </c>
      <c r="F57" s="6">
        <v>0</v>
      </c>
      <c r="G57" s="6">
        <v>0</v>
      </c>
      <c r="H57" s="48">
        <v>0</v>
      </c>
      <c r="I57" s="6">
        <v>0</v>
      </c>
      <c r="J57" s="50" t="s">
        <v>105</v>
      </c>
      <c r="K57" s="6">
        <v>0</v>
      </c>
      <c r="L57" s="25">
        <f>=SUM(E57:K57)</f>
        <v>0</v>
      </c>
      <c r="M57" s="55">
        <f>=RANK(L57,$L$2:$L$65)</f>
        <v>52</v>
      </c>
    </row>
    <row r="58" spans="1:13" ht="18.75">
      <c r="A58" s="4">
        <v>57</v>
      </c>
      <c r="B58" s="4" t="s">
        <v>1699</v>
      </c>
      <c r="C58" s="4" t="s"/>
      <c r="D58" s="4" t="str">
        <f>=VLOOKUP(B59,[1]在校生综合信息查询!$A$837:$C$900,2,0)</f>
        <v>25q660103063</v>
      </c>
      <c r="E58" s="6">
        <v>0</v>
      </c>
      <c r="F58" s="6">
        <v>0</v>
      </c>
      <c r="G58" s="6">
        <v>0</v>
      </c>
      <c r="H58" s="48">
        <v>0</v>
      </c>
      <c r="I58" s="6">
        <v>20</v>
      </c>
      <c r="J58" s="51" t="s">
        <v>105</v>
      </c>
      <c r="K58" s="6">
        <v>30</v>
      </c>
      <c r="L58" s="25">
        <f>=SUM(E58:K58)</f>
        <v>50</v>
      </c>
      <c r="M58" s="55">
        <f>=RANK(L58,$L$2:$L$65)</f>
        <v>46</v>
      </c>
    </row>
    <row r="59" spans="1:13" ht="18.75">
      <c r="A59" s="4">
        <v>58</v>
      </c>
      <c r="B59" s="4" t="s">
        <v>1701</v>
      </c>
      <c r="C59" s="4" t="s"/>
      <c r="D59" s="4" t="str">
        <f>=VLOOKUP(B60,[1]在校生综合信息查询!$A$837:$C$900,2,0)</f>
        <v>25q660103064</v>
      </c>
      <c r="E59" s="6">
        <v>0</v>
      </c>
      <c r="F59" s="6">
        <v>0</v>
      </c>
      <c r="G59" s="6">
        <v>0</v>
      </c>
      <c r="H59" s="48">
        <v>0</v>
      </c>
      <c r="I59" s="6">
        <v>20</v>
      </c>
      <c r="J59" s="50">
        <v>18</v>
      </c>
      <c r="K59" s="5" t="s"/>
      <c r="L59" s="25">
        <f>=SUM(E59:K59)</f>
        <v>38</v>
      </c>
      <c r="M59" s="55">
        <f>=RANK(L59,$L$2:$L$65)</f>
        <v>49</v>
      </c>
    </row>
    <row r="60" spans="1:13" ht="18.75">
      <c r="A60" s="4">
        <v>59</v>
      </c>
      <c r="B60" s="4" t="s">
        <v>1703</v>
      </c>
      <c r="C60" s="4" t="s"/>
      <c r="D60" s="4" t="str">
        <f>=VLOOKUP(B61,[1]在校生综合信息查询!$A$837:$C$900,2,0)</f>
        <v>25q660103065</v>
      </c>
      <c r="E60" s="6">
        <v>9</v>
      </c>
      <c r="F60" s="6">
        <v>16</v>
      </c>
      <c r="G60" s="6">
        <v>17</v>
      </c>
      <c r="H60" s="48">
        <v>10</v>
      </c>
      <c r="I60" s="6">
        <v>22</v>
      </c>
      <c r="J60" s="51">
        <v>21</v>
      </c>
      <c r="K60" s="6">
        <v>22</v>
      </c>
      <c r="L60" s="25">
        <f>=SUM(E60:K60)</f>
        <v>117</v>
      </c>
      <c r="M60" s="55">
        <f>=RANK(L60,$L$2:$L$65)</f>
        <v>35</v>
      </c>
    </row>
    <row r="61" spans="1:13" ht="18.75">
      <c r="A61" s="4">
        <v>60</v>
      </c>
      <c r="B61" s="4" t="s">
        <v>1705</v>
      </c>
      <c r="C61" s="4" t="s"/>
      <c r="D61" s="4" t="str">
        <f>=VLOOKUP(B62,[1]在校生综合信息查询!$A$837:$C$900,2,0)</f>
        <v>25q660103066</v>
      </c>
      <c r="E61" s="6">
        <v>9</v>
      </c>
      <c r="F61" s="6">
        <v>12</v>
      </c>
      <c r="G61" s="6">
        <v>23</v>
      </c>
      <c r="H61" s="48">
        <v>12</v>
      </c>
      <c r="I61" s="6">
        <v>26</v>
      </c>
      <c r="J61" s="50">
        <v>15</v>
      </c>
      <c r="K61" s="5" t="s"/>
      <c r="L61" s="25">
        <f>=SUM(E61:K61)</f>
        <v>97</v>
      </c>
      <c r="M61" s="55">
        <f>=RANK(L61,$L$2:$L$65)</f>
        <v>39</v>
      </c>
    </row>
    <row r="62" spans="1:13" ht="18.75">
      <c r="A62" s="4">
        <v>61</v>
      </c>
      <c r="B62" s="4" t="s">
        <v>1707</v>
      </c>
      <c r="C62" s="4" t="s"/>
      <c r="D62" s="4" t="str">
        <f>=VLOOKUP(B63,[1]在校生综合信息查询!$A$837:$C$900,2,0)</f>
        <v>25q660103068</v>
      </c>
      <c r="E62" s="6">
        <v>12</v>
      </c>
      <c r="F62" s="6">
        <v>20</v>
      </c>
      <c r="G62" s="6">
        <v>19.5</v>
      </c>
      <c r="H62" s="48">
        <v>15</v>
      </c>
      <c r="I62" s="6">
        <v>24.5</v>
      </c>
      <c r="J62" s="51">
        <v>30</v>
      </c>
      <c r="K62" s="6">
        <v>18</v>
      </c>
      <c r="L62" s="25">
        <f>=SUM(E62:K62)</f>
        <v>139</v>
      </c>
      <c r="M62" s="55">
        <f>=RANK(L62,$L$2:$L$65)</f>
        <v>20</v>
      </c>
    </row>
    <row r="63" spans="1:13" ht="18.75">
      <c r="A63" s="4">
        <v>62</v>
      </c>
      <c r="B63" s="4" t="s">
        <v>1709</v>
      </c>
      <c r="C63" s="4" t="s"/>
      <c r="D63" s="4" t="str">
        <f>=VLOOKUP(B64,[1]在校生综合信息查询!$A$837:$C$900,2,0)</f>
        <v>25q660103069</v>
      </c>
      <c r="E63" s="6">
        <v>25</v>
      </c>
      <c r="F63" s="6">
        <v>8</v>
      </c>
      <c r="G63" s="6">
        <v>16.5</v>
      </c>
      <c r="H63" s="48">
        <v>18</v>
      </c>
      <c r="I63" s="6">
        <v>20</v>
      </c>
      <c r="J63" s="50">
        <v>23</v>
      </c>
      <c r="K63" s="6">
        <v>28</v>
      </c>
      <c r="L63" s="25">
        <f>=SUM(E63:K63)</f>
        <v>138.5</v>
      </c>
      <c r="M63" s="55">
        <f>=RANK(L63,$L$2:$L$65)</f>
        <v>21</v>
      </c>
    </row>
    <row r="64" spans="1:13" ht="18.75">
      <c r="A64" s="4">
        <v>63</v>
      </c>
      <c r="B64" s="4" t="s">
        <v>1711</v>
      </c>
      <c r="C64" s="4" t="s"/>
      <c r="D64" s="4" t="e">
        <f>=VLOOKUP(#REF!,[1]在校生综合信息查询!$A$837:$C$900,2,0)</f>
        <v>#REF!</v>
      </c>
      <c r="E64" s="6">
        <v>6</v>
      </c>
      <c r="F64" s="6">
        <v>0</v>
      </c>
      <c r="G64" s="6">
        <v>0</v>
      </c>
      <c r="H64" s="48">
        <v>12</v>
      </c>
      <c r="I64" s="6">
        <v>0</v>
      </c>
      <c r="J64" s="51">
        <v>6</v>
      </c>
      <c r="K64" s="6">
        <v>0</v>
      </c>
      <c r="L64" s="25">
        <f>=SUM(E64:K64)</f>
        <v>24</v>
      </c>
      <c r="M64" s="55">
        <f>=RANK(L64,$L$2:$L$65)</f>
        <v>50</v>
      </c>
    </row>
    <row r="65" spans="1:13">
      <c r="A65" s="13">
        <v>64</v>
      </c>
      <c r="B65" s="8" t="s">
        <v>1712</v>
      </c>
      <c r="E65">
        <v>37</v>
      </c>
      <c r="F65">
        <v>16</v>
      </c>
      <c r="G65">
        <v>26</v>
      </c>
      <c r="H65" s="58">
        <v>25</v>
      </c>
      <c r="I65">
        <v>16</v>
      </c>
      <c r="J65" s="59">
        <v>39</v>
      </c>
      <c r="K65">
        <v>16</v>
      </c>
      <c r="L65" s="25">
        <f>=SUM(E65:K65)</f>
        <v>175</v>
      </c>
      <c r="M65" s="55">
        <f>=RANK(L65,$L$2:$L$65)</f>
        <v>13</v>
      </c>
    </row>
    <row r="66" spans="9:10">
      <c r="I66">
        <v>0</v>
      </c>
      <c r="J66" s="60" t="s"/>
    </row>
    <row r="67" spans="10:10">
      <c r="J67" s="60" t="s"/>
    </row>
    <row r="68" spans="10:10">
      <c r="J68" s="60" t="s"/>
    </row>
    <row r="69" spans="10:10">
      <c r="J69" s="60" t="s"/>
    </row>
    <row r="70" spans="10:10">
      <c r="J70" s="60" t="s"/>
    </row>
    <row r="71" spans="10:10">
      <c r="J71" s="60" t="s"/>
    </row>
    <row r="72" spans="10:10">
      <c r="J72" s="60" t="s"/>
    </row>
    <row r="73" spans="10:10">
      <c r="J73" s="60" t="s"/>
    </row>
    <row r="74" spans="10:10">
      <c r="J74" s="60" t="s"/>
    </row>
    <row r="75" spans="10:10">
      <c r="J75" s="60" t="s"/>
    </row>
    <row r="76" spans="10:10">
      <c r="J76" s="60" t="s"/>
    </row>
    <row r="77" spans="10:10">
      <c r="J77" s="60" t="s"/>
    </row>
  </sheetData>
  <autoFilter ref="H1:H65"/>
  <pageMargins left="0.75" right="0.75" top="1" bottom="1" header="0.5" footer="0.5"/>
</worksheet>
</file>

<file path=xl/worksheets/sheet18.xml><?xml version="1.0" encoding="utf-8"?>
<worksheet xmlns="http://schemas.openxmlformats.org/spreadsheetml/2006/main">
  <sheetPr/>
  <dimension ref="M49"/>
  <sheetViews>
    <sheetView showGridLines="1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5" max="5" width="7.71094" customWidth="1"/>
    <col min="6" max="6" width="7.71094" customWidth="1"/>
    <col min="7" max="7" width="7.71094" customWidth="1"/>
    <col min="8" max="8" width="13.875" style="124" customWidth="1"/>
    <col min="9" max="9" width="43.25" customWidth="1"/>
    <col min="10" max="10" width="15" customWidth="1"/>
    <col min="11" max="11" width="23.75" customWidth="1"/>
    <col min="12" max="13" width="6.71094" customWidth="1"/>
  </cols>
  <sheetData>
    <row r="1" spans="1:13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8" t="s">
        <v>1585</v>
      </c>
      <c r="I1" s="4" t="s">
        <v>1586</v>
      </c>
      <c r="J1" s="4" t="s">
        <v>1587</v>
      </c>
      <c r="K1" s="4" t="s">
        <v>1588</v>
      </c>
      <c r="L1" s="5" t="s">
        <v>11</v>
      </c>
      <c r="M1" s="46" t="s">
        <v>12</v>
      </c>
    </row>
    <row r="2" spans="1:13" ht="18.75">
      <c r="A2" s="61">
        <v>1</v>
      </c>
      <c r="B2" s="61" t="s">
        <v>1713</v>
      </c>
      <c r="C2" s="61" t="s"/>
      <c r="D2" s="61" t="s"/>
      <c r="E2" s="61">
        <v>102</v>
      </c>
      <c r="F2" s="61">
        <v>141</v>
      </c>
      <c r="G2" s="61">
        <v>85</v>
      </c>
      <c r="H2" s="62">
        <v>65</v>
      </c>
      <c r="I2" s="61">
        <v>57</v>
      </c>
      <c r="J2" s="63">
        <v>70</v>
      </c>
      <c r="K2" s="61">
        <v>84</v>
      </c>
      <c r="L2" s="61">
        <v>604</v>
      </c>
      <c r="M2" s="64">
        <v>1</v>
      </c>
    </row>
    <row r="3" spans="1:13" ht="18.75">
      <c r="A3" s="61">
        <v>2</v>
      </c>
      <c r="B3" s="61" t="s">
        <v>1714</v>
      </c>
      <c r="C3" s="61" t="s"/>
      <c r="D3" s="61" t="s"/>
      <c r="E3" s="61">
        <v>89</v>
      </c>
      <c r="F3" s="61">
        <v>132</v>
      </c>
      <c r="G3" s="61">
        <v>52.5</v>
      </c>
      <c r="H3" s="62">
        <v>69</v>
      </c>
      <c r="I3" s="61">
        <v>48</v>
      </c>
      <c r="J3" s="65">
        <v>57</v>
      </c>
      <c r="K3" s="61">
        <v>66</v>
      </c>
      <c r="L3" s="61">
        <v>513.5</v>
      </c>
      <c r="M3" s="64">
        <v>2</v>
      </c>
    </row>
    <row r="4" spans="1:13" ht="18.75">
      <c r="A4" s="61">
        <v>3</v>
      </c>
      <c r="B4" s="61" t="s">
        <v>1715</v>
      </c>
      <c r="C4" s="61" t="s"/>
      <c r="D4" s="61" t="s"/>
      <c r="E4" s="61">
        <v>53</v>
      </c>
      <c r="F4" s="61">
        <v>131</v>
      </c>
      <c r="G4" s="61">
        <v>47.5</v>
      </c>
      <c r="H4" s="62">
        <v>73</v>
      </c>
      <c r="I4" s="61">
        <v>70</v>
      </c>
      <c r="J4" s="63">
        <v>72</v>
      </c>
      <c r="K4" s="61">
        <v>60</v>
      </c>
      <c r="L4" s="61">
        <v>506.5</v>
      </c>
      <c r="M4" s="64">
        <v>3</v>
      </c>
    </row>
    <row r="5" spans="1:13" ht="18.75">
      <c r="A5" s="61">
        <v>4</v>
      </c>
      <c r="B5" s="61" t="s">
        <v>1716</v>
      </c>
      <c r="C5" s="61" t="s"/>
      <c r="D5" s="61" t="s"/>
      <c r="E5" s="61">
        <v>79</v>
      </c>
      <c r="F5" s="61">
        <v>129</v>
      </c>
      <c r="G5" s="61">
        <v>28.5</v>
      </c>
      <c r="H5" s="62">
        <v>74</v>
      </c>
      <c r="I5" s="61">
        <v>45</v>
      </c>
      <c r="J5" s="65">
        <v>66</v>
      </c>
      <c r="K5" s="61">
        <v>55</v>
      </c>
      <c r="L5" s="61">
        <v>476.5</v>
      </c>
      <c r="M5" s="64">
        <v>4</v>
      </c>
    </row>
    <row r="6" spans="1:13" ht="18.75">
      <c r="A6" s="61">
        <v>5</v>
      </c>
      <c r="B6" s="61" t="s">
        <v>1717</v>
      </c>
      <c r="C6" s="61" t="s"/>
      <c r="D6" s="61" t="s"/>
      <c r="E6" s="61">
        <v>75</v>
      </c>
      <c r="F6" s="61">
        <v>107</v>
      </c>
      <c r="G6" s="61">
        <v>31.5</v>
      </c>
      <c r="H6" s="62">
        <v>67</v>
      </c>
      <c r="I6" s="61">
        <v>54.5</v>
      </c>
      <c r="J6" s="63">
        <v>76</v>
      </c>
      <c r="K6" s="61">
        <v>56</v>
      </c>
      <c r="L6" s="61">
        <v>467</v>
      </c>
      <c r="M6" s="64">
        <v>5</v>
      </c>
    </row>
    <row r="7" spans="1:13" ht="18.75">
      <c r="A7" s="61">
        <v>6</v>
      </c>
      <c r="B7" s="61" t="s">
        <v>1718</v>
      </c>
      <c r="C7" s="61" t="s"/>
      <c r="D7" s="61" t="s"/>
      <c r="E7" s="61">
        <v>82</v>
      </c>
      <c r="F7" s="61">
        <v>125</v>
      </c>
      <c r="G7" s="61">
        <v>46</v>
      </c>
      <c r="H7" s="62">
        <v>42</v>
      </c>
      <c r="I7" s="61">
        <v>62</v>
      </c>
      <c r="J7" s="65">
        <v>59</v>
      </c>
      <c r="K7" s="61">
        <v>48</v>
      </c>
      <c r="L7" s="61">
        <v>464</v>
      </c>
      <c r="M7" s="64">
        <v>6</v>
      </c>
    </row>
    <row r="8" spans="1:13" ht="18.75">
      <c r="A8" s="61">
        <v>7</v>
      </c>
      <c r="B8" s="61" t="s">
        <v>1719</v>
      </c>
      <c r="C8" s="61" t="s"/>
      <c r="D8" s="61" t="s"/>
      <c r="E8" s="61">
        <v>84</v>
      </c>
      <c r="F8" s="61">
        <v>113</v>
      </c>
      <c r="G8" s="61">
        <v>65.5</v>
      </c>
      <c r="H8" s="62">
        <v>41</v>
      </c>
      <c r="I8" s="61">
        <v>47</v>
      </c>
      <c r="J8" s="63">
        <v>51</v>
      </c>
      <c r="K8" s="61">
        <v>56</v>
      </c>
      <c r="L8" s="61">
        <v>457.5</v>
      </c>
      <c r="M8" s="64">
        <v>7</v>
      </c>
    </row>
    <row r="9" spans="1:13" ht="18.75">
      <c r="A9" s="61">
        <v>8</v>
      </c>
      <c r="B9" s="61" t="s">
        <v>1720</v>
      </c>
      <c r="C9" s="61" t="s"/>
      <c r="D9" s="61" t="s"/>
      <c r="E9" s="61">
        <v>86</v>
      </c>
      <c r="F9" s="61">
        <v>125</v>
      </c>
      <c r="G9" s="61">
        <v>42</v>
      </c>
      <c r="H9" s="62">
        <v>44</v>
      </c>
      <c r="I9" s="61">
        <v>35</v>
      </c>
      <c r="J9" s="65">
        <v>55</v>
      </c>
      <c r="K9" s="61">
        <v>44</v>
      </c>
      <c r="L9" s="61">
        <v>431</v>
      </c>
      <c r="M9" s="64">
        <v>8</v>
      </c>
    </row>
    <row r="10" spans="1:13" ht="18.75">
      <c r="A10" s="61">
        <v>9</v>
      </c>
      <c r="B10" s="61" t="s">
        <v>1721</v>
      </c>
      <c r="C10" s="61" t="s"/>
      <c r="D10" s="61" t="s"/>
      <c r="E10" s="61">
        <v>85</v>
      </c>
      <c r="F10" s="61">
        <v>132</v>
      </c>
      <c r="G10" s="61">
        <v>34.5</v>
      </c>
      <c r="H10" s="62">
        <v>51</v>
      </c>
      <c r="I10" s="61">
        <v>37</v>
      </c>
      <c r="J10" s="63">
        <v>46</v>
      </c>
      <c r="K10" s="61">
        <v>38</v>
      </c>
      <c r="L10" s="61">
        <v>423.5</v>
      </c>
      <c r="M10" s="64">
        <v>9</v>
      </c>
    </row>
    <row r="11" spans="1:13" ht="18.75">
      <c r="A11" s="61">
        <v>10</v>
      </c>
      <c r="B11" s="61" t="s">
        <v>1722</v>
      </c>
      <c r="C11" s="61" t="s"/>
      <c r="D11" s="61" t="s"/>
      <c r="E11" s="61">
        <v>72</v>
      </c>
      <c r="F11" s="61">
        <v>117</v>
      </c>
      <c r="G11" s="61">
        <v>55</v>
      </c>
      <c r="H11" s="62">
        <v>40</v>
      </c>
      <c r="I11" s="61">
        <v>32</v>
      </c>
      <c r="J11" s="65">
        <v>60</v>
      </c>
      <c r="K11" s="61">
        <v>46</v>
      </c>
      <c r="L11" s="61">
        <v>422</v>
      </c>
      <c r="M11" s="64">
        <v>10</v>
      </c>
    </row>
    <row r="12" spans="1:13" ht="18.75">
      <c r="A12" s="61">
        <v>11</v>
      </c>
      <c r="B12" s="61" t="s">
        <v>1723</v>
      </c>
      <c r="C12" s="61" t="s"/>
      <c r="D12" s="61" t="s"/>
      <c r="E12" s="61">
        <v>78</v>
      </c>
      <c r="F12" s="61">
        <v>115</v>
      </c>
      <c r="G12" s="61">
        <v>48.5</v>
      </c>
      <c r="H12" s="62">
        <v>35</v>
      </c>
      <c r="I12" s="61">
        <v>42</v>
      </c>
      <c r="J12" s="63">
        <v>57</v>
      </c>
      <c r="K12" s="61">
        <v>46</v>
      </c>
      <c r="L12" s="61">
        <v>421.5</v>
      </c>
      <c r="M12" s="64">
        <v>11</v>
      </c>
    </row>
    <row r="13" spans="1:13" ht="18.75">
      <c r="A13" s="61">
        <v>12</v>
      </c>
      <c r="B13" s="61" t="s">
        <v>1724</v>
      </c>
      <c r="C13" s="61" t="s"/>
      <c r="D13" s="61" t="s"/>
      <c r="E13" s="61">
        <v>74</v>
      </c>
      <c r="F13" s="61">
        <v>118</v>
      </c>
      <c r="G13" s="61">
        <v>37.5</v>
      </c>
      <c r="H13" s="62">
        <v>42</v>
      </c>
      <c r="I13" s="61">
        <v>46</v>
      </c>
      <c r="J13" s="65">
        <v>68</v>
      </c>
      <c r="K13" s="61">
        <v>36</v>
      </c>
      <c r="L13" s="61">
        <v>421.5</v>
      </c>
      <c r="M13" s="64">
        <v>12</v>
      </c>
    </row>
    <row r="14" spans="1:13" ht="18.75">
      <c r="A14" s="61">
        <v>13</v>
      </c>
      <c r="B14" s="61" t="s">
        <v>1725</v>
      </c>
      <c r="C14" s="61" t="s"/>
      <c r="D14" s="61" t="s"/>
      <c r="E14" s="61">
        <v>74</v>
      </c>
      <c r="F14" s="61">
        <v>122</v>
      </c>
      <c r="G14" s="61">
        <v>75</v>
      </c>
      <c r="H14" s="62">
        <v>40</v>
      </c>
      <c r="I14" s="61">
        <v>29</v>
      </c>
      <c r="J14" s="63">
        <v>41</v>
      </c>
      <c r="K14" s="61">
        <v>35</v>
      </c>
      <c r="L14" s="61">
        <v>416</v>
      </c>
      <c r="M14" s="64">
        <v>13</v>
      </c>
    </row>
    <row r="15" spans="1:13" ht="18.75">
      <c r="A15" s="61">
        <v>14</v>
      </c>
      <c r="B15" s="61" t="s">
        <v>1726</v>
      </c>
      <c r="C15" s="61" t="s"/>
      <c r="D15" s="61" t="s"/>
      <c r="E15" s="61">
        <v>73</v>
      </c>
      <c r="F15" s="61">
        <v>121</v>
      </c>
      <c r="G15" s="61">
        <v>35</v>
      </c>
      <c r="H15" s="62">
        <v>43</v>
      </c>
      <c r="I15" s="61">
        <v>27</v>
      </c>
      <c r="J15" s="65">
        <v>59</v>
      </c>
      <c r="K15" s="61">
        <v>38</v>
      </c>
      <c r="L15" s="61">
        <v>396</v>
      </c>
      <c r="M15" s="64">
        <v>14</v>
      </c>
    </row>
    <row r="16" spans="1:13" ht="18.75">
      <c r="A16" s="61">
        <v>15</v>
      </c>
      <c r="B16" s="61" t="s">
        <v>1727</v>
      </c>
      <c r="C16" s="61" t="s"/>
      <c r="D16" s="61" t="s"/>
      <c r="E16" s="61">
        <v>87</v>
      </c>
      <c r="F16" s="61">
        <v>106</v>
      </c>
      <c r="G16" s="61">
        <v>42.5</v>
      </c>
      <c r="H16" s="62">
        <v>55</v>
      </c>
      <c r="I16" s="61">
        <v>25</v>
      </c>
      <c r="J16" s="63">
        <v>48</v>
      </c>
      <c r="K16" s="61">
        <v>29</v>
      </c>
      <c r="L16" s="61">
        <v>392.5</v>
      </c>
      <c r="M16" s="64">
        <v>15</v>
      </c>
    </row>
    <row r="17" spans="1:13" ht="18.75">
      <c r="A17" s="61">
        <v>16</v>
      </c>
      <c r="B17" s="61" t="s">
        <v>1728</v>
      </c>
      <c r="C17" s="61" t="s"/>
      <c r="D17" s="61" t="s"/>
      <c r="E17" s="61">
        <v>85</v>
      </c>
      <c r="F17" s="61">
        <v>87</v>
      </c>
      <c r="G17" s="61">
        <v>58</v>
      </c>
      <c r="H17" s="62">
        <v>36</v>
      </c>
      <c r="I17" s="61">
        <v>27</v>
      </c>
      <c r="J17" s="65">
        <v>54</v>
      </c>
      <c r="K17" s="61">
        <v>31</v>
      </c>
      <c r="L17" s="61">
        <v>378</v>
      </c>
      <c r="M17" s="64">
        <v>16</v>
      </c>
    </row>
    <row r="18" spans="1:13" ht="18.75">
      <c r="A18" s="61">
        <v>17</v>
      </c>
      <c r="B18" s="61" t="s">
        <v>1729</v>
      </c>
      <c r="C18" s="61" t="s"/>
      <c r="D18" s="61" t="s"/>
      <c r="E18" s="61">
        <v>73</v>
      </c>
      <c r="F18" s="61">
        <v>90</v>
      </c>
      <c r="G18" s="61">
        <v>47</v>
      </c>
      <c r="H18" s="62">
        <v>25</v>
      </c>
      <c r="I18" s="61">
        <v>31</v>
      </c>
      <c r="J18" s="63">
        <v>56</v>
      </c>
      <c r="K18" s="61">
        <v>45</v>
      </c>
      <c r="L18" s="61">
        <v>367</v>
      </c>
      <c r="M18" s="64">
        <v>17</v>
      </c>
    </row>
    <row r="19" spans="1:13" ht="18.75">
      <c r="A19" s="61">
        <v>18</v>
      </c>
      <c r="B19" s="61" t="s">
        <v>1730</v>
      </c>
      <c r="C19" s="61" t="s"/>
      <c r="D19" s="61" t="s"/>
      <c r="E19" s="61">
        <v>78</v>
      </c>
      <c r="F19" s="61">
        <v>68</v>
      </c>
      <c r="G19" s="61">
        <v>34.5</v>
      </c>
      <c r="H19" s="62">
        <v>25</v>
      </c>
      <c r="I19" s="61">
        <v>44.5</v>
      </c>
      <c r="J19" s="65">
        <v>63</v>
      </c>
      <c r="K19" s="61">
        <v>44</v>
      </c>
      <c r="L19" s="61">
        <v>357</v>
      </c>
      <c r="M19" s="64">
        <v>18</v>
      </c>
    </row>
    <row r="20" spans="1:13" ht="18.75">
      <c r="A20" s="61">
        <v>19</v>
      </c>
      <c r="B20" s="61" t="s">
        <v>1731</v>
      </c>
      <c r="C20" s="61" t="s"/>
      <c r="D20" s="61" t="s"/>
      <c r="E20" s="61">
        <v>83</v>
      </c>
      <c r="F20" s="61">
        <v>74</v>
      </c>
      <c r="G20" s="61">
        <v>36</v>
      </c>
      <c r="H20" s="62">
        <v>38</v>
      </c>
      <c r="I20" s="61">
        <v>32</v>
      </c>
      <c r="J20" s="63">
        <v>63</v>
      </c>
      <c r="K20" s="61">
        <v>28</v>
      </c>
      <c r="L20" s="61">
        <v>354</v>
      </c>
      <c r="M20" s="64">
        <v>19</v>
      </c>
    </row>
    <row r="21" spans="1:13" ht="18.75">
      <c r="A21" s="61">
        <v>20</v>
      </c>
      <c r="B21" s="61" t="s">
        <v>1732</v>
      </c>
      <c r="C21" s="61" t="s"/>
      <c r="D21" s="61" t="s"/>
      <c r="E21" s="61">
        <v>82</v>
      </c>
      <c r="F21" s="61">
        <v>60</v>
      </c>
      <c r="G21" s="61">
        <v>62.5</v>
      </c>
      <c r="H21" s="62">
        <v>30</v>
      </c>
      <c r="I21" s="61">
        <v>34</v>
      </c>
      <c r="J21" s="65">
        <v>51</v>
      </c>
      <c r="K21" s="61">
        <v>30</v>
      </c>
      <c r="L21" s="61">
        <v>349.5</v>
      </c>
      <c r="M21" s="64">
        <v>20</v>
      </c>
    </row>
    <row r="22" spans="1:13" ht="18.75">
      <c r="A22" s="61">
        <v>21</v>
      </c>
      <c r="B22" s="61" t="s">
        <v>1733</v>
      </c>
      <c r="C22" s="61" t="s"/>
      <c r="D22" s="61" t="s"/>
      <c r="E22" s="61">
        <v>57</v>
      </c>
      <c r="F22" s="61">
        <v>77</v>
      </c>
      <c r="G22" s="61">
        <v>52.5</v>
      </c>
      <c r="H22" s="62">
        <v>31</v>
      </c>
      <c r="I22" s="61">
        <v>35</v>
      </c>
      <c r="J22" s="63">
        <v>47</v>
      </c>
      <c r="K22" s="61">
        <v>49</v>
      </c>
      <c r="L22" s="61">
        <v>348.5</v>
      </c>
      <c r="M22" s="64">
        <v>21</v>
      </c>
    </row>
    <row r="23" spans="1:13" ht="18.75">
      <c r="A23" s="61">
        <v>22</v>
      </c>
      <c r="B23" s="61" t="s">
        <v>1734</v>
      </c>
      <c r="C23" s="61" t="s"/>
      <c r="D23" s="61" t="s"/>
      <c r="E23" s="61">
        <v>66</v>
      </c>
      <c r="F23" s="61">
        <v>62</v>
      </c>
      <c r="G23" s="61">
        <v>53.5</v>
      </c>
      <c r="H23" s="62">
        <v>36</v>
      </c>
      <c r="I23" s="61">
        <v>36</v>
      </c>
      <c r="J23" s="65">
        <v>46</v>
      </c>
      <c r="K23" s="61">
        <v>44</v>
      </c>
      <c r="L23" s="61">
        <v>343.5</v>
      </c>
      <c r="M23" s="64">
        <v>22</v>
      </c>
    </row>
    <row r="24" spans="1:13" ht="18.75">
      <c r="A24" s="61">
        <v>23</v>
      </c>
      <c r="B24" s="61" t="s">
        <v>1735</v>
      </c>
      <c r="C24" s="61" t="s"/>
      <c r="D24" s="61" t="s"/>
      <c r="E24" s="61">
        <v>59</v>
      </c>
      <c r="F24" s="61">
        <v>101</v>
      </c>
      <c r="G24" s="61">
        <v>37</v>
      </c>
      <c r="H24" s="62">
        <v>35</v>
      </c>
      <c r="I24" s="61">
        <v>24</v>
      </c>
      <c r="J24" s="63">
        <v>47</v>
      </c>
      <c r="K24" s="61">
        <v>35</v>
      </c>
      <c r="L24" s="61">
        <v>338</v>
      </c>
      <c r="M24" s="64">
        <v>23</v>
      </c>
    </row>
    <row r="25" spans="1:13" ht="18.75">
      <c r="A25" s="61">
        <v>24</v>
      </c>
      <c r="B25" s="61" t="s">
        <v>1736</v>
      </c>
      <c r="C25" s="61" t="s"/>
      <c r="D25" s="61" t="s"/>
      <c r="E25" s="61">
        <v>57</v>
      </c>
      <c r="F25" s="61">
        <v>82</v>
      </c>
      <c r="G25" s="61">
        <v>35.5</v>
      </c>
      <c r="H25" s="62">
        <v>38</v>
      </c>
      <c r="I25" s="61">
        <v>28</v>
      </c>
      <c r="J25" s="65">
        <v>55</v>
      </c>
      <c r="K25" s="61">
        <v>38</v>
      </c>
      <c r="L25" s="61">
        <v>333.5</v>
      </c>
      <c r="M25" s="64">
        <v>24</v>
      </c>
    </row>
    <row r="26" spans="1:13" ht="18.75">
      <c r="A26" s="61">
        <v>25</v>
      </c>
      <c r="B26" s="61" t="s">
        <v>1737</v>
      </c>
      <c r="C26" s="61" t="s"/>
      <c r="D26" s="61" t="s"/>
      <c r="E26" s="61">
        <v>85</v>
      </c>
      <c r="F26" s="61">
        <v>73</v>
      </c>
      <c r="G26" s="61">
        <v>29.5</v>
      </c>
      <c r="H26" s="62">
        <v>21</v>
      </c>
      <c r="I26" s="61">
        <v>30</v>
      </c>
      <c r="J26" s="63">
        <v>58</v>
      </c>
      <c r="K26" s="61">
        <v>36</v>
      </c>
      <c r="L26" s="61">
        <v>332.5</v>
      </c>
      <c r="M26" s="64">
        <v>25</v>
      </c>
    </row>
    <row r="27" spans="1:13" ht="18.75">
      <c r="A27" s="61">
        <v>26</v>
      </c>
      <c r="B27" s="61" t="s">
        <v>1738</v>
      </c>
      <c r="C27" s="61" t="s"/>
      <c r="D27" s="61" t="s"/>
      <c r="E27" s="61">
        <v>66</v>
      </c>
      <c r="F27" s="61">
        <v>43</v>
      </c>
      <c r="G27" s="61">
        <v>58.5</v>
      </c>
      <c r="H27" s="62">
        <v>27</v>
      </c>
      <c r="I27" s="61">
        <v>27</v>
      </c>
      <c r="J27" s="65">
        <v>57</v>
      </c>
      <c r="K27" s="61">
        <v>53</v>
      </c>
      <c r="L27" s="61">
        <v>331.5</v>
      </c>
      <c r="M27" s="64">
        <v>26</v>
      </c>
    </row>
    <row r="28" spans="1:13" ht="18.75">
      <c r="A28" s="61">
        <v>27</v>
      </c>
      <c r="B28" s="61" t="s">
        <v>1739</v>
      </c>
      <c r="C28" s="61" t="s"/>
      <c r="D28" s="61" t="s"/>
      <c r="E28" s="61">
        <v>86</v>
      </c>
      <c r="F28" s="61">
        <v>47</v>
      </c>
      <c r="G28" s="61">
        <v>58.5</v>
      </c>
      <c r="H28" s="62">
        <v>19</v>
      </c>
      <c r="I28" s="61">
        <v>26</v>
      </c>
      <c r="J28" s="63">
        <v>51</v>
      </c>
      <c r="K28" s="61">
        <v>36</v>
      </c>
      <c r="L28" s="61">
        <v>323.5</v>
      </c>
      <c r="M28" s="64">
        <v>27</v>
      </c>
    </row>
    <row r="29" spans="1:13" ht="18.75">
      <c r="A29" s="61">
        <v>28</v>
      </c>
      <c r="B29" s="61" t="s">
        <v>1740</v>
      </c>
      <c r="C29" s="61" t="s"/>
      <c r="D29" s="61" t="s"/>
      <c r="E29" s="61">
        <v>71</v>
      </c>
      <c r="F29" s="61">
        <v>40</v>
      </c>
      <c r="G29" s="61">
        <v>32.5</v>
      </c>
      <c r="H29" s="62">
        <v>24</v>
      </c>
      <c r="I29" s="61">
        <v>38</v>
      </c>
      <c r="J29" s="65">
        <v>68</v>
      </c>
      <c r="K29" s="61">
        <v>34</v>
      </c>
      <c r="L29" s="61">
        <v>307.5</v>
      </c>
      <c r="M29" s="64">
        <v>28</v>
      </c>
    </row>
    <row r="30" spans="1:13" ht="18.75">
      <c r="A30" s="61">
        <v>29</v>
      </c>
      <c r="B30" s="61" t="s">
        <v>1741</v>
      </c>
      <c r="C30" s="61" t="s"/>
      <c r="D30" s="61" t="s"/>
      <c r="E30" s="61">
        <v>64</v>
      </c>
      <c r="F30" s="61">
        <v>70</v>
      </c>
      <c r="G30" s="61">
        <v>27.5</v>
      </c>
      <c r="H30" s="62">
        <v>33</v>
      </c>
      <c r="I30" s="61">
        <v>38</v>
      </c>
      <c r="J30" s="63">
        <v>48</v>
      </c>
      <c r="K30" s="61">
        <v>25</v>
      </c>
      <c r="L30" s="61">
        <v>305.5</v>
      </c>
      <c r="M30" s="64">
        <v>29</v>
      </c>
    </row>
    <row r="31" spans="1:13" ht="18.75">
      <c r="A31" s="61">
        <v>30</v>
      </c>
      <c r="B31" s="61" t="s">
        <v>1742</v>
      </c>
      <c r="C31" s="61" t="s"/>
      <c r="D31" s="61" t="s"/>
      <c r="E31" s="61">
        <v>64</v>
      </c>
      <c r="F31" s="61">
        <v>48</v>
      </c>
      <c r="G31" s="61">
        <v>41</v>
      </c>
      <c r="H31" s="62">
        <v>28</v>
      </c>
      <c r="I31" s="61">
        <v>34</v>
      </c>
      <c r="J31" s="65">
        <v>50</v>
      </c>
      <c r="K31" s="61">
        <v>39</v>
      </c>
      <c r="L31" s="61">
        <v>304</v>
      </c>
      <c r="M31" s="64">
        <v>30</v>
      </c>
    </row>
    <row r="32" spans="1:13" ht="18.75">
      <c r="A32" s="61">
        <v>31</v>
      </c>
      <c r="B32" s="61" t="s">
        <v>1743</v>
      </c>
      <c r="C32" s="61" t="s"/>
      <c r="D32" s="61" t="s"/>
      <c r="E32" s="61">
        <v>78</v>
      </c>
      <c r="F32" s="61">
        <v>44</v>
      </c>
      <c r="G32" s="61">
        <v>34</v>
      </c>
      <c r="H32" s="62">
        <v>38</v>
      </c>
      <c r="I32" s="61">
        <v>27</v>
      </c>
      <c r="J32" s="63">
        <v>46</v>
      </c>
      <c r="K32" s="61">
        <v>34</v>
      </c>
      <c r="L32" s="61">
        <v>301</v>
      </c>
      <c r="M32" s="64">
        <v>31</v>
      </c>
    </row>
    <row r="33" spans="1:13" ht="18.75">
      <c r="A33" s="61">
        <v>32</v>
      </c>
      <c r="B33" s="61" t="s">
        <v>1744</v>
      </c>
      <c r="C33" s="61" t="s"/>
      <c r="D33" s="61" t="s"/>
      <c r="E33" s="61">
        <v>62</v>
      </c>
      <c r="F33" s="61">
        <v>43</v>
      </c>
      <c r="G33" s="61">
        <v>41.5</v>
      </c>
      <c r="H33" s="62">
        <v>33</v>
      </c>
      <c r="I33" s="61">
        <v>40</v>
      </c>
      <c r="J33" s="65">
        <v>40</v>
      </c>
      <c r="K33" s="61">
        <v>36</v>
      </c>
      <c r="L33" s="61">
        <v>295.5</v>
      </c>
      <c r="M33" s="64">
        <v>32</v>
      </c>
    </row>
    <row r="34" spans="1:13" ht="18.75">
      <c r="A34" s="61">
        <v>33</v>
      </c>
      <c r="B34" s="61" t="s">
        <v>1745</v>
      </c>
      <c r="C34" s="61" t="s"/>
      <c r="D34" s="61" t="s"/>
      <c r="E34" s="61">
        <v>76</v>
      </c>
      <c r="F34" s="61">
        <v>39</v>
      </c>
      <c r="G34" s="61">
        <v>40</v>
      </c>
      <c r="H34" s="62">
        <v>24</v>
      </c>
      <c r="I34" s="61">
        <v>34.5</v>
      </c>
      <c r="J34" s="63">
        <v>41</v>
      </c>
      <c r="K34" s="61">
        <v>41</v>
      </c>
      <c r="L34" s="61">
        <v>295.5</v>
      </c>
      <c r="M34" s="66">
        <v>33</v>
      </c>
    </row>
    <row r="35" spans="1:13" ht="18.75">
      <c r="A35" s="61">
        <v>34</v>
      </c>
      <c r="B35" s="61" t="s">
        <v>1746</v>
      </c>
      <c r="C35" s="61" t="s"/>
      <c r="D35" s="61" t="s"/>
      <c r="E35" s="61">
        <v>82</v>
      </c>
      <c r="F35" s="61">
        <v>36</v>
      </c>
      <c r="G35" s="61">
        <v>42.5</v>
      </c>
      <c r="H35" s="62">
        <v>9</v>
      </c>
      <c r="I35" s="61">
        <v>44</v>
      </c>
      <c r="J35" s="65">
        <v>43</v>
      </c>
      <c r="K35" s="61">
        <v>36</v>
      </c>
      <c r="L35" s="61">
        <v>292.5</v>
      </c>
      <c r="M35" s="66">
        <v>34</v>
      </c>
    </row>
    <row r="36" spans="1:13" ht="18.75">
      <c r="A36" s="61">
        <v>35</v>
      </c>
      <c r="B36" s="61" t="s">
        <v>1747</v>
      </c>
      <c r="C36" s="61" t="s"/>
      <c r="D36" s="61" t="s"/>
      <c r="E36" s="61">
        <v>63</v>
      </c>
      <c r="F36" s="61">
        <v>50</v>
      </c>
      <c r="G36" s="61">
        <v>55.5</v>
      </c>
      <c r="H36" s="62">
        <v>18</v>
      </c>
      <c r="I36" s="61">
        <v>31</v>
      </c>
      <c r="J36" s="63">
        <v>39</v>
      </c>
      <c r="K36" s="61">
        <v>29</v>
      </c>
      <c r="L36" s="66">
        <v>285.5</v>
      </c>
      <c r="M36" s="66">
        <v>35</v>
      </c>
    </row>
    <row r="37" spans="1:13" ht="18.75">
      <c r="A37" s="61">
        <v>36</v>
      </c>
      <c r="B37" s="61" t="s">
        <v>1748</v>
      </c>
      <c r="C37" s="61" t="s"/>
      <c r="D37" s="61" t="s"/>
      <c r="E37" s="61">
        <v>76</v>
      </c>
      <c r="F37" s="61">
        <v>49</v>
      </c>
      <c r="G37" s="61">
        <v>16.5</v>
      </c>
      <c r="H37" s="62">
        <v>24</v>
      </c>
      <c r="I37" s="61">
        <v>27</v>
      </c>
      <c r="J37" s="65">
        <v>57</v>
      </c>
      <c r="K37" s="61">
        <v>35</v>
      </c>
      <c r="L37" s="66">
        <v>284.5</v>
      </c>
      <c r="M37" s="66">
        <v>36</v>
      </c>
    </row>
    <row r="38" spans="1:13" ht="18.75">
      <c r="A38" s="61">
        <v>37</v>
      </c>
      <c r="B38" s="61" t="s">
        <v>1749</v>
      </c>
      <c r="C38" s="61" t="s"/>
      <c r="D38" s="61" t="s"/>
      <c r="E38" s="61">
        <v>47</v>
      </c>
      <c r="F38" s="61">
        <v>56</v>
      </c>
      <c r="G38" s="61">
        <v>42</v>
      </c>
      <c r="H38" s="62">
        <v>26</v>
      </c>
      <c r="I38" s="61">
        <v>26</v>
      </c>
      <c r="J38" s="63">
        <v>34</v>
      </c>
      <c r="K38" s="61">
        <v>51</v>
      </c>
      <c r="L38" s="66">
        <v>282</v>
      </c>
      <c r="M38" s="66">
        <v>37</v>
      </c>
    </row>
    <row r="39" spans="1:13" ht="18.75">
      <c r="A39" s="61">
        <v>38</v>
      </c>
      <c r="B39" s="61" t="s">
        <v>1750</v>
      </c>
      <c r="C39" s="61" t="s"/>
      <c r="D39" s="61" t="s"/>
      <c r="E39" s="61">
        <v>38</v>
      </c>
      <c r="F39" s="61">
        <v>60</v>
      </c>
      <c r="G39" s="61">
        <v>25.5</v>
      </c>
      <c r="H39" s="62">
        <v>29</v>
      </c>
      <c r="I39" s="61">
        <v>34</v>
      </c>
      <c r="J39" s="65">
        <v>44</v>
      </c>
      <c r="K39" s="61">
        <v>41</v>
      </c>
      <c r="L39" s="66">
        <v>271.5</v>
      </c>
      <c r="M39" s="66">
        <v>38</v>
      </c>
    </row>
    <row r="40" spans="1:13" ht="18.75">
      <c r="A40" s="61">
        <v>39</v>
      </c>
      <c r="B40" s="61" t="s">
        <v>1751</v>
      </c>
      <c r="C40" s="61" t="s"/>
      <c r="D40" s="61" t="s"/>
      <c r="E40" s="61">
        <v>69</v>
      </c>
      <c r="F40" s="61">
        <v>28</v>
      </c>
      <c r="G40" s="61">
        <v>27.5</v>
      </c>
      <c r="H40" s="62">
        <v>31</v>
      </c>
      <c r="I40" s="61">
        <v>29</v>
      </c>
      <c r="J40" s="63">
        <v>49</v>
      </c>
      <c r="K40" s="61">
        <v>38</v>
      </c>
      <c r="L40" s="66">
        <v>271.5</v>
      </c>
      <c r="M40" s="66">
        <v>39</v>
      </c>
    </row>
    <row r="41" spans="1:13" ht="18.75">
      <c r="A41" s="61">
        <v>40</v>
      </c>
      <c r="B41" s="61" t="s">
        <v>1752</v>
      </c>
      <c r="C41" s="61" t="s"/>
      <c r="D41" s="61" t="s"/>
      <c r="E41" s="61">
        <v>59</v>
      </c>
      <c r="F41" s="61">
        <v>59</v>
      </c>
      <c r="G41" s="61">
        <v>29.5</v>
      </c>
      <c r="H41" s="62">
        <v>21</v>
      </c>
      <c r="I41" s="61">
        <v>23</v>
      </c>
      <c r="J41" s="65">
        <v>50</v>
      </c>
      <c r="K41" s="61">
        <v>29</v>
      </c>
      <c r="L41" s="66">
        <v>270.5</v>
      </c>
      <c r="M41" s="66">
        <v>40</v>
      </c>
    </row>
    <row r="42" spans="1:13" ht="18.75">
      <c r="A42" s="61">
        <v>41</v>
      </c>
      <c r="B42" s="61" t="s">
        <v>1753</v>
      </c>
      <c r="C42" s="61" t="s"/>
      <c r="D42" s="61" t="s"/>
      <c r="E42" s="61">
        <v>63</v>
      </c>
      <c r="F42" s="61">
        <v>36</v>
      </c>
      <c r="G42" s="61">
        <v>28.5</v>
      </c>
      <c r="H42" s="62">
        <v>23</v>
      </c>
      <c r="I42" s="61">
        <v>38</v>
      </c>
      <c r="J42" s="63">
        <v>47</v>
      </c>
      <c r="K42" s="61">
        <v>34</v>
      </c>
      <c r="L42" s="66">
        <v>269.5</v>
      </c>
      <c r="M42" s="66">
        <v>41</v>
      </c>
    </row>
    <row r="43" spans="1:13" ht="18.75">
      <c r="A43" s="61">
        <v>42</v>
      </c>
      <c r="B43" s="61" t="s">
        <v>1754</v>
      </c>
      <c r="C43" s="61" t="s"/>
      <c r="D43" s="61" t="s"/>
      <c r="E43" s="61">
        <v>63</v>
      </c>
      <c r="F43" s="61">
        <v>32</v>
      </c>
      <c r="G43" s="61">
        <v>36</v>
      </c>
      <c r="H43" s="62">
        <v>19</v>
      </c>
      <c r="I43" s="61">
        <v>32.5</v>
      </c>
      <c r="J43" s="65">
        <v>45</v>
      </c>
      <c r="K43" s="61">
        <v>29</v>
      </c>
      <c r="L43" s="66">
        <v>256.5</v>
      </c>
      <c r="M43" s="66">
        <v>42</v>
      </c>
    </row>
    <row r="44" spans="1:13" ht="18.75">
      <c r="A44" s="61">
        <v>43</v>
      </c>
      <c r="B44" s="61" t="s">
        <v>1755</v>
      </c>
      <c r="C44" s="61" t="s"/>
      <c r="D44" s="61" t="s"/>
      <c r="E44" s="61">
        <v>70</v>
      </c>
      <c r="F44" s="61">
        <v>28</v>
      </c>
      <c r="G44" s="61">
        <v>32</v>
      </c>
      <c r="H44" s="62">
        <v>15</v>
      </c>
      <c r="I44" s="61">
        <v>33</v>
      </c>
      <c r="J44" s="63">
        <v>33</v>
      </c>
      <c r="K44" s="61">
        <v>38</v>
      </c>
      <c r="L44" s="66">
        <v>249</v>
      </c>
      <c r="M44" s="66">
        <v>43</v>
      </c>
    </row>
    <row r="45" spans="1:13" ht="18.75">
      <c r="A45" s="61">
        <v>44</v>
      </c>
      <c r="B45" s="61" t="s">
        <v>1756</v>
      </c>
      <c r="C45" s="61" t="s"/>
      <c r="D45" s="61" t="s"/>
      <c r="E45" s="61">
        <v>44</v>
      </c>
      <c r="F45" s="61">
        <v>58</v>
      </c>
      <c r="G45" s="61">
        <v>16.5</v>
      </c>
      <c r="H45" s="62">
        <v>21</v>
      </c>
      <c r="I45" s="61">
        <v>40</v>
      </c>
      <c r="J45" s="65">
        <v>33</v>
      </c>
      <c r="K45" s="61">
        <v>34</v>
      </c>
      <c r="L45" s="66">
        <v>246.5</v>
      </c>
      <c r="M45" s="66">
        <v>44</v>
      </c>
    </row>
    <row r="46" spans="1:13" ht="18.75">
      <c r="A46" s="61">
        <v>45</v>
      </c>
      <c r="B46" s="61" t="s">
        <v>1757</v>
      </c>
      <c r="C46" s="61" t="s"/>
      <c r="D46" s="61" t="s"/>
      <c r="E46" s="61">
        <v>45</v>
      </c>
      <c r="F46" s="61">
        <v>36</v>
      </c>
      <c r="G46" s="61">
        <v>37</v>
      </c>
      <c r="H46" s="62">
        <v>12</v>
      </c>
      <c r="I46" s="61">
        <v>28</v>
      </c>
      <c r="J46" s="63">
        <v>48</v>
      </c>
      <c r="K46" s="61">
        <v>23</v>
      </c>
      <c r="L46" s="66">
        <v>229</v>
      </c>
      <c r="M46" s="66">
        <v>45</v>
      </c>
    </row>
    <row r="47" spans="1:13" ht="18.75">
      <c r="A47" s="61">
        <v>46</v>
      </c>
      <c r="B47" s="61" t="s">
        <v>1758</v>
      </c>
      <c r="C47" s="61" t="s"/>
      <c r="D47" s="61" t="s"/>
      <c r="E47" s="61">
        <v>61</v>
      </c>
      <c r="F47" s="61">
        <v>24</v>
      </c>
      <c r="G47" s="61">
        <v>26.5</v>
      </c>
      <c r="H47" s="62">
        <v>17</v>
      </c>
      <c r="I47" s="61">
        <v>26</v>
      </c>
      <c r="J47" s="65">
        <v>41</v>
      </c>
      <c r="K47" s="61">
        <v>25</v>
      </c>
      <c r="L47" s="66">
        <v>220.5</v>
      </c>
      <c r="M47" s="66">
        <v>46</v>
      </c>
    </row>
    <row r="48" spans="1:13" ht="18.75">
      <c r="A48" s="61">
        <v>47</v>
      </c>
      <c r="B48" s="61" t="s">
        <v>1759</v>
      </c>
      <c r="C48" s="61" t="s"/>
      <c r="D48" s="61" t="s"/>
      <c r="E48" s="61">
        <v>58</v>
      </c>
      <c r="F48" s="61">
        <v>16</v>
      </c>
      <c r="G48" s="61">
        <v>26</v>
      </c>
      <c r="H48" s="62">
        <v>15</v>
      </c>
      <c r="I48" s="61">
        <v>30</v>
      </c>
      <c r="J48" s="63">
        <v>33</v>
      </c>
      <c r="K48" s="61">
        <v>30</v>
      </c>
      <c r="L48" s="66">
        <v>208</v>
      </c>
      <c r="M48" s="66">
        <v>47</v>
      </c>
    </row>
    <row r="49" spans="1:13">
      <c r="A49" s="67">
        <v>48</v>
      </c>
      <c r="B49" s="68" t="s">
        <v>1760</v>
      </c>
      <c r="C49" s="68" t="s"/>
      <c r="D49" s="68" t="s"/>
      <c r="E49" s="66" t="s">
        <v>105</v>
      </c>
      <c r="F49" s="66" t="s">
        <v>105</v>
      </c>
      <c r="G49" s="66" t="s">
        <v>105</v>
      </c>
      <c r="H49" s="69" t="s">
        <v>105</v>
      </c>
      <c r="I49" s="66" t="s">
        <v>105</v>
      </c>
      <c r="J49" s="66" t="s">
        <v>105</v>
      </c>
      <c r="K49" s="66" t="s">
        <v>105</v>
      </c>
      <c r="L49" s="66">
        <v>0</v>
      </c>
      <c r="M49" s="66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/>
  <dimension ref="O51"/>
  <sheetViews>
    <sheetView showGridLines="1" workbookViewId="0"/>
  </sheetViews>
  <sheetFormatPr defaultColWidth="8.75" defaultRowHeight="14.25"/>
  <cols>
    <col min="1" max="1" width="8.75" style="122"/>
    <col min="2" max="2" width="9.5" style="123"/>
    <col min="3" max="3" width="0" style="123" hidden="1" customWidth="1"/>
    <col min="4" max="4" width="19.25" style="123" customWidth="1"/>
    <col min="6" max="6" width="9.69141" style="84" customWidth="1"/>
    <col min="7" max="7" width="10.7109" customWidth="1"/>
  </cols>
  <sheetData>
    <row r="1" spans="1:15" ht="18.75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5" t="s">
        <v>7</v>
      </c>
      <c r="H1" s="5" t="s">
        <v>1761</v>
      </c>
      <c r="I1" s="5" t="s">
        <v>1762</v>
      </c>
      <c r="J1" s="5" t="s">
        <v>1763</v>
      </c>
      <c r="K1" s="5" t="s">
        <v>1764</v>
      </c>
      <c r="L1" s="5" t="s">
        <v>1765</v>
      </c>
      <c r="M1" s="5" t="s">
        <v>1766</v>
      </c>
      <c r="N1" s="5" t="s">
        <v>11</v>
      </c>
      <c r="O1" s="5" t="s">
        <v>12</v>
      </c>
    </row>
    <row r="2" spans="1:15" ht="18.75">
      <c r="A2" s="4">
        <v>1</v>
      </c>
      <c r="B2" s="4" t="s">
        <v>1767</v>
      </c>
      <c r="C2" s="4">
        <v>1456</v>
      </c>
      <c r="D2" s="4" t="str">
        <f>=VLOOKUP(B2,[1]在校生综合信息查询!$A$949:$C$997,2,0)</f>
        <v>25q770303011</v>
      </c>
      <c r="E2" s="6">
        <v>61</v>
      </c>
      <c r="F2" s="12">
        <v>25</v>
      </c>
      <c r="G2" s="7">
        <v>61.5</v>
      </c>
      <c r="H2" s="70">
        <v>16.5</v>
      </c>
      <c r="I2" s="6">
        <v>18</v>
      </c>
      <c r="J2" s="6">
        <v>32</v>
      </c>
      <c r="K2" s="6">
        <v>35</v>
      </c>
      <c r="L2" s="6">
        <v>36</v>
      </c>
      <c r="M2" s="6">
        <v>31</v>
      </c>
      <c r="N2" s="5" t="s"/>
      <c r="O2" s="5" t="s"/>
    </row>
    <row r="3" spans="1:15" ht="18.75">
      <c r="A3" s="4">
        <v>2</v>
      </c>
      <c r="B3" s="4" t="s">
        <v>1769</v>
      </c>
      <c r="C3" s="4">
        <v>1473</v>
      </c>
      <c r="D3" s="4" t="str">
        <f>=VLOOKUP(B3,[1]在校生综合信息查询!$A$949:$C$997,2,0)</f>
        <v>25q770303036</v>
      </c>
      <c r="E3" s="6">
        <v>50</v>
      </c>
      <c r="F3" s="12">
        <v>20</v>
      </c>
      <c r="G3" s="7">
        <v>25</v>
      </c>
      <c r="H3" s="6">
        <v>7.5</v>
      </c>
      <c r="I3" s="6">
        <v>12</v>
      </c>
      <c r="J3" s="6">
        <v>40</v>
      </c>
      <c r="K3" s="6">
        <v>30</v>
      </c>
      <c r="L3" s="6">
        <v>33</v>
      </c>
      <c r="M3" s="6">
        <v>29</v>
      </c>
      <c r="N3" s="5" t="s"/>
      <c r="O3" s="5" t="s"/>
    </row>
    <row r="4" spans="1:15" ht="18.75">
      <c r="A4" s="4">
        <v>3</v>
      </c>
      <c r="B4" s="4" t="s">
        <v>1771</v>
      </c>
      <c r="C4" s="4">
        <v>1474</v>
      </c>
      <c r="D4" s="4" t="str">
        <f>=VLOOKUP(B4,[1]在校生综合信息查询!$A$949:$C$997,2,0)</f>
        <v>25q770303037</v>
      </c>
      <c r="E4" s="6">
        <v>19</v>
      </c>
      <c r="F4" s="12">
        <v>10</v>
      </c>
      <c r="G4" s="7">
        <v>27</v>
      </c>
      <c r="H4" s="6">
        <v>12</v>
      </c>
      <c r="I4" s="6">
        <v>12</v>
      </c>
      <c r="J4" s="6">
        <v>19</v>
      </c>
      <c r="K4" s="6">
        <v>19</v>
      </c>
      <c r="L4" s="6">
        <v>21</v>
      </c>
      <c r="M4" s="6">
        <v>30</v>
      </c>
      <c r="N4" s="5" t="s"/>
      <c r="O4" s="5" t="s"/>
    </row>
    <row r="5" spans="1:15" ht="18.75">
      <c r="A5" s="4">
        <v>4</v>
      </c>
      <c r="B5" s="4" t="s">
        <v>1773</v>
      </c>
      <c r="C5" s="4">
        <v>1478</v>
      </c>
      <c r="D5" s="4" t="str">
        <f>=VLOOKUP(B5,[1]在校生综合信息查询!$A$949:$C$997,2,0)</f>
        <v>25q770303043</v>
      </c>
      <c r="E5" s="6">
        <v>68.5</v>
      </c>
      <c r="F5" s="12">
        <v>15</v>
      </c>
      <c r="G5" s="7">
        <v>25.5</v>
      </c>
      <c r="H5" s="6">
        <v>13.5</v>
      </c>
      <c r="I5" s="6">
        <v>6</v>
      </c>
      <c r="J5" s="6">
        <v>20</v>
      </c>
      <c r="K5" s="6">
        <v>33</v>
      </c>
      <c r="L5" s="6">
        <v>41</v>
      </c>
      <c r="M5" s="6">
        <v>43</v>
      </c>
      <c r="N5" s="5" t="s"/>
      <c r="O5" s="5" t="s"/>
    </row>
    <row r="6" spans="1:15" ht="18.75">
      <c r="A6" s="4">
        <v>5</v>
      </c>
      <c r="B6" s="4" t="s">
        <v>1775</v>
      </c>
      <c r="C6" s="4">
        <v>1463</v>
      </c>
      <c r="D6" s="4" t="str">
        <f>=VLOOKUP(B6,[1]在校生综合信息查询!$A$949:$C$997,2,0)</f>
        <v>25q770303026</v>
      </c>
      <c r="E6" s="6">
        <v>57</v>
      </c>
      <c r="F6" s="12">
        <v>5</v>
      </c>
      <c r="G6" s="7">
        <v>24</v>
      </c>
      <c r="H6" s="6">
        <v>0</v>
      </c>
      <c r="I6" s="6">
        <v>29</v>
      </c>
      <c r="J6" s="6">
        <v>8</v>
      </c>
      <c r="K6" s="6">
        <v>27</v>
      </c>
      <c r="L6" s="6">
        <v>24</v>
      </c>
      <c r="M6" s="6">
        <v>29</v>
      </c>
      <c r="N6" s="5" t="s"/>
      <c r="O6" s="5" t="s"/>
    </row>
    <row r="7" spans="1:15" ht="18.75">
      <c r="A7" s="4">
        <v>6</v>
      </c>
      <c r="B7" s="4" t="s">
        <v>1777</v>
      </c>
      <c r="C7" s="4">
        <v>1459</v>
      </c>
      <c r="D7" s="4" t="str">
        <f>=VLOOKUP(B7,[1]在校生综合信息查询!$A$949:$C$997,2,0)</f>
        <v>25q770303015</v>
      </c>
      <c r="E7" s="6">
        <v>17</v>
      </c>
      <c r="F7" s="12">
        <v>15</v>
      </c>
      <c r="G7" s="7">
        <v>18</v>
      </c>
      <c r="H7" s="6">
        <v>10.5</v>
      </c>
      <c r="I7" s="6">
        <v>9</v>
      </c>
      <c r="J7" s="6">
        <v>12</v>
      </c>
      <c r="K7" s="6">
        <v>36</v>
      </c>
      <c r="L7" s="6">
        <v>37</v>
      </c>
      <c r="M7" s="6">
        <v>41</v>
      </c>
      <c r="N7" s="5" t="s"/>
      <c r="O7" s="5" t="s"/>
    </row>
    <row r="8" spans="1:15" ht="18.75">
      <c r="A8" s="4">
        <v>7</v>
      </c>
      <c r="B8" s="4" t="s">
        <v>1779</v>
      </c>
      <c r="C8" s="4">
        <v>1475</v>
      </c>
      <c r="D8" s="4" t="str">
        <f>=VLOOKUP(B8,[1]在校生综合信息查询!$A$949:$C$997,2,0)</f>
        <v>25q770303038</v>
      </c>
      <c r="E8" s="6">
        <v>8</v>
      </c>
      <c r="F8" s="12">
        <v>10</v>
      </c>
      <c r="G8" s="7">
        <v>23</v>
      </c>
      <c r="H8" s="6">
        <v>14.5</v>
      </c>
      <c r="I8" s="6">
        <v>4</v>
      </c>
      <c r="J8" s="6">
        <v>10</v>
      </c>
      <c r="K8" s="6">
        <v>34</v>
      </c>
      <c r="L8" s="6">
        <v>18</v>
      </c>
      <c r="M8" s="6">
        <v>14</v>
      </c>
      <c r="N8" s="5" t="s"/>
      <c r="O8" s="5" t="s"/>
    </row>
    <row r="9" spans="1:15" ht="18.75">
      <c r="A9" s="4">
        <v>8</v>
      </c>
      <c r="B9" s="4" t="s">
        <v>1781</v>
      </c>
      <c r="C9" s="4">
        <v>1495</v>
      </c>
      <c r="D9" s="4" t="str">
        <f>=VLOOKUP(B9,[1]在校生综合信息查询!$A$949:$C$997,2,0)</f>
        <v>25q740101008</v>
      </c>
      <c r="E9" s="6">
        <v>27</v>
      </c>
      <c r="F9" s="12">
        <v>10</v>
      </c>
      <c r="G9" s="7">
        <v>26.5</v>
      </c>
      <c r="H9" s="6">
        <v>6</v>
      </c>
      <c r="I9" s="6">
        <v>12</v>
      </c>
      <c r="J9" s="6">
        <v>14</v>
      </c>
      <c r="K9" s="6">
        <v>34</v>
      </c>
      <c r="L9" s="6">
        <v>12</v>
      </c>
      <c r="M9" s="6">
        <v>27</v>
      </c>
      <c r="N9" s="5" t="s"/>
      <c r="O9" s="5" t="s"/>
    </row>
    <row r="10" spans="1:15" ht="18.75">
      <c r="A10" s="4">
        <v>9</v>
      </c>
      <c r="B10" s="4" t="s">
        <v>1782</v>
      </c>
      <c r="C10" s="4">
        <v>1497</v>
      </c>
      <c r="D10" s="4" t="str">
        <f>=VLOOKUP(B10,[1]在校生综合信息查询!$A$949:$C$997,2,0)</f>
        <v>24q770303009</v>
      </c>
      <c r="E10" s="6">
        <v>9</v>
      </c>
      <c r="F10" s="12">
        <v>5</v>
      </c>
      <c r="G10" s="7">
        <v>24.5</v>
      </c>
      <c r="H10" s="6">
        <v>13</v>
      </c>
      <c r="I10" s="6">
        <v>6</v>
      </c>
      <c r="J10" s="6">
        <v>6</v>
      </c>
      <c r="K10" s="6">
        <v>9</v>
      </c>
      <c r="L10" s="6">
        <v>18</v>
      </c>
      <c r="M10" s="6">
        <v>16</v>
      </c>
      <c r="N10" s="5" t="s"/>
      <c r="O10" s="5" t="s"/>
    </row>
    <row r="11" spans="1:15" ht="18.75">
      <c r="A11" s="4">
        <v>10</v>
      </c>
      <c r="B11" s="4" t="s">
        <v>1784</v>
      </c>
      <c r="C11" s="4">
        <v>1453</v>
      </c>
      <c r="D11" s="4" t="str">
        <f>=VLOOKUP(B11,[1]在校生综合信息查询!$A$949:$C$997,2,0)</f>
        <v>25q770303006</v>
      </c>
      <c r="E11" s="6">
        <v>14</v>
      </c>
      <c r="F11" s="12">
        <v>10</v>
      </c>
      <c r="G11" s="7">
        <v>24.5</v>
      </c>
      <c r="H11" s="6">
        <v>15</v>
      </c>
      <c r="I11" s="6">
        <v>16</v>
      </c>
      <c r="J11" s="6">
        <v>23</v>
      </c>
      <c r="K11" s="6">
        <v>17</v>
      </c>
      <c r="L11" s="6">
        <v>28</v>
      </c>
      <c r="M11" s="6">
        <v>20</v>
      </c>
      <c r="N11" s="5" t="s"/>
      <c r="O11" s="5" t="s"/>
    </row>
    <row r="12" spans="1:15" ht="18.75">
      <c r="A12" s="4">
        <v>11</v>
      </c>
      <c r="B12" s="4" t="s">
        <v>1786</v>
      </c>
      <c r="C12" s="4">
        <v>1492</v>
      </c>
      <c r="D12" s="4" t="str">
        <f>=VLOOKUP(B12,[1]在校生综合信息查询!$A$949:$C$997,2,0)</f>
        <v>25q710103257</v>
      </c>
      <c r="E12" s="6">
        <v>40</v>
      </c>
      <c r="F12" s="12">
        <v>20</v>
      </c>
      <c r="G12" s="7">
        <v>32.5</v>
      </c>
      <c r="H12" s="6">
        <v>24.5</v>
      </c>
      <c r="I12" s="6">
        <v>15</v>
      </c>
      <c r="J12" s="6">
        <v>18</v>
      </c>
      <c r="K12" s="6">
        <v>43</v>
      </c>
      <c r="L12" s="6">
        <v>46</v>
      </c>
      <c r="M12" s="6">
        <v>23</v>
      </c>
      <c r="N12" s="5" t="s"/>
      <c r="O12" s="5" t="s"/>
    </row>
    <row r="13" spans="1:15" ht="18.75">
      <c r="A13" s="4">
        <v>12</v>
      </c>
      <c r="B13" s="4" t="s">
        <v>1788</v>
      </c>
      <c r="C13" s="4">
        <v>1465</v>
      </c>
      <c r="D13" s="4" t="str">
        <f>=VLOOKUP(B13,[1]在校生综合信息查询!$A$949:$C$997,2,0)</f>
        <v>25q770303028</v>
      </c>
      <c r="E13" s="6">
        <v>76</v>
      </c>
      <c r="F13" s="12">
        <v>10</v>
      </c>
      <c r="G13" s="7">
        <v>27</v>
      </c>
      <c r="H13" s="6">
        <v>14</v>
      </c>
      <c r="I13" s="6">
        <v>18</v>
      </c>
      <c r="J13" s="6">
        <v>23</v>
      </c>
      <c r="K13" s="6">
        <v>55</v>
      </c>
      <c r="L13" s="6">
        <v>49</v>
      </c>
      <c r="M13" s="6">
        <v>31</v>
      </c>
      <c r="N13" s="5" t="s"/>
      <c r="O13" s="5" t="s"/>
    </row>
    <row r="14" spans="1:15" ht="18.75">
      <c r="A14" s="4">
        <v>13</v>
      </c>
      <c r="B14" s="4" t="s">
        <v>1790</v>
      </c>
      <c r="C14" s="4">
        <v>1468</v>
      </c>
      <c r="D14" s="4" t="str">
        <f>=VLOOKUP(B14,[1]在校生综合信息查询!$A$949:$C$997,2,0)</f>
        <v>25q770303031</v>
      </c>
      <c r="E14" s="6">
        <v>41</v>
      </c>
      <c r="F14" s="12">
        <v>84</v>
      </c>
      <c r="G14" s="7">
        <v>16.5</v>
      </c>
      <c r="H14" s="6">
        <v>25.5</v>
      </c>
      <c r="I14" s="6">
        <v>29</v>
      </c>
      <c r="J14" s="6">
        <v>24</v>
      </c>
      <c r="K14" s="6">
        <v>32</v>
      </c>
      <c r="L14" s="6">
        <v>40</v>
      </c>
      <c r="M14" s="6">
        <v>32</v>
      </c>
      <c r="N14" s="5" t="s"/>
      <c r="O14" s="5" t="s"/>
    </row>
    <row r="15" spans="1:15" ht="18.75">
      <c r="A15" s="4">
        <v>14</v>
      </c>
      <c r="B15" s="4" t="s">
        <v>1792</v>
      </c>
      <c r="C15" s="4">
        <v>1490</v>
      </c>
      <c r="D15" s="4" t="str">
        <f>=VLOOKUP(B15,[1]在校生综合信息查询!$A$949:$C$997,2,0)</f>
        <v>25q770303059</v>
      </c>
      <c r="E15" s="6" t="s">
        <v>105</v>
      </c>
      <c r="F15" s="12">
        <v>0</v>
      </c>
      <c r="G15" s="7">
        <v>0</v>
      </c>
      <c r="H15" s="6">
        <v>0</v>
      </c>
      <c r="I15" s="5" t="s"/>
      <c r="J15" s="5" t="s"/>
      <c r="K15" s="6">
        <v>0</v>
      </c>
      <c r="L15" s="6">
        <v>0</v>
      </c>
      <c r="M15" s="6">
        <v>0</v>
      </c>
      <c r="N15" s="5" t="s"/>
      <c r="O15" s="5" t="s"/>
    </row>
    <row r="16" spans="1:15" ht="18.75">
      <c r="A16" s="4">
        <v>15</v>
      </c>
      <c r="B16" s="4" t="s">
        <v>1794</v>
      </c>
      <c r="C16" s="4">
        <v>1476</v>
      </c>
      <c r="D16" s="4" t="str">
        <f>=VLOOKUP(B16,[1]在校生综合信息查询!$A$949:$C$997,2,0)</f>
        <v>25q770303039</v>
      </c>
      <c r="E16" s="6">
        <v>56.5</v>
      </c>
      <c r="F16" s="12">
        <v>20</v>
      </c>
      <c r="G16" s="7">
        <v>25</v>
      </c>
      <c r="H16" s="6">
        <v>6</v>
      </c>
      <c r="I16" s="6">
        <v>4</v>
      </c>
      <c r="J16" s="6">
        <v>14</v>
      </c>
      <c r="K16" s="6">
        <v>41</v>
      </c>
      <c r="L16" s="6">
        <v>40</v>
      </c>
      <c r="M16" s="6">
        <v>23</v>
      </c>
      <c r="N16" s="5" t="s"/>
      <c r="O16" s="5" t="s"/>
    </row>
    <row r="17" spans="1:15" ht="18.75">
      <c r="A17" s="4">
        <v>16</v>
      </c>
      <c r="B17" s="4" t="s">
        <v>1796</v>
      </c>
      <c r="C17" s="4">
        <v>1494</v>
      </c>
      <c r="D17" s="4" t="str">
        <f>=VLOOKUP(B17,[1]在校生综合信息查询!$A$949:$C$997,2,0)</f>
        <v>25q770303024</v>
      </c>
      <c r="E17" s="6">
        <v>6</v>
      </c>
      <c r="F17" s="12">
        <v>10</v>
      </c>
      <c r="G17" s="7">
        <v>34</v>
      </c>
      <c r="H17" s="6">
        <v>13.5</v>
      </c>
      <c r="I17" s="5" t="s"/>
      <c r="J17" s="6">
        <v>8</v>
      </c>
      <c r="K17" s="6">
        <v>23</v>
      </c>
      <c r="L17" s="6">
        <v>24</v>
      </c>
      <c r="M17" s="5" t="s"/>
      <c r="N17" s="5" t="s"/>
      <c r="O17" s="5" t="s"/>
    </row>
    <row r="18" spans="1:15" ht="18.75">
      <c r="A18" s="4">
        <v>17</v>
      </c>
      <c r="B18" s="4" t="s">
        <v>1797</v>
      </c>
      <c r="C18" s="4">
        <v>1498</v>
      </c>
      <c r="D18" s="4" t="str">
        <f>=VLOOKUP(B18,[1]在校生综合信息查询!$A$949:$C$997,2,0)</f>
        <v>24q770303013</v>
      </c>
      <c r="E18" s="6">
        <v>6</v>
      </c>
      <c r="F18" s="12">
        <v>0</v>
      </c>
      <c r="G18" s="7">
        <v>32</v>
      </c>
      <c r="H18" s="6">
        <v>6</v>
      </c>
      <c r="I18" s="6">
        <v>9</v>
      </c>
      <c r="J18" s="6">
        <v>6</v>
      </c>
      <c r="K18" s="6">
        <v>8</v>
      </c>
      <c r="L18" s="6">
        <v>6</v>
      </c>
      <c r="M18" s="6">
        <v>8</v>
      </c>
      <c r="N18" s="5" t="s"/>
      <c r="O18" s="5" t="s"/>
    </row>
    <row r="19" spans="1:15" ht="18.75">
      <c r="A19" s="4">
        <v>18</v>
      </c>
      <c r="B19" s="4" t="s">
        <v>1799</v>
      </c>
      <c r="C19" s="4">
        <v>1487</v>
      </c>
      <c r="D19" s="4" t="str">
        <f>=VLOOKUP(B19,[1]在校生综合信息查询!$A$949:$C$997,2,0)</f>
        <v>25q770303053</v>
      </c>
      <c r="E19" s="6">
        <v>49.5</v>
      </c>
      <c r="F19" s="12">
        <v>25</v>
      </c>
      <c r="G19" s="7">
        <v>18.5</v>
      </c>
      <c r="H19" s="6">
        <v>14.5</v>
      </c>
      <c r="I19" s="6">
        <v>14</v>
      </c>
      <c r="J19" s="6">
        <v>23</v>
      </c>
      <c r="K19" s="6">
        <v>35</v>
      </c>
      <c r="L19" s="6">
        <v>42</v>
      </c>
      <c r="M19" s="6">
        <v>33</v>
      </c>
      <c r="N19" s="5" t="s"/>
      <c r="O19" s="5" t="s"/>
    </row>
    <row r="20" spans="1:15" ht="18.75">
      <c r="A20" s="4">
        <v>19</v>
      </c>
      <c r="B20" s="4" t="s">
        <v>1801</v>
      </c>
      <c r="C20" s="4">
        <v>1493</v>
      </c>
      <c r="D20" s="4" t="e">
        <f>=VLOOKUP(B20,[1]在校生综合信息查询!$A$949:$C$997,2,0)</f>
        <v>#N/A</v>
      </c>
      <c r="E20" s="6">
        <v>52</v>
      </c>
      <c r="F20" s="12">
        <v>5</v>
      </c>
      <c r="G20" s="7">
        <v>25</v>
      </c>
      <c r="H20" s="6">
        <v>20.5</v>
      </c>
      <c r="I20" s="6">
        <v>12</v>
      </c>
      <c r="J20" s="6">
        <v>22</v>
      </c>
      <c r="K20" s="6">
        <v>35</v>
      </c>
      <c r="L20" s="6">
        <v>39</v>
      </c>
      <c r="M20" s="6">
        <v>30</v>
      </c>
      <c r="N20" s="5" t="s"/>
      <c r="O20" s="5" t="s"/>
    </row>
    <row r="21" spans="1:15" ht="18.75">
      <c r="A21" s="4">
        <v>20</v>
      </c>
      <c r="B21" s="4" t="s">
        <v>1802</v>
      </c>
      <c r="C21" s="4">
        <v>1482</v>
      </c>
      <c r="D21" s="4" t="str">
        <f>=VLOOKUP(B21,[1]在校生综合信息查询!$A$949:$C$997,2,0)</f>
        <v>25q770303047</v>
      </c>
      <c r="E21" s="6">
        <v>54</v>
      </c>
      <c r="F21" s="12">
        <v>15</v>
      </c>
      <c r="G21" s="7">
        <v>27</v>
      </c>
      <c r="H21" s="6">
        <v>11.5</v>
      </c>
      <c r="I21" s="6">
        <v>15</v>
      </c>
      <c r="J21" s="6">
        <v>12</v>
      </c>
      <c r="K21" s="6">
        <v>35</v>
      </c>
      <c r="L21" s="6">
        <v>31</v>
      </c>
      <c r="M21" s="6">
        <v>31</v>
      </c>
      <c r="N21" s="5" t="s"/>
      <c r="O21" s="5" t="s"/>
    </row>
    <row r="22" spans="1:15" ht="18.75">
      <c r="A22" s="4">
        <v>21</v>
      </c>
      <c r="B22" s="4" t="s">
        <v>1804</v>
      </c>
      <c r="C22" s="4">
        <v>1491</v>
      </c>
      <c r="D22" s="4" t="str">
        <f>=VLOOKUP(B22,[1]在校生综合信息查询!$A$949:$C$997,2,0)</f>
        <v>25q770303060</v>
      </c>
      <c r="E22" s="6" t="s">
        <v>105</v>
      </c>
      <c r="F22" s="12">
        <v>0</v>
      </c>
      <c r="G22" s="7">
        <v>0</v>
      </c>
      <c r="H22" s="6">
        <v>0</v>
      </c>
      <c r="I22" s="5" t="s"/>
      <c r="J22" s="5" t="s"/>
      <c r="K22" s="6">
        <v>0</v>
      </c>
      <c r="L22" s="6">
        <v>0</v>
      </c>
      <c r="M22" s="6">
        <v>0</v>
      </c>
      <c r="N22" s="5" t="s"/>
      <c r="O22" s="5" t="s"/>
    </row>
    <row r="23" spans="1:15" ht="18.75">
      <c r="A23" s="4">
        <v>22</v>
      </c>
      <c r="B23" s="4" t="s">
        <v>1806</v>
      </c>
      <c r="C23" s="4">
        <v>1462</v>
      </c>
      <c r="D23" s="4" t="str">
        <f>=VLOOKUP(B23,[1]在校生综合信息查询!$A$949:$C$997,2,0)</f>
        <v>25q770303023</v>
      </c>
      <c r="E23" s="6">
        <v>59</v>
      </c>
      <c r="F23" s="12">
        <v>20</v>
      </c>
      <c r="G23" s="7">
        <v>32.5</v>
      </c>
      <c r="H23" s="6">
        <v>12</v>
      </c>
      <c r="I23" s="6">
        <v>15</v>
      </c>
      <c r="J23" s="6">
        <v>22</v>
      </c>
      <c r="K23" s="6">
        <v>26</v>
      </c>
      <c r="L23" s="6">
        <v>31</v>
      </c>
      <c r="M23" s="6">
        <v>8</v>
      </c>
      <c r="N23" s="5" t="s"/>
      <c r="O23" s="5" t="s"/>
    </row>
    <row r="24" spans="1:15" ht="18.75">
      <c r="A24" s="4">
        <v>23</v>
      </c>
      <c r="B24" s="4" t="s">
        <v>1808</v>
      </c>
      <c r="C24" s="4">
        <v>1489</v>
      </c>
      <c r="D24" s="4" t="str">
        <f>=VLOOKUP(B24,[1]在校生综合信息查询!$A$949:$C$997,2,0)</f>
        <v>25q770303057</v>
      </c>
      <c r="E24" s="6">
        <v>45</v>
      </c>
      <c r="F24" s="12">
        <v>10</v>
      </c>
      <c r="G24" s="7">
        <v>34.5</v>
      </c>
      <c r="H24" s="6">
        <v>6</v>
      </c>
      <c r="I24" s="6">
        <v>12</v>
      </c>
      <c r="J24" s="6">
        <v>12</v>
      </c>
      <c r="K24" s="6">
        <v>44</v>
      </c>
      <c r="L24" s="6">
        <v>29</v>
      </c>
      <c r="M24" s="6">
        <v>30</v>
      </c>
      <c r="N24" s="5" t="s"/>
      <c r="O24" s="5" t="s"/>
    </row>
    <row r="25" spans="1:15" ht="18.75">
      <c r="A25" s="4">
        <v>24</v>
      </c>
      <c r="B25" s="4" t="s">
        <v>1810</v>
      </c>
      <c r="C25" s="4">
        <v>1464</v>
      </c>
      <c r="D25" s="4" t="str">
        <f>=VLOOKUP(B25,[1]在校生综合信息查询!$A$949:$C$997,2,0)</f>
        <v>25q770303027</v>
      </c>
      <c r="E25" s="6">
        <v>39.5</v>
      </c>
      <c r="F25" s="12">
        <v>10</v>
      </c>
      <c r="G25" s="7">
        <v>50.5</v>
      </c>
      <c r="H25" s="6">
        <v>21</v>
      </c>
      <c r="I25" s="6">
        <v>12</v>
      </c>
      <c r="J25" s="6">
        <v>10</v>
      </c>
      <c r="K25" s="6">
        <v>36</v>
      </c>
      <c r="L25" s="6">
        <v>41</v>
      </c>
      <c r="M25" s="6">
        <v>24</v>
      </c>
      <c r="N25" s="5" t="s"/>
      <c r="O25" s="5" t="s"/>
    </row>
    <row r="26" spans="1:15" ht="18.75">
      <c r="A26" s="4">
        <v>25</v>
      </c>
      <c r="B26" s="4" t="s">
        <v>1812</v>
      </c>
      <c r="C26" s="4">
        <v>1455</v>
      </c>
      <c r="D26" s="4" t="str">
        <f>=VLOOKUP(B26,[1]在校生综合信息查询!$A$949:$C$997,2,0)</f>
        <v>25q770303010</v>
      </c>
      <c r="E26" s="6">
        <v>8</v>
      </c>
      <c r="F26" s="12">
        <v>15</v>
      </c>
      <c r="G26" s="7">
        <v>27</v>
      </c>
      <c r="H26" s="6">
        <v>10.5</v>
      </c>
      <c r="I26" s="6">
        <v>21</v>
      </c>
      <c r="J26" s="6">
        <v>10</v>
      </c>
      <c r="K26" s="6">
        <v>11</v>
      </c>
      <c r="L26" s="6">
        <v>9</v>
      </c>
      <c r="M26" s="6">
        <v>18</v>
      </c>
      <c r="N26" s="5" t="s"/>
      <c r="O26" s="5" t="s"/>
    </row>
    <row r="27" spans="1:15" ht="18.75">
      <c r="A27" s="4">
        <v>26</v>
      </c>
      <c r="B27" s="4" t="s">
        <v>1814</v>
      </c>
      <c r="C27" s="4">
        <v>1477</v>
      </c>
      <c r="D27" s="4" t="str">
        <f>=VLOOKUP(B27,[1]在校生综合信息查询!$A$949:$C$997,2,0)</f>
        <v>25q770303040</v>
      </c>
      <c r="E27" s="6">
        <v>37</v>
      </c>
      <c r="F27" s="12">
        <v>5</v>
      </c>
      <c r="G27" s="7">
        <v>25</v>
      </c>
      <c r="H27" s="6">
        <v>21</v>
      </c>
      <c r="I27" s="6">
        <v>13</v>
      </c>
      <c r="J27" s="6">
        <v>17</v>
      </c>
      <c r="K27" s="6">
        <v>23</v>
      </c>
      <c r="L27" s="6">
        <v>6</v>
      </c>
      <c r="M27" s="6">
        <v>16</v>
      </c>
      <c r="N27" s="5" t="s"/>
      <c r="O27" s="5" t="s"/>
    </row>
    <row r="28" spans="1:15" ht="18.75">
      <c r="A28" s="4">
        <v>27</v>
      </c>
      <c r="B28" s="4" t="s">
        <v>1816</v>
      </c>
      <c r="C28" s="4">
        <v>1454</v>
      </c>
      <c r="D28" s="4" t="str">
        <f>=VLOOKUP(B28,[1]在校生综合信息查询!$A$949:$C$997,2,0)</f>
        <v>25q770303009</v>
      </c>
      <c r="E28" s="6">
        <v>6</v>
      </c>
      <c r="F28" s="12">
        <v>15</v>
      </c>
      <c r="G28" s="7">
        <v>28</v>
      </c>
      <c r="H28" s="71">
        <v>7</v>
      </c>
      <c r="I28" s="6">
        <v>15</v>
      </c>
      <c r="J28" s="6">
        <v>13</v>
      </c>
      <c r="K28" s="6">
        <v>12</v>
      </c>
      <c r="L28" s="6">
        <v>3</v>
      </c>
      <c r="M28" s="6">
        <v>25</v>
      </c>
      <c r="N28" s="5" t="s"/>
      <c r="O28" s="5" t="s"/>
    </row>
    <row r="29" spans="1:15" ht="18.75">
      <c r="A29" s="4">
        <v>28</v>
      </c>
      <c r="B29" s="4" t="s">
        <v>1818</v>
      </c>
      <c r="C29" s="4">
        <v>1486</v>
      </c>
      <c r="D29" s="4" t="str">
        <f>=VLOOKUP(B29,[1]在校生综合信息查询!$A$949:$C$997,2,0)</f>
        <v>25q770303052</v>
      </c>
      <c r="E29" s="6">
        <v>72</v>
      </c>
      <c r="F29" s="12">
        <v>15</v>
      </c>
      <c r="G29" s="7">
        <v>27.5</v>
      </c>
      <c r="H29" s="6">
        <v>19</v>
      </c>
      <c r="I29" s="6">
        <v>15</v>
      </c>
      <c r="J29" s="6">
        <v>39</v>
      </c>
      <c r="K29" s="6">
        <v>30</v>
      </c>
      <c r="L29" s="6">
        <v>43</v>
      </c>
      <c r="M29" s="6">
        <v>54</v>
      </c>
      <c r="N29" s="5" t="s"/>
      <c r="O29" s="5" t="s"/>
    </row>
    <row r="30" spans="1:15" ht="18.75">
      <c r="A30" s="4">
        <v>29</v>
      </c>
      <c r="B30" s="4" t="s">
        <v>1820</v>
      </c>
      <c r="C30" s="4">
        <v>1480</v>
      </c>
      <c r="D30" s="4" t="str">
        <f>=VLOOKUP(B30,[1]在校生综合信息查询!$A$949:$C$997,2,0)</f>
        <v>25q770303045</v>
      </c>
      <c r="E30" s="6">
        <v>24</v>
      </c>
      <c r="F30" s="12">
        <v>10</v>
      </c>
      <c r="G30" s="7">
        <v>13.5</v>
      </c>
      <c r="H30" s="6">
        <v>3</v>
      </c>
      <c r="I30" s="6">
        <v>10</v>
      </c>
      <c r="J30" s="6">
        <v>13</v>
      </c>
      <c r="K30" s="6">
        <v>39</v>
      </c>
      <c r="L30" s="6">
        <v>36</v>
      </c>
      <c r="M30" s="6">
        <v>25</v>
      </c>
      <c r="N30" s="5" t="s"/>
      <c r="O30" s="5" t="s"/>
    </row>
    <row r="31" spans="1:15" ht="18.75">
      <c r="A31" s="4">
        <v>30</v>
      </c>
      <c r="B31" s="4" t="s">
        <v>1822</v>
      </c>
      <c r="C31" s="4">
        <v>1484</v>
      </c>
      <c r="D31" s="4" t="str">
        <f>=VLOOKUP(B31,[1]在校生综合信息查询!$A$949:$C$997,2,0)</f>
        <v>25q770303050</v>
      </c>
      <c r="E31" s="6">
        <v>14</v>
      </c>
      <c r="F31" s="12">
        <v>15</v>
      </c>
      <c r="G31" s="7">
        <v>17.5</v>
      </c>
      <c r="H31" s="6">
        <v>10</v>
      </c>
      <c r="I31" s="6">
        <v>15</v>
      </c>
      <c r="J31" s="6">
        <v>27</v>
      </c>
      <c r="K31" s="6">
        <v>29</v>
      </c>
      <c r="L31" s="6">
        <v>21</v>
      </c>
      <c r="M31" s="6">
        <v>45</v>
      </c>
      <c r="N31" s="5" t="s"/>
      <c r="O31" s="5" t="s"/>
    </row>
    <row r="32" spans="1:15" ht="18.75">
      <c r="A32" s="4">
        <v>31</v>
      </c>
      <c r="B32" s="4" t="s">
        <v>1824</v>
      </c>
      <c r="C32" s="4">
        <v>1483</v>
      </c>
      <c r="D32" s="4" t="str">
        <f>=VLOOKUP(B32,[1]在校生综合信息查询!$A$949:$C$997,2,0)</f>
        <v>25q770303049</v>
      </c>
      <c r="E32" s="6">
        <v>8</v>
      </c>
      <c r="F32" s="12">
        <v>10</v>
      </c>
      <c r="G32" s="7">
        <v>13</v>
      </c>
      <c r="H32" s="6">
        <v>12</v>
      </c>
      <c r="I32" s="6">
        <v>12</v>
      </c>
      <c r="J32" s="6">
        <v>10</v>
      </c>
      <c r="K32" s="6">
        <v>27</v>
      </c>
      <c r="L32" s="6">
        <v>9</v>
      </c>
      <c r="M32" s="6">
        <v>8</v>
      </c>
      <c r="N32" s="5" t="s"/>
      <c r="O32" s="5" t="s"/>
    </row>
    <row r="33" spans="1:15" ht="22.5" customHeight="1">
      <c r="A33" s="4">
        <v>32</v>
      </c>
      <c r="B33" s="4" t="s">
        <v>1826</v>
      </c>
      <c r="C33" s="4">
        <v>1472</v>
      </c>
      <c r="D33" s="4" t="str">
        <f>=VLOOKUP(B33,[1]在校生综合信息查询!$A$949:$C$997,2,0)</f>
        <v>25q770303035</v>
      </c>
      <c r="E33" s="6">
        <v>73</v>
      </c>
      <c r="F33" s="12">
        <v>10</v>
      </c>
      <c r="G33" s="7">
        <v>22</v>
      </c>
      <c r="H33" s="6">
        <v>19</v>
      </c>
      <c r="I33" s="6">
        <v>10</v>
      </c>
      <c r="J33" s="6">
        <v>22</v>
      </c>
      <c r="K33" s="6">
        <v>47</v>
      </c>
      <c r="L33" s="6">
        <v>56</v>
      </c>
      <c r="M33" s="6">
        <v>55</v>
      </c>
      <c r="N33" s="5" t="s"/>
      <c r="O33" s="5" t="s"/>
    </row>
    <row r="34" spans="1:15" ht="18.75">
      <c r="A34" s="4">
        <v>33</v>
      </c>
      <c r="B34" s="4" t="s">
        <v>1828</v>
      </c>
      <c r="C34" s="4">
        <v>1450</v>
      </c>
      <c r="D34" s="4" t="str">
        <f>=VLOOKUP(B34,[1]在校生综合信息查询!$A$949:$C$997,2,0)</f>
        <v>25q770303001</v>
      </c>
      <c r="E34" s="6">
        <v>9</v>
      </c>
      <c r="F34" s="12">
        <v>5</v>
      </c>
      <c r="G34" s="7">
        <v>20.5</v>
      </c>
      <c r="H34" s="6">
        <v>7.5</v>
      </c>
      <c r="I34" s="6">
        <v>13</v>
      </c>
      <c r="J34" s="6">
        <v>17</v>
      </c>
      <c r="K34" s="6">
        <v>24</v>
      </c>
      <c r="L34" s="6">
        <v>11</v>
      </c>
      <c r="M34" s="6">
        <v>20</v>
      </c>
      <c r="N34" s="5" t="s"/>
      <c r="O34" s="5" t="s"/>
    </row>
    <row r="35" spans="1:15" ht="18.75">
      <c r="A35" s="4">
        <v>34</v>
      </c>
      <c r="B35" s="4" t="s">
        <v>1830</v>
      </c>
      <c r="C35" s="4">
        <v>1488</v>
      </c>
      <c r="D35" s="4" t="str">
        <f>=VLOOKUP(B35,[1]在校生综合信息查询!$A$949:$C$997,2,0)</f>
        <v>25q770303056</v>
      </c>
      <c r="E35" s="6">
        <v>18</v>
      </c>
      <c r="F35" s="12">
        <v>5</v>
      </c>
      <c r="G35" s="7">
        <v>23</v>
      </c>
      <c r="H35" s="6">
        <v>10.5</v>
      </c>
      <c r="I35" s="6">
        <v>6</v>
      </c>
      <c r="J35" s="6">
        <v>11</v>
      </c>
      <c r="K35" s="6">
        <v>12</v>
      </c>
      <c r="L35" s="6">
        <v>12</v>
      </c>
      <c r="M35" s="6">
        <v>8</v>
      </c>
      <c r="N35" s="5" t="s"/>
      <c r="O35" s="5" t="s"/>
    </row>
    <row r="36" spans="1:15" ht="18.75">
      <c r="A36" s="4">
        <v>35</v>
      </c>
      <c r="B36" s="4" t="s">
        <v>1832</v>
      </c>
      <c r="C36" s="4">
        <v>1469</v>
      </c>
      <c r="D36" s="4" t="str">
        <f>=VLOOKUP(B36,[1]在校生综合信息查询!$A$949:$C$997,2,0)</f>
        <v>25q770303029</v>
      </c>
      <c r="E36" s="6">
        <v>55</v>
      </c>
      <c r="F36" s="12">
        <v>15</v>
      </c>
      <c r="G36" s="7">
        <v>27.5</v>
      </c>
      <c r="H36" s="6">
        <v>16</v>
      </c>
      <c r="I36" s="6">
        <v>12</v>
      </c>
      <c r="J36" s="6">
        <v>27</v>
      </c>
      <c r="K36" s="6">
        <v>47</v>
      </c>
      <c r="L36" s="6">
        <v>47</v>
      </c>
      <c r="M36" s="6">
        <v>45</v>
      </c>
      <c r="N36" s="5" t="s"/>
      <c r="O36" s="5" t="s"/>
    </row>
    <row r="37" spans="1:15" ht="18.75">
      <c r="A37" s="4">
        <v>36</v>
      </c>
      <c r="B37" s="4" t="s">
        <v>1834</v>
      </c>
      <c r="C37" s="4">
        <v>1485</v>
      </c>
      <c r="D37" s="4" t="str">
        <f>=VLOOKUP(B37,[1]在校生综合信息查询!$A$949:$C$997,2,0)</f>
        <v>25q770303046</v>
      </c>
      <c r="E37" s="6">
        <v>64</v>
      </c>
      <c r="F37" s="12">
        <v>16</v>
      </c>
      <c r="G37" s="7">
        <v>29.5</v>
      </c>
      <c r="H37" s="6">
        <v>14</v>
      </c>
      <c r="I37" s="6">
        <v>21</v>
      </c>
      <c r="J37" s="6">
        <v>12</v>
      </c>
      <c r="K37" s="6">
        <v>38</v>
      </c>
      <c r="L37" s="6">
        <v>43</v>
      </c>
      <c r="M37" s="6">
        <v>42</v>
      </c>
      <c r="N37" s="5" t="s"/>
      <c r="O37" s="5" t="s"/>
    </row>
    <row r="38" spans="1:15" ht="18.75">
      <c r="A38" s="4">
        <v>37</v>
      </c>
      <c r="B38" s="4" t="s">
        <v>1836</v>
      </c>
      <c r="C38" s="4">
        <v>1461</v>
      </c>
      <c r="D38" s="4" t="str">
        <f>=VLOOKUP(B38,[1]在校生综合信息查询!$A$949:$C$997,2,0)</f>
        <v>25q770303033</v>
      </c>
      <c r="E38" s="6">
        <v>81.5</v>
      </c>
      <c r="F38" s="12">
        <v>10</v>
      </c>
      <c r="G38" s="7">
        <v>19.5</v>
      </c>
      <c r="H38" s="6">
        <v>13</v>
      </c>
      <c r="I38" s="6">
        <v>15</v>
      </c>
      <c r="J38" s="6">
        <v>15</v>
      </c>
      <c r="K38" s="6">
        <v>37</v>
      </c>
      <c r="L38" s="6">
        <v>44</v>
      </c>
      <c r="M38" s="6">
        <v>40</v>
      </c>
      <c r="N38" s="5" t="s"/>
      <c r="O38" s="5" t="s"/>
    </row>
    <row r="39" spans="1:15" ht="18.75">
      <c r="A39" s="4">
        <v>38</v>
      </c>
      <c r="B39" s="4" t="s">
        <v>1838</v>
      </c>
      <c r="C39" s="4">
        <v>1452</v>
      </c>
      <c r="D39" s="4" t="str">
        <f>=VLOOKUP(B39,[1]在校生综合信息查询!$A$949:$C$997,2,0)</f>
        <v>25q770303013</v>
      </c>
      <c r="E39" s="6">
        <v>13</v>
      </c>
      <c r="F39" s="12">
        <v>5</v>
      </c>
      <c r="G39" s="7">
        <v>11.5</v>
      </c>
      <c r="H39" s="6">
        <v>20.5</v>
      </c>
      <c r="I39" s="6">
        <v>27</v>
      </c>
      <c r="J39" s="6">
        <v>22</v>
      </c>
      <c r="K39" s="6">
        <v>26</v>
      </c>
      <c r="L39" s="6">
        <v>28</v>
      </c>
      <c r="M39" s="6">
        <v>16</v>
      </c>
      <c r="N39" s="5" t="s"/>
      <c r="O39" s="5" t="s"/>
    </row>
    <row r="40" spans="1:15" ht="18.75">
      <c r="A40" s="4">
        <v>39</v>
      </c>
      <c r="B40" s="4" t="s">
        <v>1840</v>
      </c>
      <c r="C40" s="4">
        <v>1460</v>
      </c>
      <c r="D40" s="4" t="str">
        <f>=VLOOKUP(B40,[1]在校生综合信息查询!$A$949:$C$997,2,0)</f>
        <v>25q770303034</v>
      </c>
      <c r="E40" s="6">
        <v>44</v>
      </c>
      <c r="F40" s="12">
        <v>5</v>
      </c>
      <c r="G40" s="7">
        <v>27.5</v>
      </c>
      <c r="H40" s="6">
        <v>3</v>
      </c>
      <c r="I40" s="6">
        <v>9</v>
      </c>
      <c r="J40" s="6">
        <v>31</v>
      </c>
      <c r="K40" s="6">
        <v>35</v>
      </c>
      <c r="L40" s="6">
        <v>24</v>
      </c>
      <c r="M40" s="6">
        <v>20</v>
      </c>
      <c r="N40" s="5" t="s"/>
      <c r="O40" s="5" t="s"/>
    </row>
    <row r="41" spans="1:15" ht="18.75">
      <c r="A41" s="4">
        <v>40</v>
      </c>
      <c r="B41" s="4" t="s">
        <v>1842</v>
      </c>
      <c r="C41" s="4">
        <v>1496</v>
      </c>
      <c r="D41" s="4" t="str">
        <f>=VLOOKUP(B41,[1]在校生综合信息查询!$A$949:$C$997,2,0)</f>
        <v>25q770303014</v>
      </c>
      <c r="E41" s="6">
        <v>39</v>
      </c>
      <c r="F41" s="12">
        <v>10</v>
      </c>
      <c r="G41" s="7">
        <v>20.5</v>
      </c>
      <c r="H41" s="6">
        <v>21.5</v>
      </c>
      <c r="I41" s="6">
        <v>15</v>
      </c>
      <c r="J41" s="6">
        <v>20</v>
      </c>
      <c r="K41" s="6">
        <v>50</v>
      </c>
      <c r="L41" s="6">
        <v>46</v>
      </c>
      <c r="M41" s="6">
        <v>23</v>
      </c>
      <c r="N41" s="5" t="s"/>
      <c r="O41" s="5" t="s"/>
    </row>
    <row r="42" spans="1:15" ht="18.75">
      <c r="A42" s="4">
        <v>41</v>
      </c>
      <c r="B42" s="4" t="s">
        <v>1844</v>
      </c>
      <c r="C42" s="4" t="s"/>
      <c r="D42" s="4" t="str">
        <f>=VLOOKUP(B42,[1]在校生综合信息查询!$A$949:$C$997,2,0)</f>
        <v>25q770303044</v>
      </c>
      <c r="E42" s="6">
        <v>69</v>
      </c>
      <c r="F42" s="12">
        <v>5</v>
      </c>
      <c r="G42" s="7">
        <v>19.5</v>
      </c>
      <c r="H42" s="6">
        <v>12</v>
      </c>
      <c r="I42" s="6">
        <v>9</v>
      </c>
      <c r="J42" s="6">
        <v>10</v>
      </c>
      <c r="K42" s="6">
        <v>36</v>
      </c>
      <c r="L42" s="6">
        <v>50</v>
      </c>
      <c r="M42" s="6">
        <v>33</v>
      </c>
      <c r="N42" s="5" t="s"/>
      <c r="O42" s="5" t="s"/>
    </row>
    <row r="43" spans="1:15" ht="18.75">
      <c r="A43" s="4">
        <v>42</v>
      </c>
      <c r="B43" s="4" t="s">
        <v>1846</v>
      </c>
      <c r="C43" s="4" t="s"/>
      <c r="D43" s="4" t="str">
        <f>=VLOOKUP(B43,[1]在校生综合信息查询!$A$949:$C$997,2,0)</f>
        <v>25q770303030</v>
      </c>
      <c r="E43" s="6">
        <v>25</v>
      </c>
      <c r="F43" s="12">
        <v>10</v>
      </c>
      <c r="G43" s="7">
        <v>17.5</v>
      </c>
      <c r="H43" s="6">
        <v>11.5</v>
      </c>
      <c r="I43" s="6">
        <v>22</v>
      </c>
      <c r="J43" s="6">
        <v>15</v>
      </c>
      <c r="K43" s="6">
        <v>14</v>
      </c>
      <c r="L43" s="6">
        <v>31</v>
      </c>
      <c r="M43" s="6">
        <v>22</v>
      </c>
      <c r="N43" s="5" t="s"/>
      <c r="O43" s="5" t="s"/>
    </row>
    <row r="44" spans="1:15" ht="18.75">
      <c r="A44" s="4">
        <v>43</v>
      </c>
      <c r="B44" s="4" t="s">
        <v>1848</v>
      </c>
      <c r="C44" s="4" t="s"/>
      <c r="D44" s="4" t="str">
        <f>=VLOOKUP(B44,[1]在校生综合信息查询!$A$949:$C$997,2,0)</f>
        <v>25q770303003</v>
      </c>
      <c r="E44" s="6">
        <v>75</v>
      </c>
      <c r="F44" s="12">
        <v>65</v>
      </c>
      <c r="G44" s="7">
        <v>27.5</v>
      </c>
      <c r="H44" s="6">
        <v>32.5</v>
      </c>
      <c r="I44" s="6">
        <v>12</v>
      </c>
      <c r="J44" s="6">
        <v>35</v>
      </c>
      <c r="K44" s="6">
        <v>41</v>
      </c>
      <c r="L44" s="6">
        <v>51</v>
      </c>
      <c r="M44" s="6">
        <v>48</v>
      </c>
      <c r="N44" s="5" t="s"/>
      <c r="O44" s="5" t="s"/>
    </row>
    <row r="45" spans="1:15" ht="18.75">
      <c r="A45" s="4">
        <v>44</v>
      </c>
      <c r="B45" s="4" t="s">
        <v>1850</v>
      </c>
      <c r="C45" s="4" t="s"/>
      <c r="D45" s="4" t="str">
        <f>=VLOOKUP(B45,[1]在校生综合信息查询!$A$949:$C$997,2,0)</f>
        <v>25q770303032</v>
      </c>
      <c r="E45" s="6">
        <v>67</v>
      </c>
      <c r="F45" s="12">
        <v>62</v>
      </c>
      <c r="G45" s="7">
        <v>28</v>
      </c>
      <c r="H45" s="6">
        <v>13.5</v>
      </c>
      <c r="I45" s="6">
        <v>12</v>
      </c>
      <c r="J45" s="6">
        <v>14</v>
      </c>
      <c r="K45" s="6">
        <v>42</v>
      </c>
      <c r="L45" s="6">
        <v>44</v>
      </c>
      <c r="M45" s="6">
        <v>39</v>
      </c>
      <c r="N45" s="5" t="s"/>
      <c r="O45" s="5" t="s"/>
    </row>
    <row r="46" spans="1:15" ht="18.75">
      <c r="A46" s="4">
        <v>45</v>
      </c>
      <c r="B46" s="4" t="s">
        <v>1852</v>
      </c>
      <c r="C46" s="4" t="s"/>
      <c r="D46" s="4" t="str">
        <f>=VLOOKUP(B46,[1]在校生综合信息查询!$A$949:$C$997,2,0)</f>
        <v>25q770303051</v>
      </c>
      <c r="E46" s="6" t="s">
        <v>105</v>
      </c>
      <c r="F46" s="12">
        <v>0</v>
      </c>
      <c r="G46" s="7">
        <v>0</v>
      </c>
      <c r="H46" s="6">
        <v>0</v>
      </c>
      <c r="I46" s="5" t="s"/>
      <c r="J46" s="5" t="s"/>
      <c r="K46" s="6">
        <v>0</v>
      </c>
      <c r="L46" s="6">
        <v>0</v>
      </c>
      <c r="M46" s="6">
        <v>0</v>
      </c>
      <c r="N46" s="5" t="s"/>
      <c r="O46" s="5" t="s"/>
    </row>
    <row r="47" spans="1:15" ht="18.75">
      <c r="A47" s="4">
        <v>46</v>
      </c>
      <c r="B47" s="4" t="s">
        <v>1854</v>
      </c>
      <c r="C47" s="4" t="s"/>
      <c r="D47" s="4" t="str">
        <f>=VLOOKUP(B47,[1]在校生综合信息查询!$A$949:$C$997,2,0)</f>
        <v>25q770303020</v>
      </c>
      <c r="E47" s="6">
        <v>33</v>
      </c>
      <c r="F47" s="12">
        <v>15</v>
      </c>
      <c r="G47" s="7">
        <v>24.5</v>
      </c>
      <c r="H47" s="6">
        <v>6</v>
      </c>
      <c r="I47" s="6">
        <v>13</v>
      </c>
      <c r="J47" s="6">
        <v>20</v>
      </c>
      <c r="K47" s="6">
        <v>10</v>
      </c>
      <c r="L47" s="6">
        <v>14</v>
      </c>
      <c r="M47" s="6">
        <v>17</v>
      </c>
      <c r="N47" s="5" t="s"/>
      <c r="O47" s="5" t="s"/>
    </row>
    <row r="48" spans="1:15" ht="18.75">
      <c r="A48" s="4">
        <v>47</v>
      </c>
      <c r="B48" s="4" t="s">
        <v>1856</v>
      </c>
      <c r="C48" s="4" t="s"/>
      <c r="D48" s="4" t="str">
        <f>=VLOOKUP(B48,[1]在校生综合信息查询!$A$949:$C$997,2,0)</f>
        <v>25q770303004</v>
      </c>
      <c r="E48" s="6">
        <v>30</v>
      </c>
      <c r="F48" s="12">
        <v>15</v>
      </c>
      <c r="G48" s="7">
        <v>23</v>
      </c>
      <c r="H48" s="6">
        <v>12</v>
      </c>
      <c r="I48" s="6">
        <v>6</v>
      </c>
      <c r="J48" s="6">
        <v>6</v>
      </c>
      <c r="K48" s="6">
        <v>21</v>
      </c>
      <c r="L48" s="6">
        <v>34</v>
      </c>
      <c r="M48" s="6">
        <v>26</v>
      </c>
      <c r="N48" s="5" t="s"/>
      <c r="O48" s="5" t="s"/>
    </row>
    <row r="49" spans="1:15" ht="18.75">
      <c r="A49" s="4">
        <v>48</v>
      </c>
      <c r="B49" s="4" t="s">
        <v>252</v>
      </c>
      <c r="C49" s="4" t="s"/>
      <c r="D49" s="4" t="str">
        <f>=VLOOKUP(B49,[1]在校生综合信息查询!$A$949:$C$997,2,0)</f>
        <v>25q770303016</v>
      </c>
      <c r="E49" s="6">
        <v>67.5</v>
      </c>
      <c r="F49" s="12">
        <v>10</v>
      </c>
      <c r="G49" s="7">
        <v>21</v>
      </c>
      <c r="H49" s="6">
        <v>17</v>
      </c>
      <c r="I49" s="6">
        <v>24</v>
      </c>
      <c r="J49" s="6">
        <v>16</v>
      </c>
      <c r="K49" s="6">
        <v>33</v>
      </c>
      <c r="L49" s="6">
        <v>44</v>
      </c>
      <c r="M49" s="6">
        <v>28</v>
      </c>
      <c r="N49" s="5" t="s"/>
      <c r="O49" s="5" t="s"/>
    </row>
    <row r="50" spans="1:15" ht="18.75">
      <c r="A50" s="4">
        <v>49</v>
      </c>
      <c r="B50" s="4" t="s">
        <v>1859</v>
      </c>
      <c r="C50" s="4" t="s"/>
      <c r="D50" s="4" t="str">
        <f>=VLOOKUP(B50,[1]在校生综合信息查询!$A$949:$C$997,2,0)</f>
        <v>XBB2025066</v>
      </c>
      <c r="E50" s="6">
        <v>65</v>
      </c>
      <c r="F50" s="12">
        <v>10</v>
      </c>
      <c r="G50" s="7">
        <v>30.5</v>
      </c>
      <c r="H50" s="6">
        <v>7.5</v>
      </c>
      <c r="I50" s="6">
        <v>15</v>
      </c>
      <c r="J50" s="6">
        <v>26</v>
      </c>
      <c r="K50" s="6">
        <v>31</v>
      </c>
      <c r="L50" s="6">
        <v>31</v>
      </c>
      <c r="M50" s="6">
        <v>32</v>
      </c>
      <c r="N50" s="5" t="s"/>
      <c r="O50" s="5" t="s"/>
    </row>
    <row r="51" spans="1:15" ht="18.75">
      <c r="A51" s="4" t="s"/>
      <c r="B51" s="4" t="s"/>
      <c r="C51" s="4" t="s"/>
      <c r="D51" s="4" t="s"/>
      <c r="E51" s="5" t="s"/>
      <c r="F51" s="4" t="s"/>
      <c r="G51" s="72" t="s"/>
      <c r="H51" s="5" t="s"/>
      <c r="I51" s="5" t="s"/>
      <c r="J51" s="5" t="s"/>
      <c r="K51" s="6" t="s"/>
      <c r="L51" s="5" t="s"/>
      <c r="M51" s="5" t="s"/>
      <c r="N51" s="5" t="s"/>
      <c r="O51" s="5" t="s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/>
  <dimension ref="R17"/>
  <sheetViews>
    <sheetView showGridLines="1" workbookViewId="0"/>
  </sheetViews>
  <sheetFormatPr defaultColWidth="8.75" defaultRowHeight="14.25"/>
  <cols>
    <col min="1" max="1" width="8.75" style="122"/>
    <col min="2" max="2" width="8.75" style="123" customWidth="1"/>
    <col min="3" max="3" width="0" style="123" hidden="1" customWidth="1"/>
    <col min="4" max="4" width="17.375" style="123" customWidth="1"/>
    <col min="5" max="7" width="8.75" style="123"/>
    <col min="8" max="8" width="15.25" customWidth="1"/>
    <col min="9" max="9" width="20.25" customWidth="1"/>
    <col min="10" max="10" width="21.75" customWidth="1"/>
    <col min="11" max="11" width="22.125" customWidth="1"/>
    <col min="14" max="17" width="13.7109" customWidth="1"/>
  </cols>
  <sheetData>
    <row r="1" spans="1:18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1347</v>
      </c>
      <c r="I1" s="4" t="s">
        <v>1861</v>
      </c>
      <c r="J1" s="4" t="s">
        <v>106</v>
      </c>
      <c r="K1" s="4" t="s">
        <v>108</v>
      </c>
      <c r="L1" s="5" t="s">
        <v>11</v>
      </c>
      <c r="M1" s="46" t="s">
        <v>12</v>
      </c>
      <c r="N1" s="73" t="s">
        <v>1862</v>
      </c>
      <c r="O1" s="74">
        <v>49</v>
      </c>
      <c r="P1" s="74">
        <v>24</v>
      </c>
      <c r="Q1" s="74">
        <v>35.5</v>
      </c>
      <c r="R1" s="75" t="s"/>
    </row>
    <row r="2" spans="1:18" ht="18.75">
      <c r="A2" s="4">
        <v>1</v>
      </c>
      <c r="B2" s="4" t="s">
        <v>1863</v>
      </c>
      <c r="C2" s="4">
        <v>2240</v>
      </c>
      <c r="D2" s="4" t="str">
        <f>=VLOOKUP(B2,[2]在校生综合信息查询!$A$74:$C$87,2,0)</f>
        <v>24q740105001</v>
      </c>
      <c r="E2" s="4">
        <f>=VLOOKUP(B2,$N$1:$Q$13,2,FALSE)</f>
        <v>6</v>
      </c>
      <c r="F2" s="4">
        <f>=VLOOKUP(B2,$N$1:$Q$13,3,FALSE)</f>
        <v>8</v>
      </c>
      <c r="G2" s="4">
        <f>=VLOOKUP(B2,$N$1:$Q$13,4,FALSE)</f>
        <v>22</v>
      </c>
      <c r="H2" s="12">
        <v>32.5</v>
      </c>
      <c r="I2" s="12">
        <v>39</v>
      </c>
      <c r="J2" s="12">
        <v>27.5</v>
      </c>
      <c r="K2" s="12">
        <v>18.5</v>
      </c>
      <c r="L2" s="5">
        <f>=SUM(E2:K2)</f>
        <v>153.5</v>
      </c>
      <c r="M2" s="47">
        <f>=RANK(L2,$L$2:$L$14,0)</f>
        <v>12</v>
      </c>
      <c r="N2" s="76" t="s">
        <v>1865</v>
      </c>
      <c r="O2" s="77">
        <v>16</v>
      </c>
      <c r="P2" s="77">
        <v>28</v>
      </c>
      <c r="Q2" s="77">
        <v>25.5</v>
      </c>
      <c r="R2" s="75" t="s"/>
    </row>
    <row r="3" spans="1:18" ht="18.75">
      <c r="A3" s="4">
        <v>2</v>
      </c>
      <c r="B3" s="4" t="s">
        <v>1862</v>
      </c>
      <c r="C3" s="4">
        <v>2241</v>
      </c>
      <c r="D3" s="4" t="str">
        <f>=VLOOKUP(B3,[2]在校生综合信息查询!$A$74:$C$87,2,0)</f>
        <v>24q740105002</v>
      </c>
      <c r="E3" s="4">
        <f>=VLOOKUP(B3,$N$1:$Q$13,2,FALSE)</f>
        <v>49</v>
      </c>
      <c r="F3" s="4">
        <f>=VLOOKUP(B3,$N$1:$Q$13,3,FALSE)</f>
        <v>24</v>
      </c>
      <c r="G3" s="4">
        <f>=VLOOKUP(B3,$N$1:$Q$13,4,FALSE)</f>
        <v>35.5</v>
      </c>
      <c r="H3" s="12">
        <v>69</v>
      </c>
      <c r="I3" s="12">
        <v>66.5</v>
      </c>
      <c r="J3" s="12">
        <v>52</v>
      </c>
      <c r="K3" s="12">
        <v>53</v>
      </c>
      <c r="L3" s="5">
        <f>=SUM(E3:K3)</f>
        <v>349</v>
      </c>
      <c r="M3" s="47">
        <f>=RANK(L3,$L$2:$L$14,0)</f>
        <v>1</v>
      </c>
      <c r="N3" s="76" t="s">
        <v>1867</v>
      </c>
      <c r="O3" s="77">
        <v>47</v>
      </c>
      <c r="P3" s="77">
        <v>24</v>
      </c>
      <c r="Q3" s="77">
        <v>46.5</v>
      </c>
      <c r="R3" s="75" t="s"/>
    </row>
    <row r="4" spans="1:18" ht="18.75">
      <c r="A4" s="4">
        <v>3</v>
      </c>
      <c r="B4" s="4" t="s">
        <v>1868</v>
      </c>
      <c r="C4" s="4">
        <v>2242</v>
      </c>
      <c r="D4" s="4" t="str">
        <f>=VLOOKUP(B4,[2]在校生综合信息查询!$A$74:$C$87,2,0)</f>
        <v>24q740105003</v>
      </c>
      <c r="E4" s="4">
        <f>=VLOOKUP(B4,$N$1:$Q$13,2,FALSE)</f>
        <v>28</v>
      </c>
      <c r="F4" s="4">
        <f>=VLOOKUP(B4,$N$1:$Q$13,3,FALSE)</f>
        <v>12</v>
      </c>
      <c r="G4" s="4">
        <f>=VLOOKUP(B4,$N$1:$Q$13,4,FALSE)</f>
        <v>16</v>
      </c>
      <c r="H4" s="12">
        <v>23</v>
      </c>
      <c r="I4" s="12">
        <v>47</v>
      </c>
      <c r="J4" s="12">
        <v>39.5</v>
      </c>
      <c r="K4" s="12">
        <v>15.5</v>
      </c>
      <c r="L4" s="5">
        <f>=SUM(E4:K4)</f>
        <v>181</v>
      </c>
      <c r="M4" s="47">
        <f>=RANK(L4,$L$2:$L$14,0)</f>
        <v>9</v>
      </c>
      <c r="N4" s="76" t="s">
        <v>1870</v>
      </c>
      <c r="O4" s="77">
        <v>35</v>
      </c>
      <c r="P4" s="77">
        <v>24</v>
      </c>
      <c r="Q4" s="77">
        <v>17</v>
      </c>
      <c r="R4" s="75" t="s"/>
    </row>
    <row r="5" spans="1:18" ht="18.75">
      <c r="A5" s="4">
        <v>4</v>
      </c>
      <c r="B5" s="4" t="s">
        <v>1871</v>
      </c>
      <c r="C5" s="4">
        <v>2243</v>
      </c>
      <c r="D5" s="4" t="str">
        <f>=VLOOKUP(B5,[2]在校生综合信息查询!$A$74:$C$87,2,0)</f>
        <v>24q740105004</v>
      </c>
      <c r="E5" s="4">
        <f>=VLOOKUP(B5,$N$1:$Q$13,2,FALSE)</f>
        <v>11</v>
      </c>
      <c r="F5" s="4">
        <f>=VLOOKUP(B5,$N$1:$Q$13,3,FALSE)</f>
        <v>16</v>
      </c>
      <c r="G5" s="4">
        <f>=VLOOKUP(B5,$N$1:$Q$13,4,FALSE)</f>
        <v>9.5</v>
      </c>
      <c r="H5" s="12">
        <v>24.5</v>
      </c>
      <c r="I5" s="12">
        <v>25</v>
      </c>
      <c r="J5" s="12">
        <v>28.5</v>
      </c>
      <c r="K5" s="12">
        <v>24.5</v>
      </c>
      <c r="L5" s="5">
        <f>=SUM(E5:K5)</f>
        <v>139</v>
      </c>
      <c r="M5" s="47">
        <f>=RANK(L5,$L$2:$L$14,0)</f>
        <v>13</v>
      </c>
      <c r="N5" s="76" t="s">
        <v>1873</v>
      </c>
      <c r="O5" s="77">
        <v>21</v>
      </c>
      <c r="P5" s="77">
        <v>24</v>
      </c>
      <c r="Q5" s="77">
        <v>19.5</v>
      </c>
      <c r="R5" s="75" t="s"/>
    </row>
    <row r="6" spans="1:18" ht="18.75">
      <c r="A6" s="4">
        <v>5</v>
      </c>
      <c r="B6" s="4" t="s">
        <v>1870</v>
      </c>
      <c r="C6" s="4">
        <v>2244</v>
      </c>
      <c r="D6" s="4" t="str">
        <f>=VLOOKUP(B6,[2]在校生综合信息查询!$A$74:$C$87,2,0)</f>
        <v>24q740105008</v>
      </c>
      <c r="E6" s="4">
        <f>=VLOOKUP(B6,$N$1:$Q$13,2,FALSE)</f>
        <v>35</v>
      </c>
      <c r="F6" s="4">
        <f>=VLOOKUP(B6,$N$1:$Q$13,3,FALSE)</f>
        <v>24</v>
      </c>
      <c r="G6" s="4">
        <f>=VLOOKUP(B6,$N$1:$Q$13,4,FALSE)</f>
        <v>17</v>
      </c>
      <c r="H6" s="12">
        <v>21</v>
      </c>
      <c r="I6" s="12">
        <v>37</v>
      </c>
      <c r="J6" s="12">
        <v>37.5</v>
      </c>
      <c r="K6" s="12">
        <v>22</v>
      </c>
      <c r="L6" s="5">
        <f>=SUM(E6:K6)</f>
        <v>193.5</v>
      </c>
      <c r="M6" s="47">
        <f>=RANK(L6,$L$2:$L$14,0)</f>
        <v>8</v>
      </c>
      <c r="N6" s="76" t="s">
        <v>1875</v>
      </c>
      <c r="O6" s="77">
        <v>18</v>
      </c>
      <c r="P6" s="77">
        <v>24</v>
      </c>
      <c r="Q6" s="77">
        <v>32</v>
      </c>
      <c r="R6" s="75" t="s"/>
    </row>
    <row r="7" spans="1:18" ht="18.75">
      <c r="A7" s="4">
        <v>6</v>
      </c>
      <c r="B7" s="4" t="s">
        <v>1873</v>
      </c>
      <c r="C7" s="4">
        <v>2245</v>
      </c>
      <c r="D7" s="4" t="str">
        <f>=VLOOKUP(B7,[2]在校生综合信息查询!$A$74:$C$87,2,0)</f>
        <v>24q740105010</v>
      </c>
      <c r="E7" s="4">
        <f>=VLOOKUP(B7,$N$1:$Q$13,2,FALSE)</f>
        <v>21</v>
      </c>
      <c r="F7" s="4">
        <f>=VLOOKUP(B7,$N$1:$Q$13,3,FALSE)</f>
        <v>24</v>
      </c>
      <c r="G7" s="4">
        <f>=VLOOKUP(B7,$N$1:$Q$13,4,FALSE)</f>
        <v>19.5</v>
      </c>
      <c r="H7" s="12">
        <v>35</v>
      </c>
      <c r="I7" s="12">
        <v>45</v>
      </c>
      <c r="J7" s="12">
        <v>34</v>
      </c>
      <c r="K7" s="12">
        <v>31</v>
      </c>
      <c r="L7" s="5">
        <f>=SUM(E7:K7)</f>
        <v>209.5</v>
      </c>
      <c r="M7" s="47">
        <f>=RANK(L7,$L$2:$L$14,0)</f>
        <v>4</v>
      </c>
      <c r="N7" s="76" t="s">
        <v>1877</v>
      </c>
      <c r="O7" s="77">
        <v>31</v>
      </c>
      <c r="P7" s="77">
        <v>16</v>
      </c>
      <c r="Q7" s="77">
        <v>24</v>
      </c>
      <c r="R7" s="75" t="s"/>
    </row>
    <row r="8" spans="1:18" ht="18.75">
      <c r="A8" s="4">
        <v>7</v>
      </c>
      <c r="B8" s="4" t="s">
        <v>1878</v>
      </c>
      <c r="C8" s="4">
        <v>2246</v>
      </c>
      <c r="D8" s="4" t="str">
        <f>=VLOOKUP(B8,[2]在校生综合信息查询!$A$74:$C$87,2,0)</f>
        <v>24q740105011</v>
      </c>
      <c r="E8" s="4">
        <f>=VLOOKUP(B8,$N$1:$Q$13,2,FALSE)</f>
        <v>22</v>
      </c>
      <c r="F8" s="4">
        <f>=VLOOKUP(B8,$N$1:$Q$13,3,FALSE)</f>
        <v>16</v>
      </c>
      <c r="G8" s="4">
        <f>=VLOOKUP(B8,$N$1:$Q$13,4,FALSE)</f>
        <v>10.5</v>
      </c>
      <c r="H8" s="12">
        <v>53</v>
      </c>
      <c r="I8" s="12">
        <v>30</v>
      </c>
      <c r="J8" s="12">
        <v>39.5</v>
      </c>
      <c r="K8" s="12">
        <v>29.5</v>
      </c>
      <c r="L8" s="5">
        <f>=SUM(E8:K8)</f>
        <v>200.5</v>
      </c>
      <c r="M8" s="47">
        <f>=RANK(L8,$L$2:$L$14,0)</f>
        <v>5</v>
      </c>
      <c r="N8" s="76" t="s">
        <v>1868</v>
      </c>
      <c r="O8" s="77">
        <v>28</v>
      </c>
      <c r="P8" s="77">
        <v>12</v>
      </c>
      <c r="Q8" s="77">
        <v>16</v>
      </c>
      <c r="R8" s="75" t="s"/>
    </row>
    <row r="9" spans="1:18" ht="18.75">
      <c r="A9" s="4">
        <v>8</v>
      </c>
      <c r="B9" s="4" t="s">
        <v>1865</v>
      </c>
      <c r="C9" s="4">
        <v>2247</v>
      </c>
      <c r="D9" s="4" t="str">
        <f>=VLOOKUP(B9,[2]在校生综合信息查询!$A$74:$C$87,2,0)</f>
        <v>24q740105014</v>
      </c>
      <c r="E9" s="4">
        <f>=VLOOKUP(B9,$N$1:$Q$13,2,FALSE)</f>
        <v>16</v>
      </c>
      <c r="F9" s="4">
        <f>=VLOOKUP(B9,$N$1:$Q$13,3,FALSE)</f>
        <v>28</v>
      </c>
      <c r="G9" s="4">
        <f>=VLOOKUP(B9,$N$1:$Q$13,4,FALSE)</f>
        <v>25.5</v>
      </c>
      <c r="H9" s="12">
        <v>36.5</v>
      </c>
      <c r="I9" s="12">
        <v>19</v>
      </c>
      <c r="J9" s="12">
        <v>21.5</v>
      </c>
      <c r="K9" s="12">
        <v>18</v>
      </c>
      <c r="L9" s="5">
        <f>=SUM(E9:K9)</f>
        <v>164.5</v>
      </c>
      <c r="M9" s="47">
        <f>=RANK(L9,$L$2:$L$14,0)</f>
        <v>11</v>
      </c>
      <c r="N9" s="76" t="s">
        <v>1863</v>
      </c>
      <c r="O9" s="77">
        <v>6</v>
      </c>
      <c r="P9" s="77">
        <v>8</v>
      </c>
      <c r="Q9" s="77">
        <v>22</v>
      </c>
      <c r="R9" s="75" t="s"/>
    </row>
    <row r="10" spans="1:18" ht="18.75">
      <c r="A10" s="4">
        <v>9</v>
      </c>
      <c r="B10" s="4" t="s">
        <v>1881</v>
      </c>
      <c r="C10" s="4">
        <v>2248</v>
      </c>
      <c r="D10" s="4" t="str">
        <f>=VLOOKUP(B10,[2]在校生综合信息查询!$A$74:$C$87,2,0)</f>
        <v>24q740105015</v>
      </c>
      <c r="E10" s="4">
        <f>=VLOOKUP(B10,$N$1:$Q$13,2,FALSE)</f>
        <v>9</v>
      </c>
      <c r="F10" s="4">
        <f>=VLOOKUP(B10,$N$1:$Q$13,3,FALSE)</f>
        <v>8</v>
      </c>
      <c r="G10" s="4">
        <f>=VLOOKUP(B10,$N$1:$Q$13,4,FALSE)</f>
        <v>20</v>
      </c>
      <c r="H10" s="12">
        <v>49</v>
      </c>
      <c r="I10" s="12">
        <v>46.5</v>
      </c>
      <c r="J10" s="12">
        <v>58.5</v>
      </c>
      <c r="K10" s="12">
        <v>50.5</v>
      </c>
      <c r="L10" s="5">
        <f>=SUM(E10:K10)</f>
        <v>241.5</v>
      </c>
      <c r="M10" s="47">
        <f>=RANK(L10,$L$2:$L$14,0)</f>
        <v>3</v>
      </c>
      <c r="N10" s="76" t="s">
        <v>1878</v>
      </c>
      <c r="O10" s="77">
        <v>22</v>
      </c>
      <c r="P10" s="77">
        <v>16</v>
      </c>
      <c r="Q10" s="77">
        <v>10.5</v>
      </c>
      <c r="R10" s="75" t="s"/>
    </row>
    <row r="11" spans="1:18" ht="18.75">
      <c r="A11" s="4">
        <v>10</v>
      </c>
      <c r="B11" s="4" t="s">
        <v>1883</v>
      </c>
      <c r="C11" s="4">
        <v>2249</v>
      </c>
      <c r="D11" s="4" t="str">
        <f>=VLOOKUP(B11,[2]在校生综合信息查询!$A$74:$C$87,2,0)</f>
        <v>24q740105016</v>
      </c>
      <c r="E11" s="4">
        <f>=VLOOKUP(B11,$N$1:$Q$13,2,FALSE)</f>
        <v>9</v>
      </c>
      <c r="F11" s="4">
        <f>=VLOOKUP(B11,$N$1:$Q$13,3,FALSE)</f>
        <v>16</v>
      </c>
      <c r="G11" s="4">
        <f>=VLOOKUP(B11,$N$1:$Q$13,4,FALSE)</f>
        <v>20</v>
      </c>
      <c r="H11" s="12">
        <v>36.5</v>
      </c>
      <c r="I11" s="12">
        <v>45</v>
      </c>
      <c r="J11" s="12">
        <v>44</v>
      </c>
      <c r="K11" s="12">
        <v>27</v>
      </c>
      <c r="L11" s="5">
        <f>=SUM(E11:K11)</f>
        <v>197.5</v>
      </c>
      <c r="M11" s="47">
        <f>=RANK(L11,$L$2:$L$14,0)</f>
        <v>6</v>
      </c>
      <c r="N11" s="76" t="s">
        <v>1871</v>
      </c>
      <c r="O11" s="77">
        <v>11</v>
      </c>
      <c r="P11" s="77">
        <v>16</v>
      </c>
      <c r="Q11" s="77">
        <v>9.5</v>
      </c>
      <c r="R11" s="75" t="s"/>
    </row>
    <row r="12" spans="1:18" ht="18.75">
      <c r="A12" s="4">
        <v>11</v>
      </c>
      <c r="B12" s="4" t="s">
        <v>1877</v>
      </c>
      <c r="C12" s="4">
        <v>2250</v>
      </c>
      <c r="D12" s="4" t="str">
        <f>=VLOOKUP(B12,[2]在校生综合信息查询!$A$74:$C$87,2,0)</f>
        <v>24q740105017</v>
      </c>
      <c r="E12" s="4">
        <f>=VLOOKUP(B12,$N$1:$Q$13,2,FALSE)</f>
        <v>31</v>
      </c>
      <c r="F12" s="4">
        <f>=VLOOKUP(B12,$N$1:$Q$13,3,FALSE)</f>
        <v>16</v>
      </c>
      <c r="G12" s="4">
        <f>=VLOOKUP(B12,$N$1:$Q$13,4,FALSE)</f>
        <v>24</v>
      </c>
      <c r="H12" s="12">
        <v>23.5</v>
      </c>
      <c r="I12" s="12">
        <v>40</v>
      </c>
      <c r="J12" s="12">
        <v>32.5</v>
      </c>
      <c r="K12" s="12">
        <v>28</v>
      </c>
      <c r="L12" s="5">
        <f>=SUM(E12:K12)</f>
        <v>195</v>
      </c>
      <c r="M12" s="47">
        <f>=RANK(L12,$L$2:$L$14,0)</f>
        <v>7</v>
      </c>
      <c r="N12" s="76" t="s">
        <v>1881</v>
      </c>
      <c r="O12" s="77">
        <v>9</v>
      </c>
      <c r="P12" s="77">
        <v>8</v>
      </c>
      <c r="Q12" s="77">
        <v>20</v>
      </c>
      <c r="R12" s="75" t="s"/>
    </row>
    <row r="13" spans="1:18" ht="18.75">
      <c r="A13" s="4">
        <v>12</v>
      </c>
      <c r="B13" s="4" t="s">
        <v>1867</v>
      </c>
      <c r="C13" s="4">
        <v>2251</v>
      </c>
      <c r="D13" s="4" t="str">
        <f>=VLOOKUP(B13,[2]在校生综合信息查询!$A$74:$C$87,2,0)</f>
        <v>24q740105018</v>
      </c>
      <c r="E13" s="4">
        <f>=VLOOKUP(B13,$N$1:$Q$13,2,FALSE)</f>
        <v>47</v>
      </c>
      <c r="F13" s="4">
        <f>=VLOOKUP(B13,$N$1:$Q$13,3,FALSE)</f>
        <v>24</v>
      </c>
      <c r="G13" s="4">
        <f>=VLOOKUP(B13,$N$1:$Q$13,4,FALSE)</f>
        <v>46.5</v>
      </c>
      <c r="H13" s="12">
        <v>28</v>
      </c>
      <c r="I13" s="12">
        <v>49</v>
      </c>
      <c r="J13" s="12">
        <v>31.5</v>
      </c>
      <c r="K13" s="12">
        <v>33</v>
      </c>
      <c r="L13" s="5">
        <f>=SUM(E13:K13)</f>
        <v>259</v>
      </c>
      <c r="M13" s="47">
        <f>=RANK(L13,$L$2:$L$14,0)</f>
        <v>2</v>
      </c>
      <c r="N13" s="76" t="s">
        <v>1883</v>
      </c>
      <c r="O13" s="77">
        <v>9</v>
      </c>
      <c r="P13" s="77">
        <v>16</v>
      </c>
      <c r="Q13" s="77">
        <v>20</v>
      </c>
      <c r="R13" s="75" t="s"/>
    </row>
    <row r="14" spans="1:18" ht="18.75">
      <c r="A14" s="4">
        <v>13</v>
      </c>
      <c r="B14" s="4" t="s">
        <v>1875</v>
      </c>
      <c r="C14" s="4">
        <v>2252</v>
      </c>
      <c r="D14" s="4" t="str">
        <f>=VLOOKUP(B14,[2]在校生综合信息查询!$A$74:$C$87,2,0)</f>
        <v>24q740105019</v>
      </c>
      <c r="E14" s="4">
        <f>=VLOOKUP(B14,$N$1:$Q$13,2,FALSE)</f>
        <v>18</v>
      </c>
      <c r="F14" s="4">
        <f>=VLOOKUP(B14,$N$1:$Q$13,3,FALSE)</f>
        <v>24</v>
      </c>
      <c r="G14" s="4">
        <f>=VLOOKUP(B14,$N$1:$Q$13,4,FALSE)</f>
        <v>32</v>
      </c>
      <c r="H14" s="12">
        <v>29</v>
      </c>
      <c r="I14" s="12">
        <v>38</v>
      </c>
      <c r="J14" s="12">
        <v>15</v>
      </c>
      <c r="K14" s="12">
        <v>19</v>
      </c>
      <c r="L14" s="5">
        <f>=SUM(E14:K14)</f>
        <v>175</v>
      </c>
      <c r="M14" s="47">
        <f>=RANK(L14,$L$2:$L$14,0)</f>
        <v>10</v>
      </c>
      <c r="N14" s="75" t="s"/>
      <c r="O14" s="75" t="s"/>
      <c r="P14" s="75" t="s"/>
      <c r="Q14" s="75" t="s"/>
      <c r="R14" s="75" t="s"/>
    </row>
    <row r="15" spans="14:18">
      <c r="N15" s="75" t="s"/>
      <c r="O15" s="75" t="s"/>
      <c r="P15" s="75" t="s"/>
      <c r="Q15" s="75" t="s"/>
      <c r="R15" s="75" t="s"/>
    </row>
    <row r="16" spans="14:18">
      <c r="N16" s="75" t="s"/>
      <c r="O16" s="75" t="s"/>
      <c r="P16" s="75" t="s"/>
      <c r="Q16" s="75" t="s"/>
      <c r="R16" s="75" t="s"/>
    </row>
    <row r="17" spans="14:18">
      <c r="N17" s="75" t="s"/>
      <c r="O17" s="75" t="s"/>
      <c r="P17" s="75" t="s"/>
      <c r="Q17" s="75" t="s"/>
      <c r="R17" s="75" t="s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/>
  <dimension ref="P30"/>
  <sheetViews>
    <sheetView showGridLines="1" topLeftCell="E14" workbookViewId="0"/>
  </sheetViews>
  <sheetFormatPr defaultColWidth="8.75" defaultRowHeight="14.25"/>
  <cols>
    <col min="1" max="1" width="8.75" style="122"/>
    <col min="2" max="2" width="7.75" style="123"/>
    <col min="3" max="3" width="0" style="123" customWidth="1"/>
    <col min="4" max="4" width="17.375" style="123" customWidth="1"/>
    <col min="8" max="8" width="19.75" customWidth="1"/>
    <col min="9" max="9" width="15.125" customWidth="1"/>
    <col min="10" max="13" width="16.25" customWidth="1"/>
    <col min="14" max="14" width="19.875" customWidth="1"/>
  </cols>
  <sheetData>
    <row r="1" spans="1:16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12" t="s">
        <v>1888</v>
      </c>
      <c r="I1" s="12" t="s">
        <v>11</v>
      </c>
      <c r="J1" s="12" t="s">
        <v>12</v>
      </c>
      <c r="K1" s="12" t="s"/>
      <c r="L1" s="12" t="s"/>
      <c r="M1" s="78" t="s"/>
      <c r="N1" s="12" t="s"/>
      <c r="O1" s="6" t="s"/>
      <c r="P1" s="6" t="s"/>
    </row>
    <row r="2" spans="1:16" ht="18.75">
      <c r="A2" s="4">
        <v>1</v>
      </c>
      <c r="B2" s="4" t="s">
        <v>1889</v>
      </c>
      <c r="C2" s="4">
        <v>2793</v>
      </c>
      <c r="D2" s="4" t="str">
        <f>=VLOOKUP(B2,[2]在校生综合信息查询!$A$2:$B$41,2,0)</f>
        <v>24q770101005</v>
      </c>
      <c r="E2" s="79">
        <v>69</v>
      </c>
      <c r="F2" s="12">
        <v>42</v>
      </c>
      <c r="G2" s="12">
        <v>40.5</v>
      </c>
      <c r="H2" s="12">
        <v>134</v>
      </c>
      <c r="I2" s="12">
        <v>285.5</v>
      </c>
      <c r="J2" s="12">
        <v>6</v>
      </c>
      <c r="K2" s="4" t="s"/>
      <c r="L2" s="4" t="s"/>
      <c r="M2" s="15" t="s"/>
      <c r="N2" s="4" t="s"/>
      <c r="O2" s="18" t="s"/>
      <c r="P2" s="18" t="s"/>
    </row>
    <row r="3" spans="1:16" ht="18.75">
      <c r="A3" s="4">
        <v>2</v>
      </c>
      <c r="B3" s="4" t="s">
        <v>1891</v>
      </c>
      <c r="C3" s="4">
        <v>2820</v>
      </c>
      <c r="D3" s="4" t="str">
        <f>=VLOOKUP(B3,[2]在校生综合信息查询!$A$2:$B$41,2,0)</f>
        <v>24q770303006</v>
      </c>
      <c r="E3" s="12">
        <v>15</v>
      </c>
      <c r="F3" s="12">
        <v>24</v>
      </c>
      <c r="G3" s="12">
        <v>10</v>
      </c>
      <c r="H3" s="12">
        <v>40</v>
      </c>
      <c r="I3" s="12">
        <v>89</v>
      </c>
      <c r="J3" s="12">
        <v>29</v>
      </c>
      <c r="K3" s="4" t="s"/>
      <c r="L3" s="4" t="s"/>
      <c r="M3" s="15" t="s"/>
      <c r="N3" s="4" t="s"/>
      <c r="O3" s="18" t="s"/>
      <c r="P3" s="18" t="s"/>
    </row>
    <row r="4" spans="1:16" ht="18.75">
      <c r="A4" s="4">
        <v>3</v>
      </c>
      <c r="B4" s="4" t="s">
        <v>1893</v>
      </c>
      <c r="C4" s="4">
        <v>2794</v>
      </c>
      <c r="D4" s="4" t="str">
        <f>=VLOOKUP(B4,[2]在校生综合信息查询!$A$2:$B$41,2,0)</f>
        <v>24q770101007</v>
      </c>
      <c r="E4" s="12">
        <v>10</v>
      </c>
      <c r="F4" s="12">
        <v>24</v>
      </c>
      <c r="G4" s="12">
        <v>14.5</v>
      </c>
      <c r="H4" s="12">
        <v>84</v>
      </c>
      <c r="I4" s="12">
        <v>132.5</v>
      </c>
      <c r="J4" s="12">
        <v>19</v>
      </c>
      <c r="K4" s="4" t="s"/>
      <c r="L4" s="4" t="s"/>
      <c r="M4" s="15" t="s"/>
      <c r="N4" s="4" t="s"/>
      <c r="O4" s="18" t="s"/>
      <c r="P4" s="18" t="s"/>
    </row>
    <row r="5" spans="1:16" ht="18.75">
      <c r="A5" s="4">
        <v>4</v>
      </c>
      <c r="B5" s="4" t="s">
        <v>1895</v>
      </c>
      <c r="C5" s="4">
        <v>2795</v>
      </c>
      <c r="D5" s="4" t="str">
        <f>=VLOOKUP(B5,[2]在校生综合信息查询!$A$2:$B$41,2,0)</f>
        <v>24q770101008</v>
      </c>
      <c r="E5" s="12">
        <v>12</v>
      </c>
      <c r="F5" s="12">
        <v>20</v>
      </c>
      <c r="G5" s="12">
        <v>25.5</v>
      </c>
      <c r="H5" s="12">
        <v>78</v>
      </c>
      <c r="I5" s="12">
        <v>135.5</v>
      </c>
      <c r="J5" s="12">
        <v>17</v>
      </c>
      <c r="K5" s="4" t="s"/>
      <c r="L5" s="4" t="s"/>
      <c r="M5" s="15" t="s"/>
      <c r="N5" s="4" t="s"/>
      <c r="O5" s="18" t="s"/>
      <c r="P5" s="18" t="s"/>
    </row>
    <row r="6" spans="1:16" ht="18.75">
      <c r="A6" s="4">
        <v>5</v>
      </c>
      <c r="B6" s="4" t="s">
        <v>1897</v>
      </c>
      <c r="C6" s="4">
        <v>2819</v>
      </c>
      <c r="D6" s="4" t="str">
        <f>=VLOOKUP(B6,[2]在校生综合信息查询!$A$2:$B$41,2,0)</f>
        <v>5107424270623</v>
      </c>
      <c r="E6" s="12">
        <v>36</v>
      </c>
      <c r="F6" s="12">
        <v>36</v>
      </c>
      <c r="G6" s="12">
        <v>26.5</v>
      </c>
      <c r="H6" s="12">
        <v>165</v>
      </c>
      <c r="I6" s="12">
        <v>263.5</v>
      </c>
      <c r="J6" s="12">
        <v>8</v>
      </c>
      <c r="K6" s="4" t="s"/>
      <c r="L6" s="4" t="s"/>
      <c r="M6" s="15" t="s"/>
      <c r="N6" s="4" t="s"/>
      <c r="O6" s="18" t="s"/>
      <c r="P6" s="18" t="s"/>
    </row>
    <row r="7" spans="1:16" ht="18.75">
      <c r="A7" s="4">
        <v>6</v>
      </c>
      <c r="B7" s="4" t="s">
        <v>1899</v>
      </c>
      <c r="C7" s="4">
        <v>2796</v>
      </c>
      <c r="D7" s="4" t="str">
        <f>=VLOOKUP(B7,[2]在校生综合信息查询!$A$2:$B$41,2,0)</f>
        <v>24q770101013</v>
      </c>
      <c r="E7" s="12">
        <v>6</v>
      </c>
      <c r="F7" s="12">
        <v>16</v>
      </c>
      <c r="G7" s="12">
        <v>21</v>
      </c>
      <c r="H7" s="12">
        <v>79</v>
      </c>
      <c r="I7" s="12">
        <v>122</v>
      </c>
      <c r="J7" s="12">
        <v>23</v>
      </c>
      <c r="K7" s="4" t="s"/>
      <c r="L7" s="4" t="s"/>
      <c r="M7" s="15" t="s"/>
      <c r="N7" s="4" t="s"/>
      <c r="O7" s="18" t="s"/>
      <c r="P7" s="18" t="s"/>
    </row>
    <row r="8" spans="1:16" ht="18.75">
      <c r="A8" s="4">
        <v>7</v>
      </c>
      <c r="B8" s="4" t="s">
        <v>1901</v>
      </c>
      <c r="C8" s="4">
        <v>2797</v>
      </c>
      <c r="D8" s="4" t="str">
        <f>=VLOOKUP(B8,[2]在校生综合信息查询!$A$2:$B$41,2,0)</f>
        <v>24q770101014</v>
      </c>
      <c r="E8" s="12">
        <v>42</v>
      </c>
      <c r="F8" s="12">
        <v>8</v>
      </c>
      <c r="G8" s="12">
        <v>50</v>
      </c>
      <c r="H8" s="12">
        <v>162</v>
      </c>
      <c r="I8" s="12">
        <v>262</v>
      </c>
      <c r="J8" s="12">
        <v>9</v>
      </c>
      <c r="K8" s="4" t="s"/>
      <c r="L8" s="4" t="s"/>
      <c r="M8" s="15" t="s"/>
      <c r="N8" s="4" t="s"/>
      <c r="O8" s="18" t="s"/>
      <c r="P8" s="18" t="s"/>
    </row>
    <row r="9" spans="1:16" ht="18.75">
      <c r="A9" s="4">
        <v>8</v>
      </c>
      <c r="B9" s="4" t="s">
        <v>1903</v>
      </c>
      <c r="C9" s="4">
        <v>2798</v>
      </c>
      <c r="D9" s="4" t="str">
        <f>=VLOOKUP(B9,[2]在校生综合信息查询!$A$2:$B$41,2,0)</f>
        <v>24q770101015</v>
      </c>
      <c r="E9" s="12">
        <v>19</v>
      </c>
      <c r="F9" s="12">
        <v>20</v>
      </c>
      <c r="G9" s="12">
        <v>17.5</v>
      </c>
      <c r="H9" s="12">
        <v>79</v>
      </c>
      <c r="I9" s="12">
        <v>135.5</v>
      </c>
      <c r="J9" s="12">
        <v>17</v>
      </c>
      <c r="K9" s="4" t="s"/>
      <c r="L9" s="4" t="s"/>
      <c r="M9" s="15" t="s"/>
      <c r="N9" s="4" t="s"/>
      <c r="O9" s="18" t="s"/>
      <c r="P9" s="18" t="s"/>
    </row>
    <row r="10" spans="1:16" ht="18.75">
      <c r="A10" s="4">
        <v>9</v>
      </c>
      <c r="B10" s="4" t="s">
        <v>1905</v>
      </c>
      <c r="C10" s="4">
        <v>2799</v>
      </c>
      <c r="D10" s="4" t="str">
        <f>=VLOOKUP(B10,[2]在校生综合信息查询!$A$2:$B$41,2,0)</f>
        <v>24q770101016</v>
      </c>
      <c r="E10" s="12">
        <v>11</v>
      </c>
      <c r="F10" s="12">
        <v>24</v>
      </c>
      <c r="G10" s="12">
        <v>18.5</v>
      </c>
      <c r="H10" s="12">
        <v>76</v>
      </c>
      <c r="I10" s="12">
        <v>129.5</v>
      </c>
      <c r="J10" s="12">
        <v>22</v>
      </c>
      <c r="K10" s="4" t="s"/>
      <c r="L10" s="4" t="s"/>
      <c r="M10" s="15" t="s"/>
      <c r="N10" s="4" t="s"/>
      <c r="O10" s="18" t="s"/>
      <c r="P10" s="18" t="s"/>
    </row>
    <row r="11" spans="1:16" ht="18.75">
      <c r="A11" s="4">
        <v>10</v>
      </c>
      <c r="B11" s="4" t="s">
        <v>1907</v>
      </c>
      <c r="C11" s="4">
        <v>2800</v>
      </c>
      <c r="D11" s="4" t="str">
        <f>=VLOOKUP(B11,[2]在校生综合信息查询!$A$2:$B$41,2,0)</f>
        <v>24q770101017</v>
      </c>
      <c r="E11" s="12">
        <v>11</v>
      </c>
      <c r="F11" s="12">
        <v>16</v>
      </c>
      <c r="G11" s="12">
        <v>15.5</v>
      </c>
      <c r="H11" s="12">
        <v>68</v>
      </c>
      <c r="I11" s="12">
        <v>110.5</v>
      </c>
      <c r="J11" s="12">
        <v>25</v>
      </c>
      <c r="K11" s="4" t="s"/>
      <c r="L11" s="4" t="s"/>
      <c r="M11" s="15" t="s"/>
      <c r="N11" s="4" t="s"/>
      <c r="O11" s="18" t="s"/>
      <c r="P11" s="18" t="s"/>
    </row>
    <row r="12" spans="1:16" ht="18.75">
      <c r="A12" s="4">
        <v>11</v>
      </c>
      <c r="B12" s="4" t="s">
        <v>1909</v>
      </c>
      <c r="C12" s="4">
        <v>2801</v>
      </c>
      <c r="D12" s="4" t="str">
        <f>=VLOOKUP(B12,[2]在校生综合信息查询!$A$2:$B$41,2,0)</f>
        <v>24q770101019</v>
      </c>
      <c r="E12" s="12">
        <v>5</v>
      </c>
      <c r="F12" s="12">
        <v>8</v>
      </c>
      <c r="G12" s="12">
        <v>15</v>
      </c>
      <c r="H12" s="12">
        <v>91</v>
      </c>
      <c r="I12" s="12">
        <v>119</v>
      </c>
      <c r="J12" s="12">
        <v>24</v>
      </c>
      <c r="K12" s="4" t="s"/>
      <c r="L12" s="4" t="s"/>
      <c r="M12" s="15" t="s"/>
      <c r="N12" s="4" t="s"/>
      <c r="O12" s="18" t="s"/>
      <c r="P12" s="18" t="s"/>
    </row>
    <row r="13" spans="1:16" ht="18.75">
      <c r="A13" s="4">
        <v>12</v>
      </c>
      <c r="B13" s="4" t="s">
        <v>1911</v>
      </c>
      <c r="C13" s="4">
        <v>2818</v>
      </c>
      <c r="D13" s="4" t="str">
        <f>=VLOOKUP(B13,[2]在校生综合信息查询!$A$2:$B$41,2,0)</f>
        <v>24q71010328615</v>
      </c>
      <c r="E13" s="12">
        <v>61</v>
      </c>
      <c r="F13" s="12">
        <v>26</v>
      </c>
      <c r="G13" s="12">
        <v>51.5</v>
      </c>
      <c r="H13" s="12">
        <v>188</v>
      </c>
      <c r="I13" s="12">
        <v>326.5</v>
      </c>
      <c r="J13" s="12">
        <v>3</v>
      </c>
      <c r="K13" s="4" t="s"/>
      <c r="L13" s="4" t="s"/>
      <c r="M13" s="15" t="s"/>
      <c r="N13" s="4" t="s"/>
      <c r="O13" s="18" t="s"/>
      <c r="P13" s="18" t="s"/>
    </row>
    <row r="14" spans="1:16" ht="18.75">
      <c r="A14" s="4">
        <v>13</v>
      </c>
      <c r="B14" s="4" t="s">
        <v>1913</v>
      </c>
      <c r="C14" s="4">
        <v>2802</v>
      </c>
      <c r="D14" s="4" t="str">
        <f>=VLOOKUP(B14,[2]在校生综合信息查询!$A$2:$B$41,2,0)</f>
        <v>24q770101020</v>
      </c>
      <c r="E14" s="12">
        <v>17</v>
      </c>
      <c r="F14" s="12">
        <v>16</v>
      </c>
      <c r="G14" s="12">
        <v>32.5</v>
      </c>
      <c r="H14" s="12">
        <v>115</v>
      </c>
      <c r="I14" s="12">
        <v>180.5</v>
      </c>
      <c r="J14" s="12">
        <v>13</v>
      </c>
      <c r="K14" s="4" t="s"/>
      <c r="L14" s="4" t="s"/>
      <c r="M14" s="15" t="s"/>
      <c r="N14" s="4" t="s"/>
      <c r="O14" s="18" t="s"/>
      <c r="P14" s="18" t="s"/>
    </row>
    <row r="15" spans="1:16" ht="18.75">
      <c r="A15" s="4">
        <v>14</v>
      </c>
      <c r="B15" s="4" t="s">
        <v>1915</v>
      </c>
      <c r="C15" s="4">
        <v>2803</v>
      </c>
      <c r="D15" s="4" t="str">
        <f>=VLOOKUP(B15,[2]在校生综合信息查询!$A$2:$B$41,2,0)</f>
        <v>24q770101024</v>
      </c>
      <c r="E15" s="12">
        <v>39</v>
      </c>
      <c r="F15" s="12">
        <v>16</v>
      </c>
      <c r="G15" s="12">
        <v>24</v>
      </c>
      <c r="H15" s="12">
        <v>155</v>
      </c>
      <c r="I15" s="12">
        <v>234</v>
      </c>
      <c r="J15" s="12">
        <v>11</v>
      </c>
      <c r="K15" s="4" t="s"/>
      <c r="L15" s="4" t="s"/>
      <c r="M15" s="15" t="s"/>
      <c r="N15" s="4" t="s"/>
      <c r="O15" s="18" t="s"/>
      <c r="P15" s="18" t="s"/>
    </row>
    <row r="16" spans="1:16" ht="18.75">
      <c r="A16" s="4">
        <v>15</v>
      </c>
      <c r="B16" s="4" t="s">
        <v>1917</v>
      </c>
      <c r="C16" s="4">
        <v>2804</v>
      </c>
      <c r="D16" s="4" t="str">
        <f>=VLOOKUP(B16,[2]在校生综合信息查询!$A$2:$B$41,2,0)</f>
        <v>24q770101025</v>
      </c>
      <c r="E16" s="12">
        <v>12</v>
      </c>
      <c r="F16" s="12">
        <v>8</v>
      </c>
      <c r="G16" s="12">
        <v>25</v>
      </c>
      <c r="H16" s="12">
        <v>87</v>
      </c>
      <c r="I16" s="12">
        <v>132</v>
      </c>
      <c r="J16" s="12">
        <v>20</v>
      </c>
      <c r="K16" s="4" t="s"/>
      <c r="L16" s="4" t="s"/>
      <c r="M16" s="15" t="s"/>
      <c r="N16" s="4" t="s"/>
      <c r="O16" s="18" t="s"/>
      <c r="P16" s="18" t="s"/>
    </row>
    <row r="17" spans="1:16" ht="18.75">
      <c r="A17" s="4">
        <v>16</v>
      </c>
      <c r="B17" s="4" t="s">
        <v>1919</v>
      </c>
      <c r="C17" s="4">
        <v>2805</v>
      </c>
      <c r="D17" s="4" t="str">
        <f>=VLOOKUP(B17,[2]在校生综合信息查询!$A$2:$B$41,2,0)</f>
        <v>24q770101027</v>
      </c>
      <c r="E17" s="12">
        <v>37</v>
      </c>
      <c r="F17" s="12">
        <v>40</v>
      </c>
      <c r="G17" s="12">
        <v>13.5</v>
      </c>
      <c r="H17" s="12">
        <v>159</v>
      </c>
      <c r="I17" s="12">
        <v>249.5</v>
      </c>
      <c r="J17" s="12">
        <v>10</v>
      </c>
      <c r="K17" s="4" t="s"/>
      <c r="L17" s="4" t="s"/>
      <c r="M17" s="15" t="s"/>
      <c r="N17" s="4" t="s"/>
      <c r="O17" s="18" t="s"/>
      <c r="P17" s="18" t="s"/>
    </row>
    <row r="18" spans="1:16" ht="18.75">
      <c r="A18" s="4">
        <v>17</v>
      </c>
      <c r="B18" s="4" t="s">
        <v>1921</v>
      </c>
      <c r="C18" s="4">
        <v>2806</v>
      </c>
      <c r="D18" s="4" t="str">
        <f>=VLOOKUP(B18,[2]在校生综合信息查询!$A$2:$B$41,2,0)</f>
        <v>24q770101030</v>
      </c>
      <c r="E18" s="12">
        <v>32</v>
      </c>
      <c r="F18" s="12">
        <v>16</v>
      </c>
      <c r="G18" s="12">
        <v>18</v>
      </c>
      <c r="H18" s="12">
        <v>110</v>
      </c>
      <c r="I18" s="12">
        <v>176</v>
      </c>
      <c r="J18" s="12">
        <v>14</v>
      </c>
      <c r="K18" s="4" t="s"/>
      <c r="L18" s="4" t="s"/>
      <c r="M18" s="15" t="s"/>
      <c r="N18" s="4" t="s"/>
      <c r="O18" s="18" t="s"/>
      <c r="P18" s="18" t="s"/>
    </row>
    <row r="19" spans="1:16" ht="18.75">
      <c r="A19" s="4">
        <v>18</v>
      </c>
      <c r="B19" s="4" t="s">
        <v>1923</v>
      </c>
      <c r="C19" s="4">
        <v>2807</v>
      </c>
      <c r="D19" s="4" t="str">
        <f>=VLOOKUP(B19,[2]在校生综合信息查询!$A$2:$B$41,2,0)</f>
        <v>24q770101032</v>
      </c>
      <c r="E19" s="12">
        <v>60</v>
      </c>
      <c r="F19" s="12">
        <v>52</v>
      </c>
      <c r="G19" s="12">
        <v>71</v>
      </c>
      <c r="H19" s="12">
        <v>167</v>
      </c>
      <c r="I19" s="12">
        <v>350</v>
      </c>
      <c r="J19" s="12">
        <v>2</v>
      </c>
      <c r="K19" s="4" t="s"/>
      <c r="L19" s="4" t="s"/>
      <c r="M19" s="15" t="s"/>
      <c r="N19" s="4" t="s"/>
      <c r="O19" s="18" t="s"/>
      <c r="P19" s="18" t="s"/>
    </row>
    <row r="20" spans="1:16" ht="18.75">
      <c r="A20" s="4">
        <v>19</v>
      </c>
      <c r="B20" s="4" t="s">
        <v>1925</v>
      </c>
      <c r="C20" s="4">
        <v>2821</v>
      </c>
      <c r="D20" s="4" t="str">
        <f>=VLOOKUP(B20,[2]在校生综合信息查询!$A$2:$B$41,2,0)</f>
        <v>24q770101033</v>
      </c>
      <c r="E20" s="12">
        <v>12</v>
      </c>
      <c r="F20" s="12">
        <v>12</v>
      </c>
      <c r="G20" s="12">
        <v>14.5</v>
      </c>
      <c r="H20" s="12">
        <v>72</v>
      </c>
      <c r="I20" s="12">
        <v>110.5</v>
      </c>
      <c r="J20" s="12">
        <v>25</v>
      </c>
      <c r="K20" s="4" t="s"/>
      <c r="L20" s="4" t="s"/>
      <c r="M20" s="15" t="s"/>
      <c r="N20" s="4" t="s"/>
      <c r="O20" s="18" t="s"/>
      <c r="P20" s="18" t="s"/>
    </row>
    <row r="21" spans="1:16" ht="18.75">
      <c r="A21" s="4">
        <v>20</v>
      </c>
      <c r="B21" s="4" t="s">
        <v>1927</v>
      </c>
      <c r="C21" s="4">
        <v>2808</v>
      </c>
      <c r="D21" s="4" t="str">
        <f>=VLOOKUP(B21,[2]在校生综合信息查询!$A$2:$B$41,2,0)</f>
        <v>24q770101034</v>
      </c>
      <c r="E21" s="12">
        <v>34</v>
      </c>
      <c r="F21" s="12">
        <v>38</v>
      </c>
      <c r="G21" s="12">
        <v>52</v>
      </c>
      <c r="H21" s="12">
        <v>153</v>
      </c>
      <c r="I21" s="12">
        <v>277</v>
      </c>
      <c r="J21" s="12">
        <v>7</v>
      </c>
      <c r="K21" s="4" t="s"/>
      <c r="L21" s="4" t="s"/>
      <c r="M21" s="15" t="s"/>
      <c r="N21" s="4" t="s"/>
      <c r="O21" s="18" t="s"/>
      <c r="P21" s="18" t="s"/>
    </row>
    <row r="22" spans="1:16" ht="18.75">
      <c r="A22" s="4">
        <v>21</v>
      </c>
      <c r="B22" s="4" t="s">
        <v>1929</v>
      </c>
      <c r="C22" s="4">
        <v>2809</v>
      </c>
      <c r="D22" s="4" t="str">
        <f>=VLOOKUP(B22,[2]在校生综合信息查询!$A$2:$B$41,2,0)</f>
        <v>24q770101035</v>
      </c>
      <c r="E22" s="12">
        <v>10</v>
      </c>
      <c r="F22" s="12">
        <v>32</v>
      </c>
      <c r="G22" s="12">
        <v>15</v>
      </c>
      <c r="H22" s="12">
        <v>74</v>
      </c>
      <c r="I22" s="12">
        <v>131</v>
      </c>
      <c r="J22" s="12">
        <v>21</v>
      </c>
      <c r="K22" s="4" t="s"/>
      <c r="L22" s="4" t="s"/>
      <c r="M22" s="15" t="s"/>
      <c r="N22" s="4" t="s"/>
      <c r="O22" s="18" t="s"/>
      <c r="P22" s="18" t="s"/>
    </row>
    <row r="23" spans="1:16" ht="18.75">
      <c r="A23" s="4">
        <v>22</v>
      </c>
      <c r="B23" s="4" t="s">
        <v>1931</v>
      </c>
      <c r="C23" s="4">
        <v>2810</v>
      </c>
      <c r="D23" s="4" t="str">
        <f>=VLOOKUP(B23,[2]在校生综合信息查询!$A$2:$B$41,2,0)</f>
        <v>24q770101040</v>
      </c>
      <c r="E23" s="12">
        <v>24</v>
      </c>
      <c r="F23" s="12">
        <v>12</v>
      </c>
      <c r="G23" s="12">
        <v>16.5</v>
      </c>
      <c r="H23" s="12">
        <v>48</v>
      </c>
      <c r="I23" s="12">
        <v>105.5</v>
      </c>
      <c r="J23" s="12">
        <v>27</v>
      </c>
      <c r="K23" s="4" t="s"/>
      <c r="L23" s="4" t="s"/>
      <c r="M23" s="15" t="s"/>
      <c r="N23" s="4" t="s"/>
      <c r="O23" s="18" t="s"/>
      <c r="P23" s="18" t="s"/>
    </row>
    <row r="24" spans="1:16" ht="18.75">
      <c r="A24" s="4">
        <v>23</v>
      </c>
      <c r="B24" s="4" t="s">
        <v>1933</v>
      </c>
      <c r="C24" s="4">
        <v>2811</v>
      </c>
      <c r="D24" s="4" t="str">
        <f>=VLOOKUP(B24,[2]在校生综合信息查询!$A$2:$B$41,2,0)</f>
        <v>24q770101041</v>
      </c>
      <c r="E24" s="12">
        <v>24</v>
      </c>
      <c r="F24" s="12">
        <v>12</v>
      </c>
      <c r="G24" s="12">
        <v>18.5</v>
      </c>
      <c r="H24" s="12">
        <v>90</v>
      </c>
      <c r="I24" s="12">
        <v>144.5</v>
      </c>
      <c r="J24" s="12">
        <v>15</v>
      </c>
      <c r="K24" s="4" t="s"/>
      <c r="L24" s="4" t="s"/>
      <c r="M24" s="15" t="s"/>
      <c r="N24" s="4" t="s"/>
      <c r="O24" s="18" t="s"/>
      <c r="P24" s="18" t="s"/>
    </row>
    <row r="25" spans="1:16" ht="18.75">
      <c r="A25" s="4">
        <v>24</v>
      </c>
      <c r="B25" s="4" t="s">
        <v>1935</v>
      </c>
      <c r="C25" s="4">
        <v>2812</v>
      </c>
      <c r="D25" s="4" t="str">
        <f>=VLOOKUP(B25,[2]在校生综合信息查询!$A$2:$B$41,2,0)</f>
        <v>24q770101045</v>
      </c>
      <c r="E25" s="12">
        <v>18</v>
      </c>
      <c r="F25" s="12">
        <v>16</v>
      </c>
      <c r="G25" s="12">
        <v>24.5</v>
      </c>
      <c r="H25" s="12">
        <v>84</v>
      </c>
      <c r="I25" s="12">
        <v>142.5</v>
      </c>
      <c r="J25" s="12">
        <v>16</v>
      </c>
      <c r="K25" s="4" t="s"/>
      <c r="L25" s="4" t="s"/>
      <c r="M25" s="15" t="s"/>
      <c r="N25" s="4" t="s"/>
      <c r="O25" s="18" t="s"/>
      <c r="P25" s="18" t="s"/>
    </row>
    <row r="26" spans="1:16" ht="18.75">
      <c r="A26" s="4">
        <v>25</v>
      </c>
      <c r="B26" s="4" t="s">
        <v>1937</v>
      </c>
      <c r="C26" s="4">
        <v>2813</v>
      </c>
      <c r="D26" s="4" t="str">
        <f>=VLOOKUP(B26,[2]在校生综合信息查询!$A$2:$B$41,2,0)</f>
        <v>24q770101046</v>
      </c>
      <c r="E26" s="12">
        <v>63</v>
      </c>
      <c r="F26" s="12">
        <v>23</v>
      </c>
      <c r="G26" s="12">
        <v>40</v>
      </c>
      <c r="H26" s="12">
        <v>192</v>
      </c>
      <c r="I26" s="12">
        <v>318</v>
      </c>
      <c r="J26" s="12">
        <v>5</v>
      </c>
      <c r="K26" s="4" t="s"/>
      <c r="L26" s="4" t="s"/>
      <c r="M26" s="15" t="s"/>
      <c r="N26" s="4" t="s"/>
      <c r="O26" s="18" t="s"/>
      <c r="P26" s="18" t="s"/>
    </row>
    <row r="27" spans="1:16" ht="18.75">
      <c r="A27" s="4">
        <v>26</v>
      </c>
      <c r="B27" s="4" t="s">
        <v>1939</v>
      </c>
      <c r="C27" s="4">
        <v>2814</v>
      </c>
      <c r="D27" s="4" t="str">
        <f>=VLOOKUP(B27,[2]在校生综合信息查询!$A$2:$B$41,2,0)</f>
        <v>24q770101048</v>
      </c>
      <c r="E27" s="12">
        <v>70</v>
      </c>
      <c r="F27" s="12">
        <v>28</v>
      </c>
      <c r="G27" s="12">
        <v>52</v>
      </c>
      <c r="H27" s="12">
        <v>211</v>
      </c>
      <c r="I27" s="12">
        <v>361</v>
      </c>
      <c r="J27" s="12">
        <v>1</v>
      </c>
      <c r="K27" s="4" t="s"/>
      <c r="L27" s="4" t="s"/>
      <c r="M27" s="15" t="s"/>
      <c r="N27" s="4" t="s"/>
      <c r="O27" s="18" t="s"/>
      <c r="P27" s="18" t="s"/>
    </row>
    <row r="28" spans="1:16" ht="18.75">
      <c r="A28" s="4">
        <v>27</v>
      </c>
      <c r="B28" s="4" t="s">
        <v>1941</v>
      </c>
      <c r="C28" s="4">
        <v>2815</v>
      </c>
      <c r="D28" s="4" t="str">
        <f>=VLOOKUP(B28,[2]在校生综合信息查询!$A$2:$B$41,2,0)</f>
        <v>24q770101049</v>
      </c>
      <c r="E28" s="12">
        <v>33</v>
      </c>
      <c r="F28" s="12">
        <v>38</v>
      </c>
      <c r="G28" s="12">
        <v>46</v>
      </c>
      <c r="H28" s="12">
        <v>205</v>
      </c>
      <c r="I28" s="12">
        <v>322</v>
      </c>
      <c r="J28" s="12">
        <v>4</v>
      </c>
      <c r="K28" s="4" t="s"/>
      <c r="L28" s="4" t="s"/>
      <c r="M28" s="4" t="s"/>
      <c r="N28" s="4" t="s"/>
      <c r="O28" s="18" t="s"/>
      <c r="P28" s="18" t="s"/>
    </row>
    <row r="29" spans="1:16" ht="18.75">
      <c r="A29" s="4">
        <v>28</v>
      </c>
      <c r="B29" s="4" t="s">
        <v>1943</v>
      </c>
      <c r="C29" s="4">
        <v>2816</v>
      </c>
      <c r="D29" s="4" t="str">
        <f>=VLOOKUP(B29,[2]在校生综合信息查询!$A$2:$B$41,2,0)</f>
        <v>24q770101052</v>
      </c>
      <c r="E29" s="12">
        <v>25</v>
      </c>
      <c r="F29" s="12">
        <v>8</v>
      </c>
      <c r="G29" s="12">
        <v>24</v>
      </c>
      <c r="H29" s="12">
        <v>144</v>
      </c>
      <c r="I29" s="12">
        <v>196</v>
      </c>
      <c r="J29" s="12">
        <v>12</v>
      </c>
      <c r="K29" s="4" t="s"/>
      <c r="L29" s="4" t="s"/>
      <c r="M29" s="4" t="s"/>
      <c r="N29" s="4" t="s"/>
      <c r="O29" s="18" t="s"/>
      <c r="P29" s="18" t="s"/>
    </row>
    <row r="30" spans="1:16" ht="18.75">
      <c r="A30" s="4">
        <v>29</v>
      </c>
      <c r="B30" s="4" t="s">
        <v>1945</v>
      </c>
      <c r="C30" s="4">
        <v>2817</v>
      </c>
      <c r="D30" s="4" t="str">
        <f>=VLOOKUP(B30,[2]在校生综合信息查询!$A$2:$B$41,2,0)</f>
        <v>24q770101053</v>
      </c>
      <c r="E30" s="12">
        <v>12</v>
      </c>
      <c r="F30" s="12">
        <v>12</v>
      </c>
      <c r="G30" s="12">
        <v>18.5</v>
      </c>
      <c r="H30" s="12">
        <v>60</v>
      </c>
      <c r="I30" s="12">
        <v>102.5</v>
      </c>
      <c r="J30" s="12">
        <v>28</v>
      </c>
      <c r="K30" s="4" t="s"/>
      <c r="L30" s="4" t="s"/>
      <c r="M30" s="4" t="s"/>
      <c r="N30" s="4" t="s"/>
      <c r="O30" s="18" t="s"/>
      <c r="P30" s="18" t="s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/>
  <dimension ref="N34"/>
  <sheetViews>
    <sheetView showGridLines="1" topLeftCell="A26" workbookViewId="0"/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17.375" style="123" customWidth="1"/>
    <col min="8" max="8" width="19.75" customWidth="1"/>
    <col min="9" max="9" width="15.125" customWidth="1"/>
    <col min="10" max="13" width="16.25" customWidth="1"/>
    <col min="14" max="14" width="19.875" customWidth="1"/>
  </cols>
  <sheetData>
    <row r="1" spans="1:16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12" t="s">
        <v>1888</v>
      </c>
      <c r="I1" s="12" t="s">
        <v>11</v>
      </c>
      <c r="J1" s="12" t="s">
        <v>12</v>
      </c>
      <c r="K1" s="12" t="s"/>
      <c r="L1" s="12" t="s"/>
      <c r="M1" s="78" t="s"/>
      <c r="N1" s="12" t="s"/>
      <c r="O1" s="6" t="s"/>
      <c r="P1" s="6" t="s"/>
    </row>
    <row r="2" spans="1:16" ht="18.75">
      <c r="A2" s="4">
        <v>1</v>
      </c>
      <c r="B2" s="4" t="s">
        <v>1947</v>
      </c>
      <c r="C2" s="4">
        <v>2761</v>
      </c>
      <c r="D2" s="4" t="str">
        <f>=VLOOKUP(B2,[2]在校生综合信息查询!$A$42:$C$73,2,0)</f>
        <v>24q770101073</v>
      </c>
      <c r="E2" s="12">
        <v>60</v>
      </c>
      <c r="F2" s="12">
        <v>92</v>
      </c>
      <c r="G2" s="12">
        <v>67.5</v>
      </c>
      <c r="H2" s="12">
        <v>247</v>
      </c>
      <c r="I2" s="4" t="s"/>
      <c r="J2" s="4" t="s"/>
      <c r="K2" s="4" t="s"/>
      <c r="L2" s="4" t="s"/>
      <c r="M2" s="15" t="s"/>
      <c r="N2" s="4" t="s"/>
      <c r="O2" s="18" t="s"/>
      <c r="P2" s="18" t="s"/>
    </row>
    <row r="3" spans="1:16" ht="18.75">
      <c r="A3" s="4">
        <v>2</v>
      </c>
      <c r="B3" s="4" t="s">
        <v>1949</v>
      </c>
      <c r="C3" s="4">
        <v>2762</v>
      </c>
      <c r="D3" s="4" t="str">
        <f>=VLOOKUP(B3,[2]在校生综合信息查询!$A$42:$C$73,2,0)</f>
        <v>24q770101074</v>
      </c>
      <c r="E3" s="12">
        <v>59</v>
      </c>
      <c r="F3" s="12">
        <v>64</v>
      </c>
      <c r="G3" s="12">
        <v>39</v>
      </c>
      <c r="H3" s="12">
        <v>236</v>
      </c>
      <c r="I3" s="4" t="s"/>
      <c r="J3" s="4" t="s"/>
      <c r="K3" s="4" t="s"/>
      <c r="L3" s="4" t="s"/>
      <c r="M3" s="15" t="s"/>
      <c r="N3" s="4" t="s"/>
      <c r="O3" s="18" t="s"/>
      <c r="P3" s="18" t="s"/>
    </row>
    <row r="4" spans="1:16" ht="18.75">
      <c r="A4" s="4">
        <v>3</v>
      </c>
      <c r="B4" s="4" t="s">
        <v>1951</v>
      </c>
      <c r="C4" s="4">
        <v>2763</v>
      </c>
      <c r="D4" s="4" t="str">
        <f>=VLOOKUP(B4,[2]在校生综合信息查询!$A$42:$C$73,2,0)</f>
        <v>24q770101075</v>
      </c>
      <c r="E4" s="12">
        <v>74</v>
      </c>
      <c r="F4" s="12">
        <v>52</v>
      </c>
      <c r="G4" s="12">
        <v>58.5</v>
      </c>
      <c r="H4" s="12">
        <v>194</v>
      </c>
      <c r="I4" s="4" t="s"/>
      <c r="J4" s="4" t="s"/>
      <c r="K4" s="4" t="s"/>
      <c r="L4" s="4" t="s"/>
      <c r="M4" s="15" t="s"/>
      <c r="N4" s="4" t="s"/>
      <c r="O4" s="18" t="s"/>
      <c r="P4" s="18" t="s"/>
    </row>
    <row r="5" spans="1:16" ht="18.75">
      <c r="A5" s="4">
        <v>4</v>
      </c>
      <c r="B5" s="4" t="s">
        <v>1953</v>
      </c>
      <c r="C5" s="4">
        <v>2764</v>
      </c>
      <c r="D5" s="4" t="str">
        <f>=VLOOKUP(B5,[2]在校生综合信息查询!$A$42:$C$73,2,0)</f>
        <v>24q770101076</v>
      </c>
      <c r="E5" s="12">
        <v>47</v>
      </c>
      <c r="F5" s="12">
        <v>46</v>
      </c>
      <c r="G5" s="12">
        <v>52.5</v>
      </c>
      <c r="H5" s="12">
        <v>179</v>
      </c>
      <c r="I5" s="4" t="s"/>
      <c r="J5" s="4" t="s"/>
      <c r="K5" s="4" t="s"/>
      <c r="L5" s="4" t="s"/>
      <c r="M5" s="15" t="s"/>
      <c r="N5" s="4" t="s"/>
      <c r="O5" s="18" t="s"/>
      <c r="P5" s="18" t="s"/>
    </row>
    <row r="6" spans="1:16" ht="18.75">
      <c r="A6" s="4">
        <v>5</v>
      </c>
      <c r="B6" s="4" t="s">
        <v>1955</v>
      </c>
      <c r="C6" s="4">
        <v>2765</v>
      </c>
      <c r="D6" s="4" t="str">
        <f>=VLOOKUP(B6,[2]在校生综合信息查询!$A$42:$C$73,2,0)</f>
        <v>24q770101079</v>
      </c>
      <c r="E6" s="12">
        <v>62</v>
      </c>
      <c r="F6" s="12">
        <v>24</v>
      </c>
      <c r="G6" s="12">
        <v>46.6</v>
      </c>
      <c r="H6" s="12">
        <v>197</v>
      </c>
      <c r="I6" s="4" t="s"/>
      <c r="J6" s="4" t="s"/>
      <c r="K6" s="4" t="s"/>
      <c r="L6" s="4" t="s"/>
      <c r="M6" s="15" t="s"/>
      <c r="N6" s="4" t="s"/>
      <c r="O6" s="18" t="s"/>
      <c r="P6" s="18" t="s"/>
    </row>
    <row r="7" spans="1:16" ht="18.75">
      <c r="A7" s="4">
        <v>6</v>
      </c>
      <c r="B7" s="4" t="s">
        <v>1957</v>
      </c>
      <c r="C7" s="4">
        <v>2766</v>
      </c>
      <c r="D7" s="4" t="str">
        <f>=VLOOKUP(B7,[2]在校生综合信息查询!$A$42:$C$73,2,0)</f>
        <v>24q770101080</v>
      </c>
      <c r="E7" s="12">
        <v>66</v>
      </c>
      <c r="F7" s="12">
        <v>20</v>
      </c>
      <c r="G7" s="12">
        <v>54</v>
      </c>
      <c r="H7" s="12">
        <v>191</v>
      </c>
      <c r="I7" s="4" t="s"/>
      <c r="J7" s="4" t="s"/>
      <c r="K7" s="4" t="s"/>
      <c r="L7" s="4" t="s"/>
      <c r="M7" s="15" t="s"/>
      <c r="N7" s="4" t="s"/>
      <c r="O7" s="18" t="s"/>
      <c r="P7" s="18" t="s"/>
    </row>
    <row r="8" spans="1:16" ht="18.75">
      <c r="A8" s="4">
        <v>7</v>
      </c>
      <c r="B8" s="4" t="s">
        <v>1959</v>
      </c>
      <c r="C8" s="4">
        <v>2767</v>
      </c>
      <c r="D8" s="4" t="str">
        <f>=VLOOKUP(B8,[2]在校生综合信息查询!$A$42:$C$73,2,0)</f>
        <v>24q770101081</v>
      </c>
      <c r="E8" s="12">
        <v>80</v>
      </c>
      <c r="F8" s="12">
        <v>34</v>
      </c>
      <c r="G8" s="12">
        <v>32.5</v>
      </c>
      <c r="H8" s="12">
        <v>203</v>
      </c>
      <c r="I8" s="4" t="s"/>
      <c r="J8" s="4" t="s"/>
      <c r="K8" s="4" t="s"/>
      <c r="L8" s="4" t="s"/>
      <c r="M8" s="15" t="s"/>
      <c r="N8" s="4" t="s"/>
      <c r="O8" s="18" t="s"/>
      <c r="P8" s="18" t="s"/>
    </row>
    <row r="9" spans="1:16" ht="18.75">
      <c r="A9" s="4">
        <v>8</v>
      </c>
      <c r="B9" s="4" t="s">
        <v>1961</v>
      </c>
      <c r="C9" s="4">
        <v>2768</v>
      </c>
      <c r="D9" s="4" t="str">
        <f>=VLOOKUP(B9,[2]在校生综合信息查询!$A$42:$C$73,2,0)</f>
        <v>24q770101082</v>
      </c>
      <c r="E9" s="12">
        <v>53</v>
      </c>
      <c r="F9" s="12">
        <v>24</v>
      </c>
      <c r="G9" s="12">
        <v>46</v>
      </c>
      <c r="H9" s="12">
        <v>190</v>
      </c>
      <c r="I9" s="4" t="s"/>
      <c r="J9" s="4" t="s"/>
      <c r="K9" s="4" t="s"/>
      <c r="L9" s="4" t="s"/>
      <c r="M9" s="15" t="s"/>
      <c r="N9" s="4" t="s"/>
      <c r="O9" s="18" t="s"/>
      <c r="P9" s="18" t="s"/>
    </row>
    <row r="10" spans="1:16" ht="18.75">
      <c r="A10" s="4">
        <v>9</v>
      </c>
      <c r="B10" s="4" t="s">
        <v>1963</v>
      </c>
      <c r="C10" s="4">
        <v>2769</v>
      </c>
      <c r="D10" s="4" t="str">
        <f>=VLOOKUP(B10,[2]在校生综合信息查询!$A$42:$C$73,2,0)</f>
        <v>24q770101083</v>
      </c>
      <c r="E10" s="12">
        <v>65</v>
      </c>
      <c r="F10" s="12">
        <v>46</v>
      </c>
      <c r="G10" s="12">
        <v>42.6</v>
      </c>
      <c r="H10" s="80">
        <v>218</v>
      </c>
      <c r="I10" s="4" t="s"/>
      <c r="J10" s="4" t="s"/>
      <c r="K10" s="4" t="s"/>
      <c r="L10" s="4" t="s"/>
      <c r="M10" s="15" t="s"/>
      <c r="N10" s="4" t="s"/>
      <c r="O10" s="18" t="s"/>
      <c r="P10" s="18" t="s"/>
    </row>
    <row r="11" spans="1:16" ht="18.75">
      <c r="A11" s="4">
        <v>10</v>
      </c>
      <c r="B11" s="4" t="s">
        <v>1965</v>
      </c>
      <c r="C11" s="4">
        <v>2770</v>
      </c>
      <c r="D11" s="4" t="str">
        <f>=VLOOKUP(B11,[2]在校生综合信息查询!$A$42:$C$73,2,0)</f>
        <v>24q770101084</v>
      </c>
      <c r="E11" s="12">
        <v>66</v>
      </c>
      <c r="F11" s="12">
        <v>24</v>
      </c>
      <c r="G11" s="12">
        <v>78.5</v>
      </c>
      <c r="H11" s="12">
        <v>221</v>
      </c>
      <c r="I11" s="4" t="s"/>
      <c r="J11" s="4" t="s"/>
      <c r="K11" s="4" t="s"/>
      <c r="L11" s="4" t="s"/>
      <c r="M11" s="15" t="s"/>
      <c r="N11" s="4" t="s"/>
      <c r="O11" s="18" t="s"/>
      <c r="P11" s="18" t="s"/>
    </row>
    <row r="12" spans="1:16" ht="18.75">
      <c r="A12" s="4">
        <v>11</v>
      </c>
      <c r="B12" s="4" t="s">
        <v>1967</v>
      </c>
      <c r="C12" s="4">
        <v>2771</v>
      </c>
      <c r="D12" s="4" t="str">
        <f>=VLOOKUP(B12,[2]在校生综合信息查询!$A$42:$C$73,2,0)</f>
        <v>24q770101085</v>
      </c>
      <c r="E12" s="12">
        <v>52</v>
      </c>
      <c r="F12" s="12">
        <v>22</v>
      </c>
      <c r="G12" s="12">
        <v>76.5</v>
      </c>
      <c r="H12" s="12">
        <v>212</v>
      </c>
      <c r="I12" s="4" t="s"/>
      <c r="J12" s="4" t="s"/>
      <c r="K12" s="4" t="s"/>
      <c r="L12" s="4" t="s"/>
      <c r="M12" s="15" t="s"/>
      <c r="N12" s="4" t="s"/>
      <c r="O12" s="18" t="s"/>
      <c r="P12" s="18" t="s"/>
    </row>
    <row r="13" spans="1:16" ht="18.75">
      <c r="A13" s="4">
        <v>12</v>
      </c>
      <c r="B13" s="4" t="s">
        <v>1969</v>
      </c>
      <c r="C13" s="4">
        <v>2772</v>
      </c>
      <c r="D13" s="4" t="str">
        <f>=VLOOKUP(B13,[2]在校生综合信息查询!$A$42:$C$73,2,0)</f>
        <v>24q770101086</v>
      </c>
      <c r="E13" s="12">
        <v>54</v>
      </c>
      <c r="F13" s="12">
        <v>22</v>
      </c>
      <c r="G13" s="12">
        <v>57.5</v>
      </c>
      <c r="H13" s="12">
        <v>196</v>
      </c>
      <c r="I13" s="4" t="s"/>
      <c r="J13" s="4" t="s"/>
      <c r="K13" s="4" t="s"/>
      <c r="L13" s="4" t="s"/>
      <c r="M13" s="15" t="s"/>
      <c r="N13" s="4" t="s"/>
      <c r="O13" s="18" t="s"/>
      <c r="P13" s="18" t="s"/>
    </row>
    <row r="14" spans="1:16" ht="18.75">
      <c r="A14" s="4">
        <v>13</v>
      </c>
      <c r="B14" s="4" t="s">
        <v>37</v>
      </c>
      <c r="C14" s="4">
        <v>2773</v>
      </c>
      <c r="D14" s="4" t="str">
        <f>=VLOOKUP(B14,[2]在校生综合信息查询!$A$42:$C$73,2,0)</f>
        <v>24q770101088</v>
      </c>
      <c r="E14" s="12" t="s">
        <v>105</v>
      </c>
      <c r="F14" s="4" t="s"/>
      <c r="G14" s="4" t="s"/>
      <c r="H14" s="4" t="s"/>
      <c r="I14" s="4" t="s"/>
      <c r="J14" s="4" t="s"/>
      <c r="K14" s="4" t="s"/>
      <c r="L14" s="4" t="s"/>
      <c r="M14" s="15" t="s"/>
      <c r="N14" s="4" t="s"/>
      <c r="O14" s="18" t="s"/>
      <c r="P14" s="18" t="s"/>
    </row>
    <row r="15" spans="1:16" ht="18.75">
      <c r="A15" s="4">
        <v>14</v>
      </c>
      <c r="B15" s="4" t="s">
        <v>1972</v>
      </c>
      <c r="C15" s="4">
        <v>2774</v>
      </c>
      <c r="D15" s="4" t="str">
        <f>=VLOOKUP(B15,[2]在校生综合信息查询!$A$42:$C$73,2,0)</f>
        <v>24q770101089</v>
      </c>
      <c r="E15" s="12">
        <v>43</v>
      </c>
      <c r="F15" s="12">
        <v>18</v>
      </c>
      <c r="G15" s="12">
        <v>75</v>
      </c>
      <c r="H15" s="12">
        <v>192</v>
      </c>
      <c r="I15" s="4" t="s"/>
      <c r="J15" s="4" t="s"/>
      <c r="K15" s="4" t="s"/>
      <c r="L15" s="4" t="s"/>
      <c r="M15" s="15" t="s"/>
      <c r="N15" s="4" t="s"/>
      <c r="O15" s="18" t="s"/>
      <c r="P15" s="18" t="s"/>
    </row>
    <row r="16" spans="1:16" ht="18.75">
      <c r="A16" s="4">
        <v>15</v>
      </c>
      <c r="B16" s="4" t="s">
        <v>1974</v>
      </c>
      <c r="C16" s="4">
        <v>2775</v>
      </c>
      <c r="D16" s="4" t="str">
        <f>=VLOOKUP(B16,[2]在校生综合信息查询!$A$42:$C$73,2,0)</f>
        <v>24q770101090</v>
      </c>
      <c r="E16" s="12">
        <v>49</v>
      </c>
      <c r="F16" s="12">
        <v>12</v>
      </c>
      <c r="G16" s="12">
        <v>25</v>
      </c>
      <c r="H16" s="12">
        <v>168</v>
      </c>
      <c r="I16" s="4" t="s"/>
      <c r="J16" s="4" t="s"/>
      <c r="K16" s="4" t="s"/>
      <c r="L16" s="4" t="s"/>
      <c r="M16" s="15" t="s"/>
      <c r="N16" s="4" t="s"/>
      <c r="O16" s="18" t="s"/>
      <c r="P16" s="18" t="s"/>
    </row>
    <row r="17" spans="1:16" ht="18.75">
      <c r="A17" s="4">
        <v>16</v>
      </c>
      <c r="B17" s="4" t="s">
        <v>1976</v>
      </c>
      <c r="C17" s="4">
        <v>2776</v>
      </c>
      <c r="D17" s="4" t="str">
        <f>=VLOOKUP(B17,[2]在校生综合信息查询!$A$42:$C$73,2,0)</f>
        <v>24q770101091</v>
      </c>
      <c r="E17" s="12">
        <v>41</v>
      </c>
      <c r="F17" s="12">
        <v>64</v>
      </c>
      <c r="G17" s="12">
        <v>58.6</v>
      </c>
      <c r="H17" s="12">
        <v>167</v>
      </c>
      <c r="I17" s="4" t="s"/>
      <c r="J17" s="4" t="s"/>
      <c r="K17" s="4" t="s"/>
      <c r="L17" s="4" t="s"/>
      <c r="M17" s="15" t="s"/>
      <c r="N17" s="4" t="s"/>
      <c r="O17" s="18" t="s"/>
      <c r="P17" s="18" t="s"/>
    </row>
    <row r="18" spans="1:16" ht="18.75">
      <c r="A18" s="4">
        <v>17</v>
      </c>
      <c r="B18" s="4" t="s">
        <v>1978</v>
      </c>
      <c r="C18" s="4">
        <v>2791</v>
      </c>
      <c r="D18" s="4" t="str">
        <f>=VLOOKUP(B18,[2]在校生综合信息查询!$A$42:$C$73,2,0)</f>
        <v>20240808</v>
      </c>
      <c r="E18" s="12">
        <v>37</v>
      </c>
      <c r="F18" s="12">
        <v>16</v>
      </c>
      <c r="G18" s="12">
        <v>25</v>
      </c>
      <c r="H18" s="12">
        <v>142</v>
      </c>
      <c r="I18" s="4" t="s"/>
      <c r="J18" s="4" t="s"/>
      <c r="K18" s="4" t="s"/>
      <c r="L18" s="4" t="s"/>
      <c r="M18" s="15" t="s"/>
      <c r="N18" s="4" t="s"/>
      <c r="O18" s="18" t="s"/>
      <c r="P18" s="18" t="s"/>
    </row>
    <row r="19" spans="1:16" ht="18.75">
      <c r="A19" s="4">
        <v>18</v>
      </c>
      <c r="B19" s="4" t="s">
        <v>1980</v>
      </c>
      <c r="C19" s="4">
        <v>2792</v>
      </c>
      <c r="D19" s="4" t="str">
        <f>=VLOOKUP(B19,[2]在校生综合信息查询!$A$42:$C$73,2,0)</f>
        <v>24q7701010721</v>
      </c>
      <c r="E19" s="12">
        <v>60</v>
      </c>
      <c r="F19" s="12">
        <v>20</v>
      </c>
      <c r="G19" s="12">
        <v>66</v>
      </c>
      <c r="H19" s="12">
        <v>213</v>
      </c>
      <c r="I19" s="4" t="s"/>
      <c r="J19" s="4" t="s"/>
      <c r="K19" s="4" t="s"/>
      <c r="L19" s="4" t="s"/>
      <c r="M19" s="15" t="s"/>
      <c r="N19" s="4" t="s"/>
      <c r="O19" s="18" t="s"/>
      <c r="P19" s="18" t="s"/>
    </row>
    <row r="20" spans="1:16" ht="18.75">
      <c r="A20" s="4">
        <v>19</v>
      </c>
      <c r="B20" s="4" t="s">
        <v>1982</v>
      </c>
      <c r="C20" s="4">
        <v>2777</v>
      </c>
      <c r="D20" s="4" t="str">
        <f>=VLOOKUP(B20,[2]在校生综合信息查询!$A$42:$C$73,2,0)</f>
        <v>24q770101092</v>
      </c>
      <c r="E20" s="12">
        <v>47</v>
      </c>
      <c r="F20" s="12">
        <v>24</v>
      </c>
      <c r="G20" s="12">
        <v>50</v>
      </c>
      <c r="H20" s="12">
        <v>205</v>
      </c>
      <c r="I20" s="4" t="s"/>
      <c r="J20" s="4" t="s"/>
      <c r="K20" s="4" t="s"/>
      <c r="L20" s="4" t="s"/>
      <c r="M20" s="15" t="s"/>
      <c r="N20" s="4" t="s"/>
      <c r="O20" s="18" t="s"/>
      <c r="P20" s="18" t="s"/>
    </row>
    <row r="21" spans="1:16" ht="18.75">
      <c r="A21" s="4">
        <v>20</v>
      </c>
      <c r="B21" s="4" t="s">
        <v>1984</v>
      </c>
      <c r="C21" s="4">
        <v>2778</v>
      </c>
      <c r="D21" s="4" t="str">
        <f>=VLOOKUP(B21,[2]在校生综合信息查询!$A$42:$C$73,2,0)</f>
        <v>24q770101093</v>
      </c>
      <c r="E21" s="12">
        <v>50</v>
      </c>
      <c r="F21" s="12">
        <v>19</v>
      </c>
      <c r="G21" s="12">
        <v>46.5</v>
      </c>
      <c r="H21" s="12">
        <v>166</v>
      </c>
      <c r="I21" s="4" t="s"/>
      <c r="J21" s="4" t="s"/>
      <c r="K21" s="4" t="s"/>
      <c r="L21" s="4" t="s"/>
      <c r="M21" s="15" t="s"/>
      <c r="N21" s="4" t="s"/>
      <c r="O21" s="18" t="s"/>
      <c r="P21" s="18" t="s"/>
    </row>
    <row r="22" spans="1:16" ht="18.75">
      <c r="A22" s="4">
        <v>21</v>
      </c>
      <c r="B22" s="4" t="s">
        <v>1986</v>
      </c>
      <c r="C22" s="4">
        <v>2779</v>
      </c>
      <c r="D22" s="4" t="str">
        <f>=VLOOKUP(B22,[2]在校生综合信息查询!$A$42:$C$73,2,0)</f>
        <v>24q770101094</v>
      </c>
      <c r="E22" s="12">
        <v>57</v>
      </c>
      <c r="F22" s="12">
        <v>16</v>
      </c>
      <c r="G22" s="12">
        <v>56</v>
      </c>
      <c r="H22" s="12">
        <v>162</v>
      </c>
      <c r="I22" s="4" t="s"/>
      <c r="J22" s="4" t="s"/>
      <c r="K22" s="4" t="s"/>
      <c r="L22" s="4" t="s"/>
      <c r="M22" s="15" t="s"/>
      <c r="N22" s="4" t="s"/>
      <c r="O22" s="18" t="s"/>
      <c r="P22" s="18" t="s"/>
    </row>
    <row r="23" spans="1:16" ht="18.75">
      <c r="A23" s="4">
        <v>22</v>
      </c>
      <c r="B23" s="4" t="s">
        <v>1988</v>
      </c>
      <c r="C23" s="4">
        <v>2780</v>
      </c>
      <c r="D23" s="4" t="str">
        <f>=VLOOKUP(B23,[2]在校生综合信息查询!$A$42:$C$73,2,0)</f>
        <v>24q770101095</v>
      </c>
      <c r="E23" s="12">
        <v>52</v>
      </c>
      <c r="F23" s="12">
        <v>12</v>
      </c>
      <c r="G23" s="12">
        <v>39.5</v>
      </c>
      <c r="H23" s="12">
        <v>182</v>
      </c>
      <c r="I23" s="4" t="s"/>
      <c r="J23" s="4" t="s"/>
      <c r="K23" s="4" t="s"/>
      <c r="L23" s="4" t="s"/>
      <c r="M23" s="15" t="s"/>
      <c r="N23" s="4" t="s"/>
      <c r="O23" s="18" t="s"/>
      <c r="P23" s="18" t="s"/>
    </row>
    <row r="24" spans="1:16" ht="18.75">
      <c r="A24" s="4">
        <v>23</v>
      </c>
      <c r="B24" s="4" t="s">
        <v>1990</v>
      </c>
      <c r="C24" s="4">
        <v>2781</v>
      </c>
      <c r="D24" s="4" t="str">
        <f>=VLOOKUP(B24,[2]在校生综合信息查询!$A$42:$C$73,2,0)</f>
        <v>24q770101097</v>
      </c>
      <c r="E24" s="12">
        <v>39</v>
      </c>
      <c r="F24" s="12">
        <v>42</v>
      </c>
      <c r="G24" s="12">
        <v>55</v>
      </c>
      <c r="H24" s="12">
        <v>237</v>
      </c>
      <c r="I24" s="4" t="s"/>
      <c r="J24" s="4" t="s"/>
      <c r="K24" s="4" t="s"/>
      <c r="L24" s="4" t="s"/>
      <c r="M24" s="15" t="s"/>
      <c r="N24" s="4" t="s"/>
      <c r="O24" s="18" t="s"/>
      <c r="P24" s="18" t="s"/>
    </row>
    <row r="25" spans="1:16" ht="18.75">
      <c r="A25" s="4">
        <v>24</v>
      </c>
      <c r="B25" s="4" t="s">
        <v>1992</v>
      </c>
      <c r="C25" s="4">
        <v>2782</v>
      </c>
      <c r="D25" s="4" t="str">
        <f>=VLOOKUP(B25,[2]在校生综合信息查询!$A$42:$C$73,2,0)</f>
        <v>24q770101099</v>
      </c>
      <c r="E25" s="12">
        <v>37</v>
      </c>
      <c r="F25" s="12">
        <v>32</v>
      </c>
      <c r="G25" s="12">
        <v>62</v>
      </c>
      <c r="H25" s="12">
        <v>208</v>
      </c>
      <c r="I25" s="4" t="s"/>
      <c r="J25" s="4" t="s"/>
      <c r="K25" s="4" t="s"/>
      <c r="L25" s="4" t="s"/>
      <c r="M25" s="15" t="s"/>
      <c r="N25" s="4" t="s"/>
      <c r="O25" s="18" t="s"/>
      <c r="P25" s="18" t="s"/>
    </row>
    <row r="26" spans="1:16" ht="18.75">
      <c r="A26" s="4">
        <v>25</v>
      </c>
      <c r="B26" s="4" t="s">
        <v>1994</v>
      </c>
      <c r="C26" s="4">
        <v>2783</v>
      </c>
      <c r="D26" s="4" t="str">
        <f>=VLOOKUP(B26,[2]在校生综合信息查询!$A$42:$C$73,2,0)</f>
        <v>24q770101100</v>
      </c>
      <c r="E26" s="12">
        <v>43</v>
      </c>
      <c r="F26" s="12">
        <v>20</v>
      </c>
      <c r="G26" s="12">
        <v>34.5</v>
      </c>
      <c r="H26" s="12">
        <v>146</v>
      </c>
      <c r="I26" s="4" t="s"/>
      <c r="J26" s="4" t="s"/>
      <c r="K26" s="4" t="s"/>
      <c r="L26" s="4" t="s"/>
      <c r="M26" s="15" t="s"/>
      <c r="N26" s="4" t="s"/>
      <c r="O26" s="18" t="s"/>
      <c r="P26" s="18" t="s"/>
    </row>
    <row r="27" spans="1:16" ht="18.75">
      <c r="A27" s="4">
        <v>26</v>
      </c>
      <c r="B27" s="4" t="s">
        <v>1996</v>
      </c>
      <c r="C27" s="4">
        <v>2784</v>
      </c>
      <c r="D27" s="4" t="str">
        <f>=VLOOKUP(B27,[2]在校生综合信息查询!$A$42:$C$73,2,0)</f>
        <v>24q770101101</v>
      </c>
      <c r="E27" s="12">
        <v>38</v>
      </c>
      <c r="F27" s="12">
        <v>16</v>
      </c>
      <c r="G27" s="12">
        <v>57.5</v>
      </c>
      <c r="H27" s="12">
        <v>169</v>
      </c>
      <c r="I27" s="4" t="s"/>
      <c r="J27" s="4" t="s"/>
      <c r="K27" s="4" t="s"/>
      <c r="L27" s="4" t="s"/>
      <c r="M27" s="15" t="s"/>
      <c r="N27" s="4" t="s"/>
      <c r="O27" s="18" t="s"/>
      <c r="P27" s="18" t="s"/>
    </row>
    <row r="28" spans="1:16" ht="18.75">
      <c r="A28" s="4">
        <v>27</v>
      </c>
      <c r="B28" s="4" t="s">
        <v>1998</v>
      </c>
      <c r="C28" s="4">
        <v>2785</v>
      </c>
      <c r="D28" s="4" t="str">
        <f>=VLOOKUP(B28,[2]在校生综合信息查询!$A$42:$C$73,2,0)</f>
        <v>24q770101102</v>
      </c>
      <c r="E28" s="12">
        <v>36</v>
      </c>
      <c r="F28" s="12">
        <v>12</v>
      </c>
      <c r="G28" s="12">
        <v>29.5</v>
      </c>
      <c r="H28" s="12">
        <v>137</v>
      </c>
      <c r="I28" s="4" t="s"/>
      <c r="J28" s="4" t="s"/>
      <c r="K28" s="4" t="s"/>
      <c r="L28" s="4" t="s"/>
      <c r="M28" s="4" t="s"/>
      <c r="N28" s="4" t="s"/>
      <c r="O28" s="18" t="s"/>
      <c r="P28" s="18" t="s"/>
    </row>
    <row r="29" spans="1:16" ht="18.75">
      <c r="A29" s="4">
        <v>28</v>
      </c>
      <c r="B29" s="4" t="s">
        <v>2000</v>
      </c>
      <c r="C29" s="4">
        <v>2786</v>
      </c>
      <c r="D29" s="4" t="str">
        <f>=VLOOKUP(B29,[2]在校生综合信息查询!$A$42:$C$73,2,0)</f>
        <v>24q770101103</v>
      </c>
      <c r="E29" s="12">
        <v>51</v>
      </c>
      <c r="F29" s="12">
        <v>26</v>
      </c>
      <c r="G29" s="12">
        <v>52.5</v>
      </c>
      <c r="H29" s="12">
        <v>195</v>
      </c>
      <c r="I29" s="4" t="s"/>
      <c r="J29" s="4" t="s"/>
      <c r="K29" s="4" t="s"/>
      <c r="L29" s="4" t="s"/>
      <c r="M29" s="4" t="s"/>
      <c r="N29" s="4" t="s"/>
      <c r="O29" s="18" t="s"/>
      <c r="P29" s="18" t="s"/>
    </row>
    <row r="30" spans="1:16" ht="18.75">
      <c r="A30" s="4">
        <v>29</v>
      </c>
      <c r="B30" s="4" t="s">
        <v>2002</v>
      </c>
      <c r="C30" s="4">
        <v>2787</v>
      </c>
      <c r="D30" s="4" t="str">
        <f>=VLOOKUP(B30,[2]在校生综合信息查询!$A$42:$C$73,2,0)</f>
        <v>24q770101104</v>
      </c>
      <c r="E30" s="12">
        <v>54</v>
      </c>
      <c r="F30" s="12">
        <v>49</v>
      </c>
      <c r="G30" s="12">
        <v>52</v>
      </c>
      <c r="H30" s="12">
        <v>224</v>
      </c>
      <c r="I30" s="4" t="s"/>
      <c r="J30" s="4" t="s"/>
      <c r="K30" s="4" t="s"/>
      <c r="L30" s="4" t="s"/>
      <c r="M30" s="4" t="s"/>
      <c r="N30" s="4" t="s"/>
      <c r="O30" s="18" t="s"/>
      <c r="P30" s="18" t="s"/>
    </row>
    <row r="31" spans="1:16" ht="18.75">
      <c r="A31" s="4">
        <v>30</v>
      </c>
      <c r="B31" s="4" t="s">
        <v>2004</v>
      </c>
      <c r="C31" s="4">
        <v>2788</v>
      </c>
      <c r="D31" s="4" t="str">
        <f>=VLOOKUP(B31,[2]在校生综合信息查询!$A$42:$C$73,2,0)</f>
        <v>24q770101105</v>
      </c>
      <c r="E31" s="6">
        <v>50</v>
      </c>
      <c r="F31" s="6">
        <v>24</v>
      </c>
      <c r="G31" s="6">
        <v>50.5</v>
      </c>
      <c r="H31" s="6">
        <v>163</v>
      </c>
      <c r="I31" s="5" t="s"/>
      <c r="J31" s="5" t="s"/>
      <c r="K31" s="5" t="s"/>
      <c r="L31" s="5" t="s"/>
      <c r="M31" s="5" t="s"/>
      <c r="N31" s="5" t="s"/>
      <c r="O31" s="18" t="s"/>
      <c r="P31" s="18" t="s"/>
    </row>
    <row r="32" spans="1:16" ht="18.75">
      <c r="A32" s="4">
        <v>31</v>
      </c>
      <c r="B32" s="4" t="s">
        <v>2006</v>
      </c>
      <c r="C32" s="4">
        <v>2789</v>
      </c>
      <c r="D32" s="4" t="str">
        <f>=VLOOKUP(B32,[2]在校生综合信息查询!$A$42:$C$73,2,0)</f>
        <v>24q770101106</v>
      </c>
      <c r="E32" s="6">
        <v>51</v>
      </c>
      <c r="F32" s="6">
        <v>26</v>
      </c>
      <c r="G32" s="6">
        <v>27.5</v>
      </c>
      <c r="H32" s="6">
        <v>182</v>
      </c>
      <c r="I32" s="5" t="s"/>
      <c r="J32" s="5" t="s"/>
      <c r="K32" s="5" t="s"/>
      <c r="L32" s="5" t="s"/>
      <c r="M32" s="5" t="s"/>
      <c r="N32" s="5" t="s"/>
      <c r="O32" s="18" t="s"/>
      <c r="P32" s="18" t="s"/>
    </row>
    <row r="33" spans="1:16" ht="18.75">
      <c r="A33" s="4">
        <v>32</v>
      </c>
      <c r="B33" s="4" t="s">
        <v>2008</v>
      </c>
      <c r="C33" s="4">
        <v>2790</v>
      </c>
      <c r="D33" s="4" t="str">
        <f>=VLOOKUP(B33,[2]在校生综合信息查询!$A$42:$C$73,2,0)</f>
        <v>24q770101107</v>
      </c>
      <c r="E33" s="6">
        <v>63</v>
      </c>
      <c r="F33" s="6">
        <v>36</v>
      </c>
      <c r="G33" s="6">
        <v>46.5</v>
      </c>
      <c r="H33" s="6">
        <v>174</v>
      </c>
      <c r="I33" s="5" t="s"/>
      <c r="J33" s="5" t="s"/>
      <c r="K33" s="5" t="s"/>
      <c r="L33" s="5" t="s"/>
      <c r="M33" s="5" t="s"/>
      <c r="N33" s="5" t="s"/>
      <c r="O33" s="18" t="s"/>
      <c r="P33" s="18" t="s"/>
    </row>
    <row r="34" spans="2:2">
      <c r="B34" s="8" t="s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/>
  <dimension ref="L47"/>
  <sheetViews>
    <sheetView showGridLines="1" topLeftCell="A25" workbookViewId="0"/>
  </sheetViews>
  <sheetFormatPr defaultColWidth="8.75" defaultRowHeight="14.25"/>
  <cols>
    <col min="1" max="1" width="8.75" style="122"/>
    <col min="2" max="2" width="7.75" style="123"/>
    <col min="3" max="3" width="13.75" style="123" hidden="1" customWidth="1"/>
    <col min="4" max="4" width="20.625" style="123" customWidth="1"/>
    <col min="5" max="7" width="8.75" style="123"/>
    <col min="8" max="8" width="28.25" customWidth="1"/>
    <col min="9" max="9" width="29" customWidth="1"/>
    <col min="10" max="10" width="22.6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143</v>
      </c>
      <c r="I1" s="4" t="s">
        <v>144</v>
      </c>
      <c r="J1" s="4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2010</v>
      </c>
      <c r="C2" s="4">
        <v>2448</v>
      </c>
      <c r="D2" s="4" t="str">
        <f>=VLOOKUP(B2,[2]在校生综合信息查询!$A$88:$C$131,2,0)</f>
        <v>24q710103352</v>
      </c>
      <c r="E2" s="7">
        <v>55</v>
      </c>
      <c r="F2" s="7">
        <v>32</v>
      </c>
      <c r="G2" s="7">
        <v>27.5</v>
      </c>
      <c r="H2" s="12">
        <v>58</v>
      </c>
      <c r="I2" s="12">
        <v>57</v>
      </c>
      <c r="J2" s="12">
        <v>44</v>
      </c>
      <c r="K2" s="6">
        <f>=SUM(E2:J2)</f>
        <v>273.5</v>
      </c>
      <c r="L2" s="5" t="s"/>
    </row>
    <row r="3" spans="1:12" ht="18.75">
      <c r="A3" s="4">
        <v>2</v>
      </c>
      <c r="B3" s="4" t="s">
        <v>2012</v>
      </c>
      <c r="C3" s="4">
        <v>2449</v>
      </c>
      <c r="D3" s="4" t="str">
        <f>=VLOOKUP(B3,[2]在校生综合信息查询!$A$88:$C$131,2,0)</f>
        <v>24q710103353</v>
      </c>
      <c r="E3" s="7">
        <v>35</v>
      </c>
      <c r="F3" s="7">
        <v>12</v>
      </c>
      <c r="G3" s="7">
        <v>14</v>
      </c>
      <c r="H3" s="12">
        <v>80</v>
      </c>
      <c r="I3" s="12">
        <v>65</v>
      </c>
      <c r="J3" s="12">
        <v>85</v>
      </c>
      <c r="K3" s="6">
        <f>=SUM(E3:J3)</f>
        <v>291</v>
      </c>
      <c r="L3" s="5" t="s"/>
    </row>
    <row r="4" spans="1:12" ht="18.75">
      <c r="A4" s="4">
        <v>3</v>
      </c>
      <c r="B4" s="4" t="s">
        <v>2014</v>
      </c>
      <c r="C4" s="4">
        <v>2450</v>
      </c>
      <c r="D4" s="4" t="str">
        <f>=VLOOKUP(B4,[2]在校生综合信息查询!$A$88:$C$131,2,0)</f>
        <v>24q710103354</v>
      </c>
      <c r="E4" s="7">
        <v>9</v>
      </c>
      <c r="F4" s="7">
        <v>12</v>
      </c>
      <c r="G4" s="7">
        <v>26</v>
      </c>
      <c r="H4" s="12">
        <v>14</v>
      </c>
      <c r="I4" s="12">
        <v>19</v>
      </c>
      <c r="J4" s="12">
        <v>8</v>
      </c>
      <c r="K4" s="5">
        <f>=SUM(E4:J4)</f>
        <v>88</v>
      </c>
      <c r="L4" s="5" t="s"/>
    </row>
    <row r="5" spans="1:12" ht="18.75">
      <c r="A5" s="4">
        <v>4</v>
      </c>
      <c r="B5" s="4" t="s">
        <v>2016</v>
      </c>
      <c r="C5" s="4">
        <v>2451</v>
      </c>
      <c r="D5" s="4" t="str">
        <f>=VLOOKUP(B5,[2]在校生综合信息查询!$A$88:$C$131,2,0)</f>
        <v>24q710103355</v>
      </c>
      <c r="E5" s="7">
        <v>9</v>
      </c>
      <c r="F5" s="7">
        <v>20</v>
      </c>
      <c r="G5" s="7">
        <v>18.5</v>
      </c>
      <c r="H5" s="12">
        <v>24</v>
      </c>
      <c r="I5" s="12">
        <v>22</v>
      </c>
      <c r="J5" s="12">
        <v>23</v>
      </c>
      <c r="K5" s="5">
        <f>=SUM(E5:J5)</f>
        <v>116.5</v>
      </c>
      <c r="L5" s="5" t="s"/>
    </row>
    <row r="6" spans="1:12" ht="18.75">
      <c r="A6" s="4">
        <v>5</v>
      </c>
      <c r="B6" s="4" t="s">
        <v>2018</v>
      </c>
      <c r="C6" s="4">
        <v>2452</v>
      </c>
      <c r="D6" s="4" t="str">
        <f>=VLOOKUP(B6,[2]在校生综合信息查询!$A$88:$C$131,2,0)</f>
        <v>24q710103356</v>
      </c>
      <c r="E6" s="7">
        <v>6</v>
      </c>
      <c r="F6" s="7">
        <v>20</v>
      </c>
      <c r="G6" s="7">
        <v>14</v>
      </c>
      <c r="H6" s="12">
        <v>30</v>
      </c>
      <c r="I6" s="12">
        <v>11</v>
      </c>
      <c r="J6" s="12">
        <v>14</v>
      </c>
      <c r="K6" s="5">
        <f>=SUM(E6:J6)</f>
        <v>95</v>
      </c>
      <c r="L6" s="5" t="s"/>
    </row>
    <row r="7" spans="1:12" ht="18.75">
      <c r="A7" s="4">
        <v>6</v>
      </c>
      <c r="B7" s="4" t="s">
        <v>2020</v>
      </c>
      <c r="C7" s="4">
        <v>2453</v>
      </c>
      <c r="D7" s="4" t="str">
        <f>=VLOOKUP(B7,[2]在校生综合信息查询!$A$88:$C$131,2,0)</f>
        <v>24q710103357</v>
      </c>
      <c r="E7" s="7">
        <v>15</v>
      </c>
      <c r="F7" s="7">
        <v>12</v>
      </c>
      <c r="G7" s="7">
        <v>19</v>
      </c>
      <c r="H7" s="12">
        <v>19</v>
      </c>
      <c r="I7" s="12">
        <v>11</v>
      </c>
      <c r="J7" s="12">
        <v>15</v>
      </c>
      <c r="K7" s="5">
        <f>=SUM(E7:J7)</f>
        <v>91</v>
      </c>
      <c r="L7" s="5" t="s"/>
    </row>
    <row r="8" spans="1:12" ht="18.75">
      <c r="A8" s="4">
        <v>7</v>
      </c>
      <c r="B8" s="4" t="s">
        <v>2022</v>
      </c>
      <c r="C8" s="4">
        <v>2490</v>
      </c>
      <c r="D8" s="4" t="str">
        <f>=VLOOKUP(B8,[2]在校生综合信息查询!$A$88:$C$131,2,0)</f>
        <v>24q710103844</v>
      </c>
      <c r="E8" s="7">
        <v>9</v>
      </c>
      <c r="F8" s="7">
        <v>8</v>
      </c>
      <c r="G8" s="7">
        <v>20.5</v>
      </c>
      <c r="H8" s="12">
        <v>12</v>
      </c>
      <c r="I8" s="12">
        <v>18</v>
      </c>
      <c r="J8" s="12">
        <v>11</v>
      </c>
      <c r="K8" s="5">
        <f>=SUM(E8:J8)</f>
        <v>78.5</v>
      </c>
      <c r="L8" s="5" t="s"/>
    </row>
    <row r="9" spans="1:12" ht="18.75">
      <c r="A9" s="4">
        <v>8</v>
      </c>
      <c r="B9" s="4" t="s">
        <v>2024</v>
      </c>
      <c r="C9" s="4">
        <v>2454</v>
      </c>
      <c r="D9" s="4" t="str">
        <f>=VLOOKUP(B9,[2]在校生综合信息查询!$A$88:$C$131,2,0)</f>
        <v>24q710103358</v>
      </c>
      <c r="E9" s="7">
        <v>3</v>
      </c>
      <c r="F9" s="7">
        <v>16</v>
      </c>
      <c r="G9" s="7">
        <v>19.5</v>
      </c>
      <c r="H9" s="12">
        <v>15</v>
      </c>
      <c r="I9" s="12">
        <v>14</v>
      </c>
      <c r="J9" s="12">
        <v>19</v>
      </c>
      <c r="K9" s="5">
        <f>=SUM(E9:J9)</f>
        <v>86.5</v>
      </c>
      <c r="L9" s="5" t="s"/>
    </row>
    <row r="10" spans="1:12" ht="18.75">
      <c r="A10" s="4">
        <v>9</v>
      </c>
      <c r="B10" s="4" t="s">
        <v>2026</v>
      </c>
      <c r="C10" s="4">
        <v>2455</v>
      </c>
      <c r="D10" s="4" t="str">
        <f>=VLOOKUP(B10,[2]在校生综合信息查询!$A$88:$C$131,2,0)</f>
        <v>24q710103359</v>
      </c>
      <c r="E10" s="7">
        <v>17</v>
      </c>
      <c r="F10" s="7">
        <v>16</v>
      </c>
      <c r="G10" s="7">
        <v>21.5</v>
      </c>
      <c r="H10" s="12">
        <v>29</v>
      </c>
      <c r="I10" s="12">
        <v>18</v>
      </c>
      <c r="J10" s="12">
        <v>23</v>
      </c>
      <c r="K10" s="5">
        <f>=SUM(E10:J10)</f>
        <v>124.5</v>
      </c>
      <c r="L10" s="5" t="s"/>
    </row>
    <row r="11" spans="1:12" ht="18.75">
      <c r="A11" s="4">
        <v>10</v>
      </c>
      <c r="B11" s="4" t="s">
        <v>2028</v>
      </c>
      <c r="C11" s="4">
        <v>2456</v>
      </c>
      <c r="D11" s="4" t="str">
        <f>=VLOOKUP(B11,[2]在校生综合信息查询!$A$88:$C$131,2,0)</f>
        <v>24q710103361</v>
      </c>
      <c r="E11" s="7">
        <v>0</v>
      </c>
      <c r="F11" s="7">
        <v>0</v>
      </c>
      <c r="G11" s="7">
        <v>0</v>
      </c>
      <c r="H11" s="12">
        <v>0</v>
      </c>
      <c r="I11" s="12">
        <v>0</v>
      </c>
      <c r="J11" s="12">
        <v>0</v>
      </c>
      <c r="K11" s="5">
        <f>=SUM(E11:J11)</f>
        <v>0</v>
      </c>
      <c r="L11" s="5" t="s"/>
    </row>
    <row r="12" spans="1:12" ht="18.75">
      <c r="A12" s="4">
        <v>11</v>
      </c>
      <c r="B12" s="4" t="s">
        <v>2030</v>
      </c>
      <c r="C12" s="4">
        <v>2457</v>
      </c>
      <c r="D12" s="4" t="str">
        <f>=VLOOKUP(B12,[2]在校生综合信息查询!$A$88:$C$131,2,0)</f>
        <v>24q710103362</v>
      </c>
      <c r="E12" s="7">
        <v>24</v>
      </c>
      <c r="F12" s="7">
        <v>16</v>
      </c>
      <c r="G12" s="7">
        <v>16.5</v>
      </c>
      <c r="H12" s="12">
        <v>14</v>
      </c>
      <c r="I12" s="12">
        <v>18</v>
      </c>
      <c r="J12" s="12">
        <v>11</v>
      </c>
      <c r="K12" s="5">
        <f>=SUM(E12:J12)</f>
        <v>99.5</v>
      </c>
      <c r="L12" s="5" t="s"/>
    </row>
    <row r="13" spans="1:12" ht="18.75">
      <c r="A13" s="4">
        <v>12</v>
      </c>
      <c r="B13" s="4" t="s">
        <v>2032</v>
      </c>
      <c r="C13" s="4">
        <v>2458</v>
      </c>
      <c r="D13" s="4" t="str">
        <f>=VLOOKUP(B13,[2]在校生综合信息查询!$A$88:$C$131,2,0)</f>
        <v>24q710103363</v>
      </c>
      <c r="E13" s="7">
        <v>12</v>
      </c>
      <c r="F13" s="7">
        <v>0</v>
      </c>
      <c r="G13" s="7">
        <v>0</v>
      </c>
      <c r="H13" s="12">
        <v>0</v>
      </c>
      <c r="I13" s="12">
        <v>0</v>
      </c>
      <c r="J13" s="12">
        <v>0</v>
      </c>
      <c r="K13" s="5">
        <f>=SUM(E13:J13)</f>
        <v>12</v>
      </c>
      <c r="L13" s="5" t="s"/>
    </row>
    <row r="14" spans="1:12" ht="18.75">
      <c r="A14" s="4">
        <v>13</v>
      </c>
      <c r="B14" s="4" t="s">
        <v>2034</v>
      </c>
      <c r="C14" s="4">
        <v>2459</v>
      </c>
      <c r="D14" s="4" t="str">
        <f>=VLOOKUP(B14,[2]在校生综合信息查询!$A$88:$C$131,2,0)</f>
        <v>24q710103364</v>
      </c>
      <c r="E14" s="7">
        <v>24</v>
      </c>
      <c r="F14" s="7">
        <v>16</v>
      </c>
      <c r="G14" s="7">
        <v>20</v>
      </c>
      <c r="H14" s="12">
        <v>27</v>
      </c>
      <c r="I14" s="12">
        <v>12</v>
      </c>
      <c r="J14" s="12">
        <v>10</v>
      </c>
      <c r="K14" s="5">
        <f>=SUM(E14:J14)</f>
        <v>109</v>
      </c>
      <c r="L14" s="5" t="s"/>
    </row>
    <row r="15" spans="1:12" ht="18.75">
      <c r="A15" s="4">
        <v>14</v>
      </c>
      <c r="B15" s="4" t="s">
        <v>2036</v>
      </c>
      <c r="C15" s="4">
        <v>2460</v>
      </c>
      <c r="D15" s="4" t="str">
        <f>=VLOOKUP(B15,[2]在校生综合信息查询!$A$88:$C$131,2,0)</f>
        <v>24q710103365</v>
      </c>
      <c r="E15" s="7">
        <v>12</v>
      </c>
      <c r="F15" s="7">
        <v>4</v>
      </c>
      <c r="G15" s="7">
        <v>15.5</v>
      </c>
      <c r="H15" s="12">
        <v>17</v>
      </c>
      <c r="I15" s="12">
        <v>6</v>
      </c>
      <c r="J15" s="12">
        <v>15</v>
      </c>
      <c r="K15" s="5">
        <f>=SUM(E15:J15)</f>
        <v>69.5</v>
      </c>
      <c r="L15" s="5" t="s"/>
    </row>
    <row r="16" spans="1:12" ht="18.75">
      <c r="A16" s="4">
        <v>15</v>
      </c>
      <c r="B16" s="4" t="s">
        <v>2038</v>
      </c>
      <c r="C16" s="4">
        <v>2461</v>
      </c>
      <c r="D16" s="4" t="str">
        <f>=VLOOKUP(B16,[2]在校生综合信息查询!$A$88:$C$131,2,0)</f>
        <v>24q710103366</v>
      </c>
      <c r="E16" s="7">
        <v>11</v>
      </c>
      <c r="F16" s="7">
        <v>16</v>
      </c>
      <c r="G16" s="7">
        <v>35</v>
      </c>
      <c r="H16" s="12">
        <v>10</v>
      </c>
      <c r="I16" s="12">
        <v>7</v>
      </c>
      <c r="J16" s="12">
        <v>10</v>
      </c>
      <c r="K16" s="5">
        <f>=SUM(E16:J16)</f>
        <v>89</v>
      </c>
      <c r="L16" s="5" t="s"/>
    </row>
    <row r="17" spans="1:12" ht="18.75">
      <c r="A17" s="4">
        <v>16</v>
      </c>
      <c r="B17" s="4" t="s">
        <v>2040</v>
      </c>
      <c r="C17" s="4">
        <v>2462</v>
      </c>
      <c r="D17" s="4" t="str">
        <f>=VLOOKUP(B17,[2]在校生综合信息查询!$A$88:$C$131,2,0)</f>
        <v>24q710103367</v>
      </c>
      <c r="E17" s="7">
        <v>32</v>
      </c>
      <c r="F17" s="7">
        <v>16</v>
      </c>
      <c r="G17" s="7">
        <v>22.5</v>
      </c>
      <c r="H17" s="12">
        <v>6</v>
      </c>
      <c r="I17" s="12">
        <v>37</v>
      </c>
      <c r="J17" s="12">
        <v>35</v>
      </c>
      <c r="K17" s="5">
        <f>=SUM(E17:J17)</f>
        <v>148.5</v>
      </c>
      <c r="L17" s="5" t="s"/>
    </row>
    <row r="18" spans="1:12" ht="18.75">
      <c r="A18" s="4">
        <v>17</v>
      </c>
      <c r="B18" s="4" t="s">
        <v>2042</v>
      </c>
      <c r="C18" s="4">
        <v>2463</v>
      </c>
      <c r="D18" s="4" t="str">
        <f>=VLOOKUP(B18,[2]在校生综合信息查询!$A$88:$C$131,2,0)</f>
        <v>24q710103369</v>
      </c>
      <c r="E18" s="7">
        <v>3</v>
      </c>
      <c r="F18" s="7">
        <v>24</v>
      </c>
      <c r="G18" s="7">
        <v>22.5</v>
      </c>
      <c r="H18" s="12">
        <v>21</v>
      </c>
      <c r="I18" s="12">
        <v>9</v>
      </c>
      <c r="J18" s="12">
        <v>19</v>
      </c>
      <c r="K18" s="5">
        <f>=SUM(E18:J18)</f>
        <v>98.5</v>
      </c>
      <c r="L18" s="5" t="s"/>
    </row>
    <row r="19" spans="1:12" ht="18.75">
      <c r="A19" s="4">
        <v>18</v>
      </c>
      <c r="B19" s="4" t="s">
        <v>2044</v>
      </c>
      <c r="C19" s="4">
        <v>2464</v>
      </c>
      <c r="D19" s="4" t="str">
        <f>=VLOOKUP(B19,[2]在校生综合信息查询!$A$88:$C$131,2,0)</f>
        <v>24q710103370</v>
      </c>
      <c r="E19" s="7">
        <v>10</v>
      </c>
      <c r="F19" s="7">
        <v>12</v>
      </c>
      <c r="G19" s="7">
        <v>24.5</v>
      </c>
      <c r="H19" s="12">
        <v>15</v>
      </c>
      <c r="I19" s="12">
        <v>4</v>
      </c>
      <c r="J19" s="12">
        <v>14</v>
      </c>
      <c r="K19" s="5">
        <f>=SUM(E19:J19)</f>
        <v>79.5</v>
      </c>
      <c r="L19" s="5" t="s"/>
    </row>
    <row r="20" spans="1:12" ht="18.75">
      <c r="A20" s="4">
        <v>19</v>
      </c>
      <c r="B20" s="4" t="s">
        <v>2046</v>
      </c>
      <c r="C20" s="4">
        <v>2488</v>
      </c>
      <c r="D20" s="4" t="str">
        <f>=VLOOKUP(B20,[2]在校生综合信息查询!$A$88:$C$131,2,0)</f>
        <v>24q710103297</v>
      </c>
      <c r="E20" s="7">
        <v>22</v>
      </c>
      <c r="F20" s="7">
        <v>45</v>
      </c>
      <c r="G20" s="7">
        <v>18.5</v>
      </c>
      <c r="H20" s="12">
        <v>11</v>
      </c>
      <c r="I20" s="12">
        <v>11</v>
      </c>
      <c r="J20" s="12">
        <v>14</v>
      </c>
      <c r="K20" s="5">
        <f>=SUM(E20:J20)</f>
        <v>121.5</v>
      </c>
      <c r="L20" s="5" t="s"/>
    </row>
    <row r="21" spans="1:12" ht="18.75">
      <c r="A21" s="4">
        <v>20</v>
      </c>
      <c r="B21" s="4" t="s">
        <v>2048</v>
      </c>
      <c r="C21" s="4">
        <v>2489</v>
      </c>
      <c r="D21" s="4" t="str">
        <f>=VLOOKUP(B21,[2]在校生综合信息查询!$A$88:$C$131,2,0)</f>
        <v>24q710103228</v>
      </c>
      <c r="E21" s="7">
        <v>9</v>
      </c>
      <c r="F21" s="7">
        <v>12</v>
      </c>
      <c r="G21" s="7">
        <v>29</v>
      </c>
      <c r="H21" s="12">
        <v>21</v>
      </c>
      <c r="I21" s="12">
        <v>21</v>
      </c>
      <c r="J21" s="12">
        <v>15</v>
      </c>
      <c r="K21" s="5">
        <f>=SUM(E21:J21)</f>
        <v>107</v>
      </c>
      <c r="L21" s="5" t="s"/>
    </row>
    <row r="22" spans="1:12" ht="18.75">
      <c r="A22" s="4">
        <v>21</v>
      </c>
      <c r="B22" s="4" t="s">
        <v>2050</v>
      </c>
      <c r="C22" s="4">
        <v>2465</v>
      </c>
      <c r="D22" s="4" t="str">
        <f>=VLOOKUP(B22,[2]在校生综合信息查询!$A$88:$C$131,2,0)</f>
        <v>24q710103372</v>
      </c>
      <c r="E22" s="7">
        <v>0</v>
      </c>
      <c r="F22" s="7">
        <v>0</v>
      </c>
      <c r="G22" s="7">
        <v>0</v>
      </c>
      <c r="H22" s="4" t="s"/>
      <c r="I22" s="4" t="s"/>
      <c r="J22" s="4" t="s"/>
      <c r="K22" s="5" t="s"/>
      <c r="L22" s="5" t="s"/>
    </row>
    <row r="23" spans="1:12" ht="18.75">
      <c r="A23" s="4">
        <v>22</v>
      </c>
      <c r="B23" s="4" t="s">
        <v>2052</v>
      </c>
      <c r="C23" s="4">
        <v>2466</v>
      </c>
      <c r="D23" s="4" t="str">
        <f>=VLOOKUP(B23,[2]在校生综合信息查询!$A$88:$C$131,2,0)</f>
        <v>24q710103373</v>
      </c>
      <c r="E23" s="7">
        <v>0</v>
      </c>
      <c r="F23" s="7">
        <v>0</v>
      </c>
      <c r="G23" s="7">
        <v>0</v>
      </c>
      <c r="H23" s="4" t="s"/>
      <c r="I23" s="4" t="s"/>
      <c r="J23" s="4" t="s"/>
      <c r="K23" s="5" t="s"/>
      <c r="L23" s="5" t="s"/>
    </row>
    <row r="24" spans="1:12" ht="18.75">
      <c r="A24" s="4">
        <v>23</v>
      </c>
      <c r="B24" s="4" t="s">
        <v>2054</v>
      </c>
      <c r="C24" s="4">
        <v>2467</v>
      </c>
      <c r="D24" s="4" t="str">
        <f>=VLOOKUP(B24,[2]在校生综合信息查询!$A$88:$C$131,2,0)</f>
        <v>24q710103374</v>
      </c>
      <c r="E24" s="7">
        <v>38</v>
      </c>
      <c r="F24" s="7">
        <v>74</v>
      </c>
      <c r="G24" s="7">
        <v>13.5</v>
      </c>
      <c r="H24" s="12">
        <v>18</v>
      </c>
      <c r="I24" s="12">
        <v>38</v>
      </c>
      <c r="J24" s="12">
        <v>22</v>
      </c>
      <c r="K24" s="5">
        <f>=SUM(H24:J24)</f>
        <v>78</v>
      </c>
      <c r="L24" s="5" t="s"/>
    </row>
    <row r="25" spans="1:12" ht="18.75">
      <c r="A25" s="4">
        <v>24</v>
      </c>
      <c r="B25" s="4" t="s">
        <v>2056</v>
      </c>
      <c r="C25" s="4">
        <v>2468</v>
      </c>
      <c r="D25" s="4" t="str">
        <f>=VLOOKUP(B25,[2]在校生综合信息查询!$A$88:$C$131,2,0)</f>
        <v>24q710103375</v>
      </c>
      <c r="E25" s="7">
        <v>44</v>
      </c>
      <c r="F25" s="7">
        <v>80</v>
      </c>
      <c r="G25" s="7">
        <v>70</v>
      </c>
      <c r="H25" s="12">
        <v>4</v>
      </c>
      <c r="I25" s="12">
        <v>10</v>
      </c>
      <c r="J25" s="12">
        <v>19</v>
      </c>
      <c r="K25" s="5">
        <f>=SUM(H25:J25)</f>
        <v>33</v>
      </c>
      <c r="L25" s="5" t="s"/>
    </row>
    <row r="26" spans="1:12" ht="18.75">
      <c r="A26" s="4">
        <v>25</v>
      </c>
      <c r="B26" s="4" t="s">
        <v>2058</v>
      </c>
      <c r="C26" s="4">
        <v>2469</v>
      </c>
      <c r="D26" s="4" t="str">
        <f>=VLOOKUP(B26,[2]在校生综合信息查询!$A$88:$C$131,2,0)</f>
        <v>24q710103376</v>
      </c>
      <c r="E26" s="7">
        <v>0</v>
      </c>
      <c r="F26" s="7">
        <v>0</v>
      </c>
      <c r="G26" s="7">
        <v>0</v>
      </c>
      <c r="H26" s="4" t="s"/>
      <c r="I26" s="4" t="s"/>
      <c r="J26" s="4" t="s"/>
      <c r="K26" s="5" t="s"/>
      <c r="L26" s="5" t="s"/>
    </row>
    <row r="27" spans="1:12" ht="18.75">
      <c r="A27" s="4">
        <v>26</v>
      </c>
      <c r="B27" s="4" t="s">
        <v>2060</v>
      </c>
      <c r="C27" s="4">
        <v>2470</v>
      </c>
      <c r="D27" s="4" t="str">
        <f>=VLOOKUP(B27,[2]在校生综合信息查询!$A$88:$C$131,2,0)</f>
        <v>24q710103377</v>
      </c>
      <c r="E27" s="7">
        <v>15</v>
      </c>
      <c r="F27" s="7">
        <v>8</v>
      </c>
      <c r="G27" s="7">
        <v>13</v>
      </c>
      <c r="H27" s="12">
        <v>19</v>
      </c>
      <c r="I27" s="12">
        <v>29</v>
      </c>
      <c r="J27" s="12">
        <v>23</v>
      </c>
      <c r="K27" s="5">
        <f>=SUM(H27:J27)</f>
        <v>71</v>
      </c>
      <c r="L27" s="5" t="s"/>
    </row>
    <row r="28" spans="1:12" ht="18.75">
      <c r="A28" s="4">
        <v>27</v>
      </c>
      <c r="B28" s="4" t="s">
        <v>2062</v>
      </c>
      <c r="C28" s="4">
        <v>2471</v>
      </c>
      <c r="D28" s="4" t="str">
        <f>=VLOOKUP(B28,[2]在校生综合信息查询!$A$88:$C$131,2,0)</f>
        <v>24q710103378</v>
      </c>
      <c r="E28" s="7">
        <v>21</v>
      </c>
      <c r="F28" s="7">
        <v>76</v>
      </c>
      <c r="G28" s="7">
        <v>14.5</v>
      </c>
      <c r="H28" s="12">
        <v>26</v>
      </c>
      <c r="I28" s="12">
        <v>33</v>
      </c>
      <c r="J28" s="12">
        <v>26</v>
      </c>
      <c r="K28" s="5">
        <f>=SUM(H28:J28)</f>
        <v>85</v>
      </c>
      <c r="L28" s="5" t="s"/>
    </row>
    <row r="29" spans="1:12" ht="18.75">
      <c r="A29" s="4">
        <v>28</v>
      </c>
      <c r="B29" s="4" t="s">
        <v>2064</v>
      </c>
      <c r="C29" s="4">
        <v>2472</v>
      </c>
      <c r="D29" s="4" t="str">
        <f>=VLOOKUP(B29,[2]在校生综合信息查询!$A$88:$C$131,2,0)</f>
        <v>24q710103379</v>
      </c>
      <c r="E29" s="7">
        <v>34</v>
      </c>
      <c r="F29" s="7">
        <v>64</v>
      </c>
      <c r="G29" s="7">
        <v>18</v>
      </c>
      <c r="H29" s="12">
        <v>46</v>
      </c>
      <c r="I29" s="12">
        <v>39</v>
      </c>
      <c r="J29" s="12">
        <v>16</v>
      </c>
      <c r="K29" s="6">
        <f>=SUM(H29:J29)</f>
        <v>101</v>
      </c>
      <c r="L29" s="5" t="s"/>
    </row>
    <row r="30" spans="1:12" ht="18.75">
      <c r="A30" s="4">
        <v>29</v>
      </c>
      <c r="B30" s="4" t="s">
        <v>2066</v>
      </c>
      <c r="C30" s="4">
        <v>2491</v>
      </c>
      <c r="D30" s="4" t="str">
        <f>=VLOOKUP(B30,[2]在校生综合信息查询!$A$88:$C$131,2,0)</f>
        <v>5127424270247</v>
      </c>
      <c r="E30" s="7">
        <v>35</v>
      </c>
      <c r="F30" s="7">
        <v>74</v>
      </c>
      <c r="G30" s="7">
        <v>32.5</v>
      </c>
      <c r="H30" s="12">
        <v>18</v>
      </c>
      <c r="I30" s="12">
        <v>26</v>
      </c>
      <c r="J30" s="12">
        <v>19</v>
      </c>
      <c r="K30" s="5">
        <f>=SUM(H30:J30)</f>
        <v>63</v>
      </c>
      <c r="L30" s="5" t="s"/>
    </row>
    <row r="31" spans="1:12" ht="18.75">
      <c r="A31" s="4">
        <v>30</v>
      </c>
      <c r="B31" s="4" t="s">
        <v>2068</v>
      </c>
      <c r="C31" s="4">
        <v>2473</v>
      </c>
      <c r="D31" s="4" t="str">
        <f>=VLOOKUP(B31,[2]在校生综合信息查询!$A$88:$C$131,2,0)</f>
        <v>24q710103380</v>
      </c>
      <c r="E31" s="7">
        <v>40</v>
      </c>
      <c r="F31" s="7">
        <v>16</v>
      </c>
      <c r="G31" s="7">
        <v>26.5</v>
      </c>
      <c r="H31" s="12">
        <v>15</v>
      </c>
      <c r="I31" s="12">
        <v>34</v>
      </c>
      <c r="J31" s="12">
        <v>28</v>
      </c>
      <c r="K31" s="6">
        <f>=SUM(H31:J31)</f>
        <v>77</v>
      </c>
      <c r="L31" s="5" t="s"/>
    </row>
    <row r="32" spans="1:12" ht="18.75">
      <c r="A32" s="4">
        <v>31</v>
      </c>
      <c r="B32" s="4" t="s">
        <v>2070</v>
      </c>
      <c r="C32" s="4">
        <v>2474</v>
      </c>
      <c r="D32" s="4" t="str">
        <f>=VLOOKUP(B32,[2]在校生综合信息查询!$A$88:$C$131,2,0)</f>
        <v>24q710103381</v>
      </c>
      <c r="E32" s="7">
        <v>26</v>
      </c>
      <c r="F32" s="7">
        <v>12</v>
      </c>
      <c r="G32" s="7">
        <v>16</v>
      </c>
      <c r="H32" s="12">
        <v>17</v>
      </c>
      <c r="I32" s="12">
        <v>26</v>
      </c>
      <c r="J32" s="12">
        <v>14</v>
      </c>
      <c r="K32" s="5">
        <f>=SUM(H32:J32)</f>
        <v>57</v>
      </c>
      <c r="L32" s="5" t="s"/>
    </row>
    <row r="33" spans="1:12" ht="18.75">
      <c r="A33" s="4">
        <v>32</v>
      </c>
      <c r="B33" s="4" t="s">
        <v>2072</v>
      </c>
      <c r="C33" s="4">
        <v>2475</v>
      </c>
      <c r="D33" s="4" t="str">
        <f>=VLOOKUP(B33,[2]在校生综合信息查询!$A$88:$C$131,2,0)</f>
        <v>24q710103382</v>
      </c>
      <c r="E33" s="7">
        <v>22</v>
      </c>
      <c r="F33" s="7">
        <v>16</v>
      </c>
      <c r="G33" s="7">
        <v>26</v>
      </c>
      <c r="H33" s="12">
        <v>10</v>
      </c>
      <c r="I33" s="12">
        <v>18</v>
      </c>
      <c r="J33" s="12">
        <v>9</v>
      </c>
      <c r="K33" s="5">
        <f>=SUM(H33:J33)</f>
        <v>37</v>
      </c>
      <c r="L33" s="5" t="s"/>
    </row>
    <row r="34" spans="1:12" ht="18.75">
      <c r="A34" s="4">
        <v>33</v>
      </c>
      <c r="B34" s="4" t="s">
        <v>2074</v>
      </c>
      <c r="C34" s="4">
        <v>2476</v>
      </c>
      <c r="D34" s="4" t="str">
        <f>=VLOOKUP(B34,[2]在校生综合信息查询!$A$88:$C$131,2,0)</f>
        <v>24q710103383</v>
      </c>
      <c r="E34" s="7">
        <v>28</v>
      </c>
      <c r="F34" s="7">
        <v>80</v>
      </c>
      <c r="G34" s="7">
        <v>0</v>
      </c>
      <c r="H34" s="12">
        <v>100</v>
      </c>
      <c r="I34" s="12">
        <v>77</v>
      </c>
      <c r="J34" s="12">
        <v>61</v>
      </c>
      <c r="K34" s="5">
        <f>=SUM(H34:J34)</f>
        <v>238</v>
      </c>
      <c r="L34" s="5" t="s"/>
    </row>
    <row r="35" spans="1:12" ht="18.75">
      <c r="A35" s="4">
        <v>34</v>
      </c>
      <c r="B35" s="4" t="s">
        <v>2076</v>
      </c>
      <c r="C35" s="4">
        <v>2487</v>
      </c>
      <c r="D35" s="4" t="str">
        <f>=VLOOKUP(B35,[2]在校生综合信息查询!$A$88:$C$131,2,0)</f>
        <v>24q710103318</v>
      </c>
      <c r="E35" s="7">
        <v>27</v>
      </c>
      <c r="F35" s="7">
        <v>12</v>
      </c>
      <c r="G35" s="7">
        <v>22.5</v>
      </c>
      <c r="H35" s="12">
        <v>14</v>
      </c>
      <c r="I35" s="12">
        <v>14</v>
      </c>
      <c r="J35" s="12">
        <v>18</v>
      </c>
      <c r="K35" s="5">
        <f>=SUM(H35:J35)</f>
        <v>46</v>
      </c>
      <c r="L35" s="5" t="s"/>
    </row>
    <row r="36" spans="1:12" ht="18.75">
      <c r="A36" s="4">
        <v>35</v>
      </c>
      <c r="B36" s="4" t="s">
        <v>2078</v>
      </c>
      <c r="C36" s="4">
        <v>2486</v>
      </c>
      <c r="D36" s="4" t="str">
        <f>=VLOOKUP(B36,[2]在校生综合信息查询!$A$88:$C$131,2,0)</f>
        <v>24q710103384</v>
      </c>
      <c r="E36" s="7">
        <v>27</v>
      </c>
      <c r="F36" s="7">
        <v>80</v>
      </c>
      <c r="G36" s="7">
        <v>0</v>
      </c>
      <c r="H36" s="12">
        <v>84</v>
      </c>
      <c r="I36" s="12">
        <v>77</v>
      </c>
      <c r="J36" s="12">
        <v>65</v>
      </c>
      <c r="K36" s="18">
        <f>=SUM(H36:J36)</f>
        <v>226</v>
      </c>
      <c r="L36" s="18" t="s"/>
    </row>
    <row r="37" spans="1:12" ht="18.75">
      <c r="A37" s="4">
        <v>36</v>
      </c>
      <c r="B37" s="4" t="s">
        <v>2080</v>
      </c>
      <c r="C37" s="4" t="s"/>
      <c r="D37" s="4" t="str">
        <f>=VLOOKUP(B37,[2]在校生综合信息查询!$A$88:$C$131,2,0)</f>
        <v>24q710103385</v>
      </c>
      <c r="E37" s="81">
        <v>3</v>
      </c>
      <c r="F37" s="81">
        <v>28</v>
      </c>
      <c r="G37" s="81">
        <v>15.5</v>
      </c>
      <c r="H37" s="16">
        <v>22</v>
      </c>
      <c r="I37" s="16">
        <v>14</v>
      </c>
      <c r="J37" s="16">
        <v>18</v>
      </c>
      <c r="K37" s="18">
        <f>=SUM(H37:J37)</f>
        <v>54</v>
      </c>
      <c r="L37" s="18" t="s"/>
    </row>
    <row r="38" spans="1:12" ht="18.75">
      <c r="A38" s="4">
        <v>37</v>
      </c>
      <c r="B38" s="4" t="s">
        <v>2082</v>
      </c>
      <c r="C38" s="4" t="s"/>
      <c r="D38" s="4" t="str">
        <f>=VLOOKUP(B38,[2]在校生综合信息查询!$A$88:$C$131,2,0)</f>
        <v>24q710103386</v>
      </c>
      <c r="E38" s="81">
        <v>3</v>
      </c>
      <c r="F38" s="81">
        <v>48</v>
      </c>
      <c r="G38" s="81">
        <v>33</v>
      </c>
      <c r="H38" s="16">
        <v>23</v>
      </c>
      <c r="I38" s="16">
        <v>16</v>
      </c>
      <c r="J38" s="16">
        <v>26</v>
      </c>
      <c r="K38" s="18">
        <f>=SUM(H38:J38)</f>
        <v>65</v>
      </c>
      <c r="L38" s="18" t="s"/>
    </row>
    <row r="39" spans="1:12" ht="18.75">
      <c r="A39" s="4">
        <v>38</v>
      </c>
      <c r="B39" s="4" t="s">
        <v>2084</v>
      </c>
      <c r="C39" s="4" t="s"/>
      <c r="D39" s="4" t="str">
        <f>=VLOOKUP(B39,[2]在校生综合信息查询!$A$88:$C$131,2,0)</f>
        <v>24q710103387</v>
      </c>
      <c r="E39" s="81">
        <v>8</v>
      </c>
      <c r="F39" s="81">
        <v>16</v>
      </c>
      <c r="G39" s="81">
        <v>13.5</v>
      </c>
      <c r="H39" s="16">
        <v>21</v>
      </c>
      <c r="I39" s="16">
        <v>25</v>
      </c>
      <c r="J39" s="16">
        <v>19</v>
      </c>
      <c r="K39" s="18">
        <f>=SUM(H39:J39)</f>
        <v>65</v>
      </c>
      <c r="L39" s="18" t="s"/>
    </row>
    <row r="40" spans="1:12" ht="18.75">
      <c r="A40" s="4">
        <v>39</v>
      </c>
      <c r="B40" s="4" t="s">
        <v>2086</v>
      </c>
      <c r="C40" s="4" t="s"/>
      <c r="D40" s="4" t="str">
        <f>=VLOOKUP(B40,[2]在校生综合信息查询!$A$88:$C$131,2,0)</f>
        <v>24q710103388</v>
      </c>
      <c r="E40" s="81">
        <v>12</v>
      </c>
      <c r="F40" s="81">
        <v>8</v>
      </c>
      <c r="G40" s="81">
        <v>17</v>
      </c>
      <c r="H40" s="16">
        <v>61</v>
      </c>
      <c r="I40" s="16">
        <v>42</v>
      </c>
      <c r="J40" s="16">
        <v>34</v>
      </c>
      <c r="K40" s="18">
        <f>=SUM(H40:J40)</f>
        <v>137</v>
      </c>
      <c r="L40" s="18" t="s"/>
    </row>
    <row r="41" spans="1:12" ht="18.75">
      <c r="A41" s="4">
        <v>40</v>
      </c>
      <c r="B41" s="4" t="s">
        <v>2088</v>
      </c>
      <c r="C41" s="4" t="s"/>
      <c r="D41" s="4" t="str">
        <f>=VLOOKUP(B41,[2]在校生综合信息查询!$A$88:$C$131,2,0)</f>
        <v>24q710103389</v>
      </c>
      <c r="E41" s="81">
        <v>12</v>
      </c>
      <c r="F41" s="81">
        <v>12</v>
      </c>
      <c r="G41" s="81">
        <v>18.5</v>
      </c>
      <c r="H41" s="16">
        <v>0</v>
      </c>
      <c r="I41" s="16">
        <v>0</v>
      </c>
      <c r="J41" s="16">
        <v>0</v>
      </c>
      <c r="K41" s="18">
        <f>=SUM(H41:J41)</f>
        <v>0</v>
      </c>
      <c r="L41" s="18" t="s"/>
    </row>
    <row r="42" spans="1:12" ht="18.75">
      <c r="A42" s="4">
        <v>41</v>
      </c>
      <c r="B42" s="4" t="s">
        <v>2090</v>
      </c>
      <c r="C42" s="4" t="s"/>
      <c r="D42" s="4" t="str">
        <f>=VLOOKUP(B42,[2]在校生综合信息查询!$A$88:$C$131,2,0)</f>
        <v>24q710103390</v>
      </c>
      <c r="E42" s="81">
        <v>27</v>
      </c>
      <c r="F42" s="81">
        <v>56</v>
      </c>
      <c r="G42" s="81">
        <v>18.5</v>
      </c>
      <c r="H42" s="16">
        <v>15</v>
      </c>
      <c r="I42" s="16">
        <v>14</v>
      </c>
      <c r="J42" s="16">
        <v>30</v>
      </c>
      <c r="K42" s="18">
        <f>=SUM(H42:J42)</f>
        <v>59</v>
      </c>
      <c r="L42" s="18" t="s"/>
    </row>
    <row r="43" spans="1:12" ht="18.75">
      <c r="A43" s="4">
        <v>42</v>
      </c>
      <c r="B43" s="4" t="s">
        <v>2092</v>
      </c>
      <c r="C43" s="4" t="s"/>
      <c r="D43" s="4" t="str">
        <f>=VLOOKUP(B43,[2]在校生综合信息查询!$A$88:$C$131,2,0)</f>
        <v>24q710103391</v>
      </c>
      <c r="E43" s="81">
        <v>6</v>
      </c>
      <c r="F43" s="81">
        <v>12</v>
      </c>
      <c r="G43" s="81">
        <v>24</v>
      </c>
      <c r="H43" s="16">
        <v>21</v>
      </c>
      <c r="I43" s="16">
        <v>12</v>
      </c>
      <c r="J43" s="16">
        <v>26</v>
      </c>
      <c r="K43" s="18">
        <f>=SUM(H43:J43)</f>
        <v>59</v>
      </c>
      <c r="L43" s="18" t="s"/>
    </row>
    <row r="44" spans="1:12" ht="18.75">
      <c r="A44" s="4">
        <v>43</v>
      </c>
      <c r="B44" s="4" t="s">
        <v>2094</v>
      </c>
      <c r="C44" s="4" t="s"/>
      <c r="D44" s="4" t="str">
        <f>=VLOOKUP(B44,[2]在校生综合信息查询!$A$88:$C$131,2,0)</f>
        <v>24q710103392</v>
      </c>
      <c r="E44" s="81">
        <v>16</v>
      </c>
      <c r="F44" s="81">
        <v>28</v>
      </c>
      <c r="G44" s="81">
        <v>16.5</v>
      </c>
      <c r="H44" s="16">
        <v>25</v>
      </c>
      <c r="I44" s="16">
        <v>14</v>
      </c>
      <c r="J44" s="16">
        <v>18</v>
      </c>
      <c r="K44" s="18">
        <f>=SUM(H44:J44)</f>
        <v>57</v>
      </c>
      <c r="L44" s="18" t="s"/>
    </row>
    <row r="45" spans="1:12" ht="18.75">
      <c r="A45" s="4">
        <v>44</v>
      </c>
      <c r="B45" s="4" t="s">
        <v>2096</v>
      </c>
      <c r="C45" s="4" t="s"/>
      <c r="D45" s="4" t="str">
        <f>=VLOOKUP(B45,[2]在校生综合信息查询!$A$88:$C$131,2,0)</f>
        <v>24q710103394</v>
      </c>
      <c r="E45" s="81">
        <v>18</v>
      </c>
      <c r="F45" s="81">
        <v>24</v>
      </c>
      <c r="G45" s="81">
        <v>9</v>
      </c>
      <c r="H45" s="16">
        <v>14</v>
      </c>
      <c r="I45" s="16">
        <v>23</v>
      </c>
      <c r="J45" s="16">
        <v>8</v>
      </c>
      <c r="K45" s="18">
        <f>=SUM(H45:J45)</f>
        <v>45</v>
      </c>
      <c r="L45" s="18" t="s"/>
    </row>
    <row r="46" spans="1:12" ht="18.75">
      <c r="A46" s="4" t="s"/>
      <c r="B46" s="4" t="s"/>
      <c r="C46" s="4" t="s"/>
      <c r="D46" s="4" t="s"/>
      <c r="E46" s="82" t="s"/>
      <c r="F46" s="82" t="s"/>
      <c r="G46" s="82" t="s"/>
      <c r="H46" s="18" t="s"/>
      <c r="I46" s="18" t="s"/>
      <c r="J46" s="18" t="s"/>
      <c r="K46" s="18" t="s"/>
      <c r="L46" s="18" t="s"/>
    </row>
    <row r="47" spans="1:12" ht="18.75">
      <c r="A47" s="4" t="s"/>
      <c r="B47" s="4" t="s"/>
      <c r="C47" s="4" t="s"/>
      <c r="D47" s="4" t="s"/>
      <c r="E47" s="82" t="s"/>
      <c r="F47" s="82" t="s"/>
      <c r="G47" s="82" t="s"/>
      <c r="H47" s="18" t="s"/>
      <c r="I47" s="18" t="s"/>
      <c r="J47" s="18" t="s"/>
      <c r="K47" s="18" t="s"/>
      <c r="L47" s="18" t="s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/>
  <dimension ref="J53"/>
  <sheetViews>
    <sheetView showGridLines="1" workbookViewId="0"/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24.125" style="123" customWidth="1"/>
    <col min="5" max="7" width="8.75" style="123"/>
    <col min="8" max="8" width="28.25" style="84" customWidth="1"/>
    <col min="9" max="9" width="29" style="84" customWidth="1"/>
    <col min="10" max="10" width="22.6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143</v>
      </c>
      <c r="I1" s="4" t="s">
        <v>144</v>
      </c>
      <c r="J1" s="4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2098</v>
      </c>
      <c r="C2" s="4">
        <v>2712</v>
      </c>
      <c r="D2" s="4" t="str">
        <f>=VLOOKUP(B2,[2]在校生综合信息查询!$A$132:$C$180,2,0)</f>
        <v>24q710103002</v>
      </c>
      <c r="E2" s="4" t="s"/>
      <c r="F2" s="4" t="s"/>
      <c r="G2" s="12">
        <v>14.5</v>
      </c>
      <c r="H2" s="12">
        <v>23</v>
      </c>
      <c r="I2" s="12">
        <v>9</v>
      </c>
      <c r="J2" s="12">
        <v>19</v>
      </c>
      <c r="K2" s="5" t="s"/>
      <c r="L2" s="5" t="s"/>
    </row>
    <row r="3" spans="1:12" ht="18.75">
      <c r="A3" s="4">
        <v>2</v>
      </c>
      <c r="B3" s="4" t="s">
        <v>2100</v>
      </c>
      <c r="C3" s="4">
        <v>2749</v>
      </c>
      <c r="D3" s="4" t="str">
        <f>=VLOOKUP(B3,[2]在校生综合信息查询!$A$132:$C$180,2,0)</f>
        <v>24q660103141</v>
      </c>
      <c r="E3" s="4" t="s"/>
      <c r="F3" s="4" t="s"/>
      <c r="G3" s="12">
        <v>18.5</v>
      </c>
      <c r="H3" s="12">
        <v>3</v>
      </c>
      <c r="I3" s="12">
        <v>27</v>
      </c>
      <c r="J3" s="12">
        <v>26</v>
      </c>
      <c r="K3" s="5" t="s"/>
      <c r="L3" s="5" t="s"/>
    </row>
    <row r="4" spans="1:12" ht="18.75">
      <c r="A4" s="4">
        <v>3</v>
      </c>
      <c r="B4" s="4" t="s">
        <v>2102</v>
      </c>
      <c r="C4" s="4">
        <v>2713</v>
      </c>
      <c r="D4" s="4" t="str">
        <f>=VLOOKUP(B4,[2]在校生综合信息查询!$A$132:$C$180,2,0)</f>
        <v>24q710103003</v>
      </c>
      <c r="E4" s="4" t="s"/>
      <c r="F4" s="4" t="s"/>
      <c r="G4" s="12">
        <v>26</v>
      </c>
      <c r="H4" s="12">
        <v>30</v>
      </c>
      <c r="I4" s="12">
        <v>23</v>
      </c>
      <c r="J4" s="12">
        <v>14</v>
      </c>
      <c r="K4" s="5" t="s"/>
      <c r="L4" s="5" t="s"/>
    </row>
    <row r="5" spans="1:12" ht="18.75">
      <c r="A5" s="4">
        <v>4</v>
      </c>
      <c r="B5" s="4" t="s">
        <v>2104</v>
      </c>
      <c r="C5" s="4">
        <v>2714</v>
      </c>
      <c r="D5" s="4" t="str">
        <f>=VLOOKUP(B5,[2]在校生综合信息查询!$A$132:$C$180,2,0)</f>
        <v>24q710103004</v>
      </c>
      <c r="E5" s="4" t="s"/>
      <c r="F5" s="4" t="s"/>
      <c r="G5" s="12">
        <v>0</v>
      </c>
      <c r="H5" s="12">
        <v>0</v>
      </c>
      <c r="I5" s="12">
        <v>0</v>
      </c>
      <c r="J5" s="12">
        <v>0</v>
      </c>
      <c r="K5" s="5" t="s"/>
      <c r="L5" s="5" t="s"/>
    </row>
    <row r="6" spans="1:12" ht="18.75">
      <c r="A6" s="4">
        <v>5</v>
      </c>
      <c r="B6" s="12" t="s">
        <v>2106</v>
      </c>
      <c r="C6" s="4">
        <v>2715</v>
      </c>
      <c r="D6" s="4" t="str">
        <f>=VLOOKUP(B6,[2]在校生综合信息查询!$A$132:$C$180,2,0)</f>
        <v>24q710103005</v>
      </c>
      <c r="E6" s="4" t="s"/>
      <c r="F6" s="4" t="s"/>
      <c r="G6" s="12">
        <v>25.5</v>
      </c>
      <c r="H6" s="12">
        <v>30</v>
      </c>
      <c r="I6" s="12">
        <v>22</v>
      </c>
      <c r="J6" s="12">
        <v>7</v>
      </c>
      <c r="K6" s="5" t="s"/>
      <c r="L6" s="5" t="s"/>
    </row>
    <row r="7" spans="1:12" ht="18.75">
      <c r="A7" s="4">
        <v>6</v>
      </c>
      <c r="B7" s="4" t="s">
        <v>2108</v>
      </c>
      <c r="C7" s="4">
        <v>2752</v>
      </c>
      <c r="D7" s="4" t="str">
        <f>=VLOOKUP(B7,[2]在校生综合信息查询!$A$132:$C$180,2,0)</f>
        <v>24q710103121</v>
      </c>
      <c r="E7" s="4" t="s"/>
      <c r="F7" s="4" t="s"/>
      <c r="G7" s="12">
        <v>0</v>
      </c>
      <c r="H7" s="12">
        <v>0</v>
      </c>
      <c r="I7" s="12">
        <v>0</v>
      </c>
      <c r="J7" s="12">
        <v>0</v>
      </c>
      <c r="K7" s="5" t="s"/>
      <c r="L7" s="5" t="s"/>
    </row>
    <row r="8" spans="1:12" ht="18.75">
      <c r="A8" s="4">
        <v>7</v>
      </c>
      <c r="B8" s="4" t="s">
        <v>2110</v>
      </c>
      <c r="C8" s="4">
        <v>2716</v>
      </c>
      <c r="D8" s="4" t="str">
        <f>=VLOOKUP(B8,[2]在校生综合信息查询!$A$132:$C$180,2,0)</f>
        <v>24q710103007</v>
      </c>
      <c r="E8" s="4" t="s"/>
      <c r="F8" s="4" t="s"/>
      <c r="G8" s="12">
        <v>20</v>
      </c>
      <c r="H8" s="12">
        <v>18</v>
      </c>
      <c r="I8" s="12">
        <v>15</v>
      </c>
      <c r="J8" s="12">
        <v>16</v>
      </c>
      <c r="K8" s="5" t="s"/>
      <c r="L8" s="5" t="s"/>
    </row>
    <row r="9" spans="1:12" ht="18.75">
      <c r="A9" s="4">
        <v>8</v>
      </c>
      <c r="B9" s="4" t="s">
        <v>2112</v>
      </c>
      <c r="C9" s="4">
        <v>2717</v>
      </c>
      <c r="D9" s="4" t="str">
        <f>=VLOOKUP(B9,[2]在校生综合信息查询!$A$132:$C$180,2,0)</f>
        <v>24q710103008</v>
      </c>
      <c r="E9" s="4" t="s"/>
      <c r="F9" s="4" t="s"/>
      <c r="G9" s="12">
        <v>16.5</v>
      </c>
      <c r="H9" s="12">
        <v>23</v>
      </c>
      <c r="I9" s="12">
        <v>30</v>
      </c>
      <c r="J9" s="12">
        <v>7</v>
      </c>
      <c r="K9" s="5" t="s"/>
      <c r="L9" s="5" t="s"/>
    </row>
    <row r="10" spans="1:12" ht="18.75">
      <c r="A10" s="4">
        <v>9</v>
      </c>
      <c r="B10" s="4" t="s">
        <v>2114</v>
      </c>
      <c r="C10" s="4">
        <v>2718</v>
      </c>
      <c r="D10" s="4" t="str">
        <f>=VLOOKUP(B10,[2]在校生综合信息查询!$A$132:$C$180,2,0)</f>
        <v>24q710103009</v>
      </c>
      <c r="E10" s="4" t="s"/>
      <c r="F10" s="4" t="s"/>
      <c r="G10" s="12">
        <v>20</v>
      </c>
      <c r="H10" s="12">
        <v>14</v>
      </c>
      <c r="I10" s="12">
        <v>14</v>
      </c>
      <c r="J10" s="12">
        <v>26</v>
      </c>
      <c r="K10" s="5" t="s"/>
      <c r="L10" s="5" t="s"/>
    </row>
    <row r="11" spans="1:12" ht="18.75">
      <c r="A11" s="4">
        <v>10</v>
      </c>
      <c r="B11" s="4" t="s">
        <v>2116</v>
      </c>
      <c r="C11" s="4">
        <v>2719</v>
      </c>
      <c r="D11" s="4" t="str">
        <f>=VLOOKUP(B11,[2]在校生综合信息查询!$A$132:$C$180,2,0)</f>
        <v>24q710103010</v>
      </c>
      <c r="E11" s="4" t="s"/>
      <c r="F11" s="4" t="s"/>
      <c r="G11" s="12">
        <v>15.5</v>
      </c>
      <c r="H11" s="12">
        <v>14</v>
      </c>
      <c r="I11" s="12">
        <v>14</v>
      </c>
      <c r="J11" s="12">
        <v>22</v>
      </c>
      <c r="K11" s="5" t="s"/>
      <c r="L11" s="5" t="s"/>
    </row>
    <row r="12" spans="1:12" ht="18.75">
      <c r="A12" s="4">
        <v>11</v>
      </c>
      <c r="B12" s="4" t="s">
        <v>2118</v>
      </c>
      <c r="C12" s="4">
        <v>2720</v>
      </c>
      <c r="D12" s="4" t="str">
        <f>=VLOOKUP(B12,[2]在校生综合信息查询!$A$132:$C$180,2,0)</f>
        <v>24q710103011</v>
      </c>
      <c r="E12" s="4" t="s"/>
      <c r="F12" s="4" t="s"/>
      <c r="G12" s="12">
        <v>20</v>
      </c>
      <c r="H12" s="12">
        <v>21</v>
      </c>
      <c r="I12" s="12">
        <v>21</v>
      </c>
      <c r="J12" s="12">
        <v>22</v>
      </c>
      <c r="K12" s="5" t="s"/>
      <c r="L12" s="5" t="s"/>
    </row>
    <row r="13" spans="1:12" ht="18.75">
      <c r="A13" s="4">
        <v>12</v>
      </c>
      <c r="B13" s="4" t="s">
        <v>2120</v>
      </c>
      <c r="C13" s="4">
        <v>2721</v>
      </c>
      <c r="D13" s="4" t="str">
        <f>=VLOOKUP(B13,[2]在校生综合信息查询!$A$132:$C$180,2,0)</f>
        <v>24q710103012</v>
      </c>
      <c r="E13" s="4" t="s"/>
      <c r="F13" s="4" t="s"/>
      <c r="G13" s="12">
        <v>24</v>
      </c>
      <c r="H13" s="12">
        <v>11</v>
      </c>
      <c r="I13" s="12">
        <v>17</v>
      </c>
      <c r="J13" s="12">
        <v>6</v>
      </c>
      <c r="K13" s="5" t="s"/>
      <c r="L13" s="5" t="s"/>
    </row>
    <row r="14" spans="1:12" ht="18.75">
      <c r="A14" s="4">
        <v>13</v>
      </c>
      <c r="B14" s="4" t="s">
        <v>2122</v>
      </c>
      <c r="C14" s="4">
        <v>2722</v>
      </c>
      <c r="D14" s="4" t="str">
        <f>=VLOOKUP(B14,[2]在校生综合信息查询!$A$132:$C$180,2,0)</f>
        <v>24q710103013</v>
      </c>
      <c r="E14" s="4" t="s"/>
      <c r="F14" s="4" t="s"/>
      <c r="G14" s="12">
        <v>23.5</v>
      </c>
      <c r="H14" s="12">
        <v>13</v>
      </c>
      <c r="I14" s="12">
        <v>15</v>
      </c>
      <c r="J14" s="12">
        <v>3</v>
      </c>
      <c r="K14" s="5" t="s"/>
      <c r="L14" s="5" t="s"/>
    </row>
    <row r="15" spans="1:12" ht="18.75">
      <c r="A15" s="4">
        <v>14</v>
      </c>
      <c r="B15" s="4" t="s">
        <v>2124</v>
      </c>
      <c r="C15" s="4">
        <v>2723</v>
      </c>
      <c r="D15" s="4" t="str">
        <f>=VLOOKUP(B15,[2]在校生综合信息查询!$A$132:$C$180,2,0)</f>
        <v>24q710103015</v>
      </c>
      <c r="E15" s="4" t="s"/>
      <c r="F15" s="4" t="s"/>
      <c r="G15" s="12">
        <v>24</v>
      </c>
      <c r="H15" s="12">
        <v>14</v>
      </c>
      <c r="I15" s="12">
        <v>29</v>
      </c>
      <c r="J15" s="12">
        <v>22</v>
      </c>
      <c r="K15" s="5" t="s"/>
      <c r="L15" s="5" t="s"/>
    </row>
    <row r="16" spans="1:12" ht="18.75">
      <c r="A16" s="4">
        <v>15</v>
      </c>
      <c r="B16" s="4" t="s">
        <v>2126</v>
      </c>
      <c r="C16" s="4">
        <v>2724</v>
      </c>
      <c r="D16" s="4" t="str">
        <f>=VLOOKUP(B16,[2]在校生综合信息查询!$A$132:$C$180,2,0)</f>
        <v>24q710103016</v>
      </c>
      <c r="E16" s="4" t="s"/>
      <c r="F16" s="4" t="s"/>
      <c r="G16" s="12">
        <v>14.5</v>
      </c>
      <c r="H16" s="12">
        <v>13</v>
      </c>
      <c r="I16" s="12">
        <v>10</v>
      </c>
      <c r="J16" s="12">
        <v>15</v>
      </c>
      <c r="K16" s="5" t="s"/>
      <c r="L16" s="5" t="s"/>
    </row>
    <row r="17" spans="1:12" ht="18.75">
      <c r="A17" s="4">
        <v>16</v>
      </c>
      <c r="B17" s="4" t="s">
        <v>2128</v>
      </c>
      <c r="C17" s="4">
        <v>2753</v>
      </c>
      <c r="D17" s="4" t="str">
        <f>=VLOOKUP(B17,[2]在校生综合信息查询!$A$132:$C$180,2,0)</f>
        <v>24q710103131</v>
      </c>
      <c r="E17" s="4" t="s"/>
      <c r="F17" s="4" t="s"/>
      <c r="G17" s="12">
        <v>27</v>
      </c>
      <c r="H17" s="12">
        <v>22</v>
      </c>
      <c r="I17" s="12">
        <v>12</v>
      </c>
      <c r="J17" s="12">
        <v>8</v>
      </c>
      <c r="K17" s="5" t="s"/>
      <c r="L17" s="5" t="s"/>
    </row>
    <row r="18" spans="1:12" ht="18.75">
      <c r="A18" s="4">
        <v>17</v>
      </c>
      <c r="B18" s="4" t="s">
        <v>2130</v>
      </c>
      <c r="C18" s="4">
        <v>2725</v>
      </c>
      <c r="D18" s="4" t="str">
        <f>=VLOOKUP(B18,[2]在校生综合信息查询!$A$132:$C$180,2,0)</f>
        <v>24q710103018</v>
      </c>
      <c r="E18" s="4" t="s"/>
      <c r="F18" s="4" t="s"/>
      <c r="G18" s="12">
        <v>21</v>
      </c>
      <c r="H18" s="12">
        <v>21</v>
      </c>
      <c r="I18" s="12">
        <v>19</v>
      </c>
      <c r="J18" s="12">
        <v>10</v>
      </c>
      <c r="K18" s="5" t="s"/>
      <c r="L18" s="5" t="s"/>
    </row>
    <row r="19" spans="1:12" ht="18.75">
      <c r="A19" s="4">
        <v>18</v>
      </c>
      <c r="B19" s="4" t="s">
        <v>2132</v>
      </c>
      <c r="C19" s="4">
        <v>2726</v>
      </c>
      <c r="D19" s="4" t="str">
        <f>=VLOOKUP(B19,[2]在校生综合信息查询!$A$132:$C$180,2,0)</f>
        <v>24q710103019</v>
      </c>
      <c r="E19" s="4" t="s"/>
      <c r="F19" s="4" t="s"/>
      <c r="G19" s="12">
        <v>8.5</v>
      </c>
      <c r="H19" s="12">
        <v>12</v>
      </c>
      <c r="I19" s="12">
        <v>7</v>
      </c>
      <c r="J19" s="12">
        <v>25</v>
      </c>
      <c r="K19" s="5" t="s"/>
      <c r="L19" s="5" t="s"/>
    </row>
    <row r="20" spans="1:12" ht="18.75">
      <c r="A20" s="4">
        <v>19</v>
      </c>
      <c r="B20" s="4" t="s">
        <v>2134</v>
      </c>
      <c r="C20" s="4">
        <v>2727</v>
      </c>
      <c r="D20" s="4" t="str">
        <f>=VLOOKUP(B20,[2]在校生综合信息查询!$A$132:$C$180,2,0)</f>
        <v>24q710103020</v>
      </c>
      <c r="E20" s="4" t="s"/>
      <c r="F20" s="4" t="s"/>
      <c r="G20" s="12">
        <v>14</v>
      </c>
      <c r="H20" s="12">
        <v>26</v>
      </c>
      <c r="I20" s="12">
        <v>23</v>
      </c>
      <c r="J20" s="12">
        <v>7</v>
      </c>
      <c r="K20" s="5" t="s"/>
      <c r="L20" s="5" t="s"/>
    </row>
    <row r="21" spans="1:12" ht="18.75">
      <c r="A21" s="4">
        <v>20</v>
      </c>
      <c r="B21" s="4" t="s">
        <v>2136</v>
      </c>
      <c r="C21" s="4">
        <v>2728</v>
      </c>
      <c r="D21" s="4" t="str">
        <f>=VLOOKUP(B21,[2]在校生综合信息查询!$A$132:$C$180,2,0)</f>
        <v>24q710103021</v>
      </c>
      <c r="E21" s="4" t="s"/>
      <c r="F21" s="4" t="s"/>
      <c r="G21" s="12">
        <v>25.5</v>
      </c>
      <c r="H21" s="12">
        <v>33</v>
      </c>
      <c r="I21" s="12">
        <v>19</v>
      </c>
      <c r="J21" s="12">
        <v>26</v>
      </c>
      <c r="K21" s="5" t="s"/>
      <c r="L21" s="5" t="s"/>
    </row>
    <row r="22" spans="1:12" ht="18.75">
      <c r="A22" s="4">
        <v>21</v>
      </c>
      <c r="B22" s="4" t="s">
        <v>2138</v>
      </c>
      <c r="C22" s="4">
        <v>2729</v>
      </c>
      <c r="D22" s="4" t="str">
        <f>=VLOOKUP(B22,[2]在校生综合信息查询!$A$132:$C$180,2,0)</f>
        <v>24q710103025</v>
      </c>
      <c r="E22" s="4" t="s"/>
      <c r="F22" s="4" t="s"/>
      <c r="G22" s="12">
        <v>7</v>
      </c>
      <c r="H22" s="12">
        <v>21</v>
      </c>
      <c r="I22" s="12">
        <v>17</v>
      </c>
      <c r="J22" s="12">
        <v>14</v>
      </c>
      <c r="K22" s="5" t="s"/>
      <c r="L22" s="5" t="s"/>
    </row>
    <row r="23" spans="1:12" ht="18.75">
      <c r="A23" s="4">
        <v>22</v>
      </c>
      <c r="B23" s="4" t="s">
        <v>2140</v>
      </c>
      <c r="C23" s="4">
        <v>2730</v>
      </c>
      <c r="D23" s="4" t="str">
        <f>=VLOOKUP(B23,[2]在校生综合信息查询!$A$132:$C$180,2,0)</f>
        <v>24q710103026</v>
      </c>
      <c r="E23" s="4" t="s"/>
      <c r="F23" s="4" t="s"/>
      <c r="G23" s="12">
        <v>16</v>
      </c>
      <c r="H23" s="12">
        <v>19</v>
      </c>
      <c r="I23" s="12">
        <v>18</v>
      </c>
      <c r="J23" s="12">
        <v>14</v>
      </c>
      <c r="K23" s="5" t="s"/>
      <c r="L23" s="5" t="s"/>
    </row>
    <row r="24" spans="1:12" ht="18.75">
      <c r="A24" s="4">
        <v>23</v>
      </c>
      <c r="B24" s="4" t="s">
        <v>2142</v>
      </c>
      <c r="C24" s="4">
        <v>2731</v>
      </c>
      <c r="D24" s="4" t="str">
        <f>=VLOOKUP(B24,[2]在校生综合信息查询!$A$132:$C$180,2,0)</f>
        <v>24q710103029</v>
      </c>
      <c r="E24" s="4" t="s"/>
      <c r="F24" s="4" t="s"/>
      <c r="G24" s="12">
        <v>0</v>
      </c>
      <c r="H24" s="12">
        <v>0</v>
      </c>
      <c r="I24" s="12">
        <v>0</v>
      </c>
      <c r="J24" s="12">
        <v>0</v>
      </c>
      <c r="K24" s="5" t="s"/>
      <c r="L24" s="5" t="s"/>
    </row>
    <row r="25" spans="1:12" ht="18.75">
      <c r="A25" s="4">
        <v>24</v>
      </c>
      <c r="B25" s="4" t="s">
        <v>2144</v>
      </c>
      <c r="C25" s="4">
        <v>2732</v>
      </c>
      <c r="D25" s="4" t="str">
        <f>=VLOOKUP(B25,[2]在校生综合信息查询!$A$132:$C$180,2,0)</f>
        <v>24q710103030</v>
      </c>
      <c r="E25" s="4" t="s"/>
      <c r="F25" s="4" t="s"/>
      <c r="G25" s="12">
        <v>18.5</v>
      </c>
      <c r="H25" s="12">
        <v>46</v>
      </c>
      <c r="I25" s="12">
        <v>29</v>
      </c>
      <c r="J25" s="12">
        <v>27</v>
      </c>
      <c r="K25" s="5" t="s"/>
      <c r="L25" s="5" t="s"/>
    </row>
    <row r="26" spans="1:12" ht="18.75">
      <c r="A26" s="4">
        <v>25</v>
      </c>
      <c r="B26" s="4" t="s">
        <v>2146</v>
      </c>
      <c r="C26" s="4">
        <v>2733</v>
      </c>
      <c r="D26" s="4" t="str">
        <f>=VLOOKUP(B26,[2]在校生综合信息查询!$A$132:$C$180,2,0)</f>
        <v>24q710103031</v>
      </c>
      <c r="E26" s="4" t="s"/>
      <c r="F26" s="4" t="s"/>
      <c r="G26" s="12">
        <v>22</v>
      </c>
      <c r="H26" s="12">
        <v>19</v>
      </c>
      <c r="I26" s="12">
        <v>4</v>
      </c>
      <c r="J26" s="12">
        <v>26</v>
      </c>
      <c r="K26" s="5" t="s"/>
      <c r="L26" s="5" t="s"/>
    </row>
    <row r="27" spans="1:12" ht="18.75">
      <c r="A27" s="4">
        <v>26</v>
      </c>
      <c r="B27" s="4" t="s">
        <v>2148</v>
      </c>
      <c r="C27" s="4">
        <v>2754</v>
      </c>
      <c r="D27" s="4" t="str">
        <f>=VLOOKUP(B27,[2]在校生综合信息查询!$A$132:$C$180,2,0)</f>
        <v>24q710103151</v>
      </c>
      <c r="E27" s="4" t="s"/>
      <c r="F27" s="4" t="s"/>
      <c r="G27" s="12">
        <v>19.5</v>
      </c>
      <c r="H27" s="12">
        <v>28</v>
      </c>
      <c r="I27" s="12">
        <v>37</v>
      </c>
      <c r="J27" s="12">
        <v>28</v>
      </c>
      <c r="K27" s="5" t="s"/>
      <c r="L27" s="5" t="s"/>
    </row>
    <row r="28" spans="1:12" ht="18.75">
      <c r="A28" s="4">
        <v>27</v>
      </c>
      <c r="B28" s="4" t="s">
        <v>2150</v>
      </c>
      <c r="C28" s="4">
        <v>2748</v>
      </c>
      <c r="D28" s="4" t="str">
        <f>=VLOOKUP(B28,[2]在校生综合信息查询!$A$132:$C$180,2,0)</f>
        <v>24q710103286154</v>
      </c>
      <c r="E28" s="4" t="s"/>
      <c r="F28" s="4" t="s"/>
      <c r="G28" s="12">
        <v>39.5</v>
      </c>
      <c r="H28" s="12">
        <v>30</v>
      </c>
      <c r="I28" s="12">
        <v>18</v>
      </c>
      <c r="J28" s="12">
        <v>17</v>
      </c>
      <c r="K28" s="5" t="s"/>
      <c r="L28" s="5" t="s"/>
    </row>
    <row r="29" spans="1:12" ht="18.75">
      <c r="A29" s="4">
        <v>28</v>
      </c>
      <c r="B29" s="4" t="s">
        <v>2152</v>
      </c>
      <c r="C29" s="4">
        <v>2758</v>
      </c>
      <c r="D29" s="4" t="str">
        <f>=VLOOKUP(B29,[2]在校生综合信息查询!$A$132:$C$180,2,0)</f>
        <v>20240154</v>
      </c>
      <c r="E29" s="4" t="s"/>
      <c r="F29" s="4" t="s"/>
      <c r="G29" s="12">
        <v>12.5</v>
      </c>
      <c r="H29" s="12">
        <v>18</v>
      </c>
      <c r="I29" s="12">
        <v>19</v>
      </c>
      <c r="J29" s="12">
        <v>14</v>
      </c>
      <c r="K29" s="5" t="s"/>
      <c r="L29" s="5" t="s"/>
    </row>
    <row r="30" spans="1:12" ht="18.75">
      <c r="A30" s="4">
        <v>29</v>
      </c>
      <c r="B30" s="4" t="s">
        <v>2154</v>
      </c>
      <c r="C30" s="4">
        <v>2734</v>
      </c>
      <c r="D30" s="4" t="str">
        <f>=VLOOKUP(B30,[2]在校生综合信息查询!$A$132:$C$180,2,0)</f>
        <v>24q710103035</v>
      </c>
      <c r="E30" s="4" t="s"/>
      <c r="F30" s="4" t="s"/>
      <c r="G30" s="12">
        <v>20.5</v>
      </c>
      <c r="H30" s="12">
        <v>4</v>
      </c>
      <c r="I30" s="12">
        <v>14</v>
      </c>
      <c r="J30" s="12">
        <v>32</v>
      </c>
      <c r="K30" s="5" t="s"/>
      <c r="L30" s="5" t="s"/>
    </row>
    <row r="31" spans="1:12" ht="18.75">
      <c r="A31" s="4">
        <v>30</v>
      </c>
      <c r="B31" s="4" t="s">
        <v>2156</v>
      </c>
      <c r="C31" s="4">
        <v>2735</v>
      </c>
      <c r="D31" s="4" t="str">
        <f>=VLOOKUP(B31,[2]在校生综合信息查询!$A$132:$C$180,2,0)</f>
        <v>24q710103036</v>
      </c>
      <c r="E31" s="4" t="s"/>
      <c r="F31" s="4" t="s"/>
      <c r="G31" s="12">
        <v>48</v>
      </c>
      <c r="H31" s="12">
        <v>25</v>
      </c>
      <c r="I31" s="12">
        <v>30</v>
      </c>
      <c r="J31" s="12">
        <v>24</v>
      </c>
      <c r="K31" s="5" t="s"/>
      <c r="L31" s="5" t="s"/>
    </row>
    <row r="32" spans="1:12" ht="18.75">
      <c r="A32" s="4">
        <v>31</v>
      </c>
      <c r="B32" s="4" t="s">
        <v>2158</v>
      </c>
      <c r="C32" s="4">
        <v>2736</v>
      </c>
      <c r="D32" s="4" t="str">
        <f>=VLOOKUP(B32,[2]在校生综合信息查询!$A$132:$C$180,2,0)</f>
        <v>24q710103037</v>
      </c>
      <c r="E32" s="4" t="s"/>
      <c r="F32" s="4" t="s"/>
      <c r="G32" s="12">
        <v>22.5</v>
      </c>
      <c r="H32" s="12">
        <v>27</v>
      </c>
      <c r="I32" s="12">
        <v>28</v>
      </c>
      <c r="J32" s="12">
        <v>11</v>
      </c>
      <c r="K32" s="5" t="s"/>
      <c r="L32" s="5" t="s"/>
    </row>
    <row r="33" spans="1:12" ht="18.75">
      <c r="A33" s="4">
        <v>32</v>
      </c>
      <c r="B33" s="4" t="s">
        <v>2160</v>
      </c>
      <c r="C33" s="4">
        <v>2737</v>
      </c>
      <c r="D33" s="4" t="str">
        <f>=VLOOKUP(B33,[2]在校生综合信息查询!$A$132:$C$180,2,0)</f>
        <v>24q710103038</v>
      </c>
      <c r="E33" s="4" t="s"/>
      <c r="F33" s="4" t="s"/>
      <c r="G33" s="12">
        <v>19</v>
      </c>
      <c r="H33" s="12">
        <v>18</v>
      </c>
      <c r="I33" s="12">
        <v>14</v>
      </c>
      <c r="J33" s="12">
        <v>4</v>
      </c>
      <c r="K33" s="5" t="s"/>
      <c r="L33" s="5" t="s"/>
    </row>
    <row r="34" spans="1:12" ht="18.75">
      <c r="A34" s="4">
        <v>33</v>
      </c>
      <c r="B34" s="4" t="s">
        <v>2162</v>
      </c>
      <c r="C34" s="4">
        <v>2738</v>
      </c>
      <c r="D34" s="4" t="str">
        <f>=VLOOKUP(B34,[2]在校生综合信息查询!$A$132:$C$180,2,0)</f>
        <v>24q710103039</v>
      </c>
      <c r="E34" s="4" t="s"/>
      <c r="F34" s="4" t="s"/>
      <c r="G34" s="12">
        <v>24.5</v>
      </c>
      <c r="H34" s="12">
        <v>10</v>
      </c>
      <c r="I34" s="12">
        <v>26</v>
      </c>
      <c r="J34" s="12">
        <v>16</v>
      </c>
      <c r="K34" s="5" t="s"/>
      <c r="L34" s="5" t="s"/>
    </row>
    <row r="35" spans="1:12" ht="18.75">
      <c r="A35" s="4">
        <v>34</v>
      </c>
      <c r="B35" s="4" t="s">
        <v>2164</v>
      </c>
      <c r="C35" s="4">
        <v>2739</v>
      </c>
      <c r="D35" s="4" t="str">
        <f>=VLOOKUP(B35,[2]在校生综合信息查询!$A$132:$C$180,2,0)</f>
        <v>24q710103040</v>
      </c>
      <c r="E35" s="4" t="s"/>
      <c r="F35" s="4" t="s"/>
      <c r="G35" s="12">
        <v>26</v>
      </c>
      <c r="H35" s="12">
        <v>6</v>
      </c>
      <c r="I35" s="12">
        <v>17</v>
      </c>
      <c r="J35" s="12">
        <v>24</v>
      </c>
      <c r="K35" s="5" t="s"/>
      <c r="L35" s="5" t="s"/>
    </row>
    <row r="36" spans="1:12" ht="18.75">
      <c r="A36" s="4">
        <v>35</v>
      </c>
      <c r="B36" s="4" t="s">
        <v>2166</v>
      </c>
      <c r="C36" s="4">
        <v>2743</v>
      </c>
      <c r="D36" s="4" t="str">
        <f>=VLOOKUP(B36,[2]在校生综合信息查询!$A$132:$C$180,2,0)</f>
        <v>24q770303019</v>
      </c>
      <c r="E36" s="4" t="s"/>
      <c r="F36" s="4" t="s"/>
      <c r="G36" s="12">
        <v>45</v>
      </c>
      <c r="H36" s="12">
        <v>24</v>
      </c>
      <c r="I36" s="12">
        <v>20</v>
      </c>
      <c r="J36" s="83">
        <v>15</v>
      </c>
      <c r="K36" s="5" t="s"/>
      <c r="L36" s="5" t="s"/>
    </row>
    <row r="37" spans="1:12" ht="18.75">
      <c r="A37" s="4">
        <v>36</v>
      </c>
      <c r="B37" s="4" t="s">
        <v>2168</v>
      </c>
      <c r="C37" s="4">
        <v>2755</v>
      </c>
      <c r="D37" s="4" t="str">
        <f>=VLOOKUP(B37,[2]在校生综合信息查询!$A$132:$C$180,2,0)</f>
        <v>24q710103042</v>
      </c>
      <c r="E37" s="4" t="s"/>
      <c r="F37" s="4" t="s"/>
      <c r="G37" s="12">
        <v>0</v>
      </c>
      <c r="H37" s="12">
        <v>0</v>
      </c>
      <c r="I37" s="12">
        <v>0</v>
      </c>
      <c r="J37" s="83">
        <v>0</v>
      </c>
      <c r="K37" s="5" t="s"/>
      <c r="L37" s="5" t="s"/>
    </row>
    <row r="38" spans="1:12" ht="18.75">
      <c r="A38" s="4">
        <v>37</v>
      </c>
      <c r="B38" s="4" t="s">
        <v>2170</v>
      </c>
      <c r="C38" s="4">
        <v>2756</v>
      </c>
      <c r="D38" s="4" t="str">
        <f>=VLOOKUP(B38,[2]在校生综合信息查询!$A$132:$C$180,2,0)</f>
        <v>24q710103288</v>
      </c>
      <c r="E38" s="4" t="s"/>
      <c r="F38" s="4" t="s"/>
      <c r="G38" s="12">
        <v>21</v>
      </c>
      <c r="H38" s="12">
        <v>14</v>
      </c>
      <c r="I38" s="12">
        <v>15</v>
      </c>
      <c r="J38" s="83">
        <v>29</v>
      </c>
      <c r="K38" s="5" t="s"/>
      <c r="L38" s="5" t="s"/>
    </row>
    <row r="39" spans="1:12" ht="18.75">
      <c r="A39" s="4">
        <v>38</v>
      </c>
      <c r="B39" s="4" t="s">
        <v>2172</v>
      </c>
      <c r="C39" s="4">
        <v>2744</v>
      </c>
      <c r="D39" s="4" t="str">
        <f>=VLOOKUP(B39,[2]在校生综合信息查询!$A$132:$C$180,2,0)</f>
        <v>24q710103044</v>
      </c>
      <c r="E39" s="4" t="s"/>
      <c r="F39" s="4" t="s"/>
      <c r="G39" s="12">
        <v>27.5</v>
      </c>
      <c r="H39" s="12">
        <v>26</v>
      </c>
      <c r="I39" s="12">
        <v>30</v>
      </c>
      <c r="J39" s="83">
        <v>22</v>
      </c>
      <c r="K39" s="5" t="s"/>
      <c r="L39" s="5" t="s"/>
    </row>
    <row r="40" spans="1:12" ht="18.75">
      <c r="A40" s="4">
        <v>39</v>
      </c>
      <c r="B40" s="4" t="s">
        <v>2174</v>
      </c>
      <c r="C40" s="4">
        <v>2746</v>
      </c>
      <c r="D40" s="4" t="str">
        <f>=VLOOKUP(B40,[2]在校生综合信息查询!$A$132:$C$180,2,0)</f>
        <v>24q710103220</v>
      </c>
      <c r="E40" s="4" t="s"/>
      <c r="F40" s="4" t="s"/>
      <c r="G40" s="12">
        <v>0</v>
      </c>
      <c r="H40" s="12">
        <v>0</v>
      </c>
      <c r="I40" s="12">
        <v>0</v>
      </c>
      <c r="J40" s="83">
        <v>0</v>
      </c>
      <c r="K40" s="5" t="s"/>
      <c r="L40" s="5" t="s"/>
    </row>
    <row r="41" spans="1:12" ht="18.75">
      <c r="A41" s="4">
        <v>40</v>
      </c>
      <c r="B41" s="4" t="s">
        <v>2176</v>
      </c>
      <c r="C41" s="4">
        <v>2745</v>
      </c>
      <c r="D41" s="4" t="str">
        <f>=VLOOKUP(B41,[2]在校生综合信息查询!$A$132:$C$180,2,0)</f>
        <v>24q710103045</v>
      </c>
      <c r="E41" s="4" t="s"/>
      <c r="F41" s="4" t="s"/>
      <c r="G41" s="12">
        <v>13</v>
      </c>
      <c r="H41" s="12">
        <v>15</v>
      </c>
      <c r="I41" s="12">
        <v>18</v>
      </c>
      <c r="J41" s="83">
        <v>0</v>
      </c>
      <c r="K41" s="5" t="s"/>
      <c r="L41" s="5" t="s"/>
    </row>
    <row r="42" spans="1:12" ht="18.75">
      <c r="A42" s="4">
        <v>41</v>
      </c>
      <c r="B42" s="4" t="s">
        <v>2178</v>
      </c>
      <c r="C42" s="4" t="s"/>
      <c r="D42" s="4" t="str">
        <f>=VLOOKUP(B42,[2]在校生综合信息查询!$A$132:$C$180,2,0)</f>
        <v>24q710103286152</v>
      </c>
      <c r="E42" s="4" t="s"/>
      <c r="F42" s="4" t="s"/>
      <c r="G42" s="12">
        <v>37</v>
      </c>
      <c r="H42" s="12">
        <v>30</v>
      </c>
      <c r="I42" s="12">
        <v>39</v>
      </c>
      <c r="J42" s="83">
        <v>23</v>
      </c>
      <c r="K42" s="5" t="s"/>
      <c r="L42" s="5" t="s"/>
    </row>
    <row r="43" spans="1:12" ht="18.75">
      <c r="A43" s="4">
        <v>42</v>
      </c>
      <c r="B43" s="4" t="s">
        <v>2180</v>
      </c>
      <c r="C43" s="4" t="s"/>
      <c r="D43" s="4" t="str">
        <f>=VLOOKUP(B43,[2]在校生综合信息查询!$A$132:$C$180,2,0)</f>
        <v>24q770303036</v>
      </c>
      <c r="E43" s="4" t="s"/>
      <c r="F43" s="4" t="s"/>
      <c r="G43" s="12">
        <v>0</v>
      </c>
      <c r="H43" s="12">
        <v>0</v>
      </c>
      <c r="I43" s="12">
        <v>0</v>
      </c>
      <c r="J43" s="83">
        <v>0</v>
      </c>
      <c r="K43" s="5" t="s"/>
      <c r="L43" s="5" t="s"/>
    </row>
    <row r="44" spans="1:12" ht="18.75">
      <c r="A44" s="4">
        <v>43</v>
      </c>
      <c r="B44" s="4" t="s">
        <v>2182</v>
      </c>
      <c r="C44" s="4" t="s"/>
      <c r="D44" s="4" t="str">
        <f>=VLOOKUP(B44,[2]在校生综合信息查询!$A$132:$C$180,2,0)</f>
        <v>24q7101032971</v>
      </c>
      <c r="E44" s="4" t="s"/>
      <c r="F44" s="4" t="s"/>
      <c r="G44" s="12">
        <v>14.5</v>
      </c>
      <c r="H44" s="12">
        <v>15</v>
      </c>
      <c r="I44" s="12">
        <v>10</v>
      </c>
      <c r="J44" s="83">
        <v>4</v>
      </c>
      <c r="K44" s="5" t="s"/>
      <c r="L44" s="5" t="s"/>
    </row>
    <row r="45" spans="1:12" ht="18.75">
      <c r="A45" s="4">
        <v>44</v>
      </c>
      <c r="B45" s="4" t="s">
        <v>2184</v>
      </c>
      <c r="C45" s="4" t="s"/>
      <c r="D45" s="4" t="str">
        <f>=VLOOKUP(B45,[2]在校生综合信息查询!$A$132:$C$180,2,0)</f>
        <v>24q710103048</v>
      </c>
      <c r="E45" s="4" t="s"/>
      <c r="F45" s="4" t="s"/>
      <c r="G45" s="12">
        <v>0</v>
      </c>
      <c r="H45" s="12">
        <v>0</v>
      </c>
      <c r="I45" s="12">
        <v>0</v>
      </c>
      <c r="J45" s="83">
        <v>0</v>
      </c>
      <c r="K45" s="5" t="s"/>
      <c r="L45" s="5" t="s"/>
    </row>
    <row r="46" spans="1:12" ht="18.75">
      <c r="A46" s="4">
        <v>45</v>
      </c>
      <c r="B46" s="4" t="s">
        <v>2186</v>
      </c>
      <c r="C46" s="4" t="s"/>
      <c r="D46" s="4" t="str">
        <f>=VLOOKUP(B46,[2]在校生综合信息查询!$A$132:$C$180,2,0)</f>
        <v>24q710103313</v>
      </c>
      <c r="E46" s="4" t="s"/>
      <c r="F46" s="4" t="s"/>
      <c r="G46" s="12">
        <v>45.5</v>
      </c>
      <c r="H46" s="12">
        <v>17</v>
      </c>
      <c r="I46" s="12">
        <v>22</v>
      </c>
      <c r="J46" s="83">
        <v>15</v>
      </c>
      <c r="K46" s="5" t="s"/>
      <c r="L46" s="5" t="s"/>
    </row>
    <row r="47" spans="1:12" ht="18.75">
      <c r="A47" s="4">
        <v>46</v>
      </c>
      <c r="B47" s="4" t="s">
        <v>2188</v>
      </c>
      <c r="C47" s="4" t="s"/>
      <c r="D47" s="4" t="str">
        <f>=VLOOKUP(B47,[2]在校生综合信息查询!$A$132:$C$180,2,0)</f>
        <v>24q7101032107</v>
      </c>
      <c r="E47" s="4" t="s"/>
      <c r="F47" s="4" t="s"/>
      <c r="G47" s="12">
        <v>0</v>
      </c>
      <c r="H47" s="12">
        <v>0</v>
      </c>
      <c r="I47" s="12">
        <v>0</v>
      </c>
      <c r="J47" s="83">
        <v>0</v>
      </c>
      <c r="K47" s="5" t="s"/>
      <c r="L47" s="5" t="s"/>
    </row>
    <row r="48" spans="1:12" ht="18.75">
      <c r="A48" s="4">
        <v>47</v>
      </c>
      <c r="B48" s="4" t="s">
        <v>2190</v>
      </c>
      <c r="C48" s="4" t="s"/>
      <c r="D48" s="4" t="str">
        <f>=VLOOKUP(B48,[2]在校生综合信息查询!$A$132:$C$180,2,0)</f>
        <v>24q710103049</v>
      </c>
      <c r="E48" s="4" t="s"/>
      <c r="F48" s="4" t="s"/>
      <c r="G48" s="12">
        <v>21.5</v>
      </c>
      <c r="H48" s="12">
        <v>15</v>
      </c>
      <c r="I48" s="12">
        <v>25</v>
      </c>
      <c r="J48" s="83">
        <v>8</v>
      </c>
      <c r="K48" s="5" t="s"/>
      <c r="L48" s="5" t="s"/>
    </row>
    <row r="49" spans="1:12" ht="18.75">
      <c r="A49" s="4">
        <v>48</v>
      </c>
      <c r="B49" s="4" t="s">
        <v>2192</v>
      </c>
      <c r="C49" s="4" t="s"/>
      <c r="D49" s="4" t="str">
        <f>=VLOOKUP(B49,[2]在校生综合信息查询!$A$132:$C$180,2,0)</f>
        <v>24q7101032890</v>
      </c>
      <c r="E49" s="4" t="s"/>
      <c r="F49" s="4" t="s"/>
      <c r="G49" s="12">
        <v>28.5</v>
      </c>
      <c r="H49" s="12">
        <v>11</v>
      </c>
      <c r="I49" s="12">
        <v>14</v>
      </c>
      <c r="J49" s="83">
        <v>26</v>
      </c>
      <c r="K49" s="5" t="s"/>
      <c r="L49" s="5" t="s"/>
    </row>
    <row r="50" spans="1:12" ht="18.75">
      <c r="A50" s="4">
        <v>49</v>
      </c>
      <c r="B50" s="4" t="s">
        <v>2194</v>
      </c>
      <c r="C50" s="4" t="s"/>
      <c r="D50" s="4" t="str">
        <f>=VLOOKUP(B50,[2]在校生综合信息查询!$A$132:$C$180,2,0)</f>
        <v>24q710103051</v>
      </c>
      <c r="E50" s="4" t="s"/>
      <c r="F50" s="4" t="s"/>
      <c r="G50" s="12">
        <v>10.5</v>
      </c>
      <c r="H50" s="12">
        <v>18</v>
      </c>
      <c r="I50" s="12">
        <v>29</v>
      </c>
      <c r="J50" s="83">
        <v>15</v>
      </c>
      <c r="K50" s="5" t="s"/>
      <c r="L50" s="5" t="s"/>
    </row>
    <row r="51" spans="10:10">
      <c r="J51" s="28" t="s"/>
    </row>
    <row r="52" spans="10:10">
      <c r="J52" s="28" t="s"/>
    </row>
    <row r="53" spans="10:10">
      <c r="J53" s="28" t="s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/>
  <dimension ref="J80"/>
  <sheetViews>
    <sheetView showGridLines="1" workbookViewId="0"/>
  </sheetViews>
  <sheetFormatPr defaultColWidth="8.75" defaultRowHeight="14.25"/>
  <cols>
    <col min="1" max="1" width="8.75" style="122"/>
    <col min="2" max="2" width="9.5" style="123"/>
    <col min="3" max="3" width="0" style="123" hidden="1" customWidth="1"/>
    <col min="4" max="4" width="17.375" style="123" customWidth="1"/>
    <col min="5" max="7" width="8.75" style="123"/>
    <col min="8" max="8" width="28.25" customWidth="1"/>
    <col min="9" max="9" width="29" customWidth="1"/>
    <col min="10" max="10" width="22.6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143</v>
      </c>
      <c r="I1" s="4" t="s">
        <v>144</v>
      </c>
      <c r="J1" s="4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2196</v>
      </c>
      <c r="C2" s="4">
        <v>2700</v>
      </c>
      <c r="D2" s="4" t="str">
        <f>=VLOOKUP(B2,[2]在校生综合信息查询!$A$181:$C$263,2,0)</f>
        <v>24q710103125</v>
      </c>
      <c r="E2" s="7">
        <v>42</v>
      </c>
      <c r="F2" s="7">
        <v>8</v>
      </c>
      <c r="G2" s="7">
        <v>29</v>
      </c>
      <c r="H2" s="12">
        <v>41</v>
      </c>
      <c r="I2" s="83">
        <v>28</v>
      </c>
      <c r="J2" s="12">
        <v>23</v>
      </c>
      <c r="K2" s="5">
        <f>=E2+F2+G2+H2+I2+J2</f>
        <v>171</v>
      </c>
      <c r="L2" s="5" t="s"/>
    </row>
    <row r="3" spans="1:12" ht="18.75">
      <c r="A3" s="4">
        <v>2</v>
      </c>
      <c r="B3" s="4" t="s">
        <v>2198</v>
      </c>
      <c r="C3" s="4">
        <v>2690</v>
      </c>
      <c r="D3" s="4" t="str">
        <f>=VLOOKUP(B3,[2]在校生综合信息查询!$A$181:$C$263,2,0)</f>
        <v>24q710103127</v>
      </c>
      <c r="E3" s="7">
        <v>53</v>
      </c>
      <c r="F3" s="7">
        <v>64</v>
      </c>
      <c r="G3" s="7">
        <v>55.5</v>
      </c>
      <c r="H3" s="12">
        <v>41</v>
      </c>
      <c r="I3" s="83">
        <v>40</v>
      </c>
      <c r="J3" s="12">
        <v>32</v>
      </c>
      <c r="K3" s="5">
        <f>=E3+F3+G3+H3+I3+J3</f>
        <v>285.5</v>
      </c>
      <c r="L3" s="5" t="s"/>
    </row>
    <row r="4" spans="1:12" ht="18.75">
      <c r="A4" s="4">
        <v>3</v>
      </c>
      <c r="B4" s="4" t="s">
        <v>2200</v>
      </c>
      <c r="C4" s="4">
        <v>2709</v>
      </c>
      <c r="D4" s="4" t="str">
        <f>=VLOOKUP(B4,[2]在校生综合信息查询!$A$181:$C$263,2,0)</f>
        <v>24q710103130</v>
      </c>
      <c r="E4" s="7">
        <v>33</v>
      </c>
      <c r="F4" s="7">
        <v>38</v>
      </c>
      <c r="G4" s="7">
        <v>40.5</v>
      </c>
      <c r="H4" s="12">
        <v>29</v>
      </c>
      <c r="I4" s="83">
        <v>31</v>
      </c>
      <c r="J4" s="12">
        <v>26</v>
      </c>
      <c r="K4" s="5">
        <f>=E4+F4+G4+H4+I4+J4</f>
        <v>197.5</v>
      </c>
      <c r="L4" s="5" t="s"/>
    </row>
    <row r="5" spans="1:12" ht="18.75">
      <c r="A5" s="4">
        <v>4</v>
      </c>
      <c r="B5" s="4" t="s">
        <v>2202</v>
      </c>
      <c r="C5" s="4">
        <v>2635</v>
      </c>
      <c r="D5" s="4" t="str">
        <f>=VLOOKUP(B5,[2]在校生综合信息查询!$A$181:$C$263,2,0)</f>
        <v>24q710103193</v>
      </c>
      <c r="E5" s="7">
        <v>9</v>
      </c>
      <c r="F5" s="7">
        <v>12</v>
      </c>
      <c r="G5" s="7">
        <v>37.5</v>
      </c>
      <c r="H5" s="12">
        <v>26</v>
      </c>
      <c r="I5" s="83">
        <v>26</v>
      </c>
      <c r="J5" s="12">
        <v>17</v>
      </c>
      <c r="K5" s="5">
        <f>=E5+F5+G5+H5+I5+J5</f>
        <v>127.5</v>
      </c>
      <c r="L5" s="5" t="s"/>
    </row>
    <row r="6" spans="1:12" ht="18.75">
      <c r="A6" s="4">
        <v>5</v>
      </c>
      <c r="B6" s="4" t="s">
        <v>2204</v>
      </c>
      <c r="C6" s="4">
        <v>2707</v>
      </c>
      <c r="D6" s="4" t="str">
        <f>=VLOOKUP(B6,[2]在校生综合信息查询!$A$181:$C$263,2,0)</f>
        <v>24q710103842</v>
      </c>
      <c r="E6" s="7">
        <v>6</v>
      </c>
      <c r="F6" s="7">
        <v>20</v>
      </c>
      <c r="G6" s="7">
        <v>22</v>
      </c>
      <c r="H6" s="12">
        <v>21</v>
      </c>
      <c r="I6" s="83">
        <v>10</v>
      </c>
      <c r="J6" s="12">
        <v>31</v>
      </c>
      <c r="K6" s="5">
        <f>=E6+F6+G6+H6+I6+J6</f>
        <v>110</v>
      </c>
      <c r="L6" s="5" t="s"/>
    </row>
    <row r="7" spans="1:12" ht="18.75">
      <c r="A7" s="4">
        <v>6</v>
      </c>
      <c r="B7" s="4" t="s">
        <v>2206</v>
      </c>
      <c r="C7" s="4">
        <v>2701</v>
      </c>
      <c r="D7" s="4" t="str">
        <f>=VLOOKUP(B7,[2]在校生综合信息查询!$A$181:$C$263,2,0)</f>
        <v>24q710103135</v>
      </c>
      <c r="E7" s="7">
        <v>54</v>
      </c>
      <c r="F7" s="7">
        <v>12</v>
      </c>
      <c r="G7" s="7">
        <v>22.5</v>
      </c>
      <c r="H7" s="12">
        <v>34</v>
      </c>
      <c r="I7" s="83">
        <v>33</v>
      </c>
      <c r="J7" s="12">
        <v>25</v>
      </c>
      <c r="K7" s="5">
        <f>=E7+F7+G7+H7+I7+J7</f>
        <v>180.5</v>
      </c>
      <c r="L7" s="5" t="s"/>
    </row>
    <row r="8" spans="1:12" ht="18.75">
      <c r="A8" s="4">
        <v>7</v>
      </c>
      <c r="B8" s="4" t="s">
        <v>2208</v>
      </c>
      <c r="C8" s="4">
        <v>2683</v>
      </c>
      <c r="D8" s="4" t="str">
        <f>=VLOOKUP(B8,[2]在校生综合信息查询!$A$181:$C$263,2,0)</f>
        <v>24q710103141</v>
      </c>
      <c r="E8" s="7">
        <v>0</v>
      </c>
      <c r="F8" s="7">
        <v>0</v>
      </c>
      <c r="G8" s="7">
        <v>0</v>
      </c>
      <c r="H8" s="12">
        <v>0</v>
      </c>
      <c r="I8" s="83">
        <v>0</v>
      </c>
      <c r="J8" s="12">
        <v>0</v>
      </c>
      <c r="K8" s="5">
        <f>=E8+F8+G8+H8+I8+J8</f>
        <v>0</v>
      </c>
      <c r="L8" s="5" t="s"/>
    </row>
    <row r="9" spans="1:12" ht="18.75">
      <c r="A9" s="4">
        <v>8</v>
      </c>
      <c r="B9" s="4" t="s">
        <v>2210</v>
      </c>
      <c r="C9" s="4">
        <v>2710</v>
      </c>
      <c r="D9" s="4" t="str">
        <f>=VLOOKUP(B9,[2]在校生综合信息查询!$A$181:$C$263,2,0)</f>
        <v>24q710103142</v>
      </c>
      <c r="E9" s="7">
        <v>37</v>
      </c>
      <c r="F9" s="7">
        <v>60</v>
      </c>
      <c r="G9" s="7">
        <v>44</v>
      </c>
      <c r="H9" s="12">
        <v>31</v>
      </c>
      <c r="I9" s="83">
        <v>35</v>
      </c>
      <c r="J9" s="12">
        <v>28</v>
      </c>
      <c r="K9" s="5">
        <f>=E9+F9+G9+H9+I9+J9</f>
        <v>235</v>
      </c>
      <c r="L9" s="5" t="s"/>
    </row>
    <row r="10" spans="1:12" ht="18.75">
      <c r="A10" s="4">
        <v>9</v>
      </c>
      <c r="B10" s="4" t="s">
        <v>2212</v>
      </c>
      <c r="C10" s="4">
        <v>2702</v>
      </c>
      <c r="D10" s="4" t="str">
        <f>=VLOOKUP(B10,[2]在校生综合信息查询!$A$181:$C$263,2,0)</f>
        <v>24q710103143</v>
      </c>
      <c r="E10" s="7">
        <v>53</v>
      </c>
      <c r="F10" s="7">
        <v>16</v>
      </c>
      <c r="G10" s="7">
        <v>27</v>
      </c>
      <c r="H10" s="12">
        <v>16</v>
      </c>
      <c r="I10" s="83">
        <v>18</v>
      </c>
      <c r="J10" s="12">
        <v>36</v>
      </c>
      <c r="K10" s="5">
        <f>=E10+F10+G10+H10+I10+J10</f>
        <v>166</v>
      </c>
      <c r="L10" s="5" t="s"/>
    </row>
    <row r="11" spans="1:12" ht="18.75">
      <c r="A11" s="4">
        <v>10</v>
      </c>
      <c r="B11" s="4" t="s">
        <v>2214</v>
      </c>
      <c r="C11" s="4">
        <v>2703</v>
      </c>
      <c r="D11" s="4" t="str">
        <f>=VLOOKUP(B11,[2]在校生综合信息查询!$A$181:$C$263,2,0)</f>
        <v>24q710103146</v>
      </c>
      <c r="E11" s="7">
        <v>36</v>
      </c>
      <c r="F11" s="7">
        <v>32</v>
      </c>
      <c r="G11" s="7">
        <v>25.5</v>
      </c>
      <c r="H11" s="12">
        <v>33</v>
      </c>
      <c r="I11" s="83">
        <v>15</v>
      </c>
      <c r="J11" s="12">
        <v>29</v>
      </c>
      <c r="K11" s="5">
        <f>=E11+F11+G11+H11+I11+J11</f>
        <v>170.5</v>
      </c>
      <c r="L11" s="5" t="s"/>
    </row>
    <row r="12" spans="1:12" ht="18.75">
      <c r="A12" s="4">
        <v>11</v>
      </c>
      <c r="B12" s="4" t="s">
        <v>2216</v>
      </c>
      <c r="C12" s="4">
        <v>2684</v>
      </c>
      <c r="D12" s="4" t="str">
        <f>=VLOOKUP(B12,[2]在校生综合信息查询!$A$181:$C$263,2,0)</f>
        <v>24q710103148</v>
      </c>
      <c r="E12" s="7">
        <v>31</v>
      </c>
      <c r="F12" s="7">
        <v>40</v>
      </c>
      <c r="G12" s="7">
        <v>48.5</v>
      </c>
      <c r="H12" s="12">
        <v>23</v>
      </c>
      <c r="I12" s="83">
        <v>6</v>
      </c>
      <c r="J12" s="12">
        <v>15</v>
      </c>
      <c r="K12" s="5">
        <f>=E12+F12+G12+H12+I12+J12</f>
        <v>163.5</v>
      </c>
      <c r="L12" s="5" t="s"/>
    </row>
    <row r="13" spans="1:12" ht="18.75">
      <c r="A13" s="4">
        <v>12</v>
      </c>
      <c r="B13" s="4" t="s">
        <v>2218</v>
      </c>
      <c r="C13" s="4">
        <v>2704</v>
      </c>
      <c r="D13" s="4" t="str">
        <f>=VLOOKUP(B13,[2]在校生综合信息查询!$A$181:$C$263,2,0)</f>
        <v>24q710103154</v>
      </c>
      <c r="E13" s="7">
        <v>37</v>
      </c>
      <c r="F13" s="7">
        <v>24</v>
      </c>
      <c r="G13" s="7">
        <v>38.5</v>
      </c>
      <c r="H13" s="12">
        <v>25</v>
      </c>
      <c r="I13" s="83">
        <v>22</v>
      </c>
      <c r="J13" s="12">
        <v>8</v>
      </c>
      <c r="K13" s="5">
        <f>=E13+F13+G13+H13+I13+J13</f>
        <v>154.5</v>
      </c>
      <c r="L13" s="5" t="s"/>
    </row>
    <row r="14" spans="1:12" ht="18.75">
      <c r="A14" s="4">
        <v>13</v>
      </c>
      <c r="B14" s="4" t="s">
        <v>2220</v>
      </c>
      <c r="C14" s="4">
        <v>2636</v>
      </c>
      <c r="D14" s="4" t="str">
        <f>=VLOOKUP(B14,[2]在校生综合信息查询!$A$181:$C$263,2,0)</f>
        <v>24q710103197</v>
      </c>
      <c r="E14" s="7">
        <v>36</v>
      </c>
      <c r="F14" s="7">
        <v>29</v>
      </c>
      <c r="G14" s="7">
        <v>44.5</v>
      </c>
      <c r="H14" s="12">
        <v>35</v>
      </c>
      <c r="I14" s="83">
        <v>21</v>
      </c>
      <c r="J14" s="12">
        <v>26</v>
      </c>
      <c r="K14" s="5">
        <f>=E14+F14+G14+H14+I14+J14</f>
        <v>191.5</v>
      </c>
      <c r="L14" s="5" t="s"/>
    </row>
    <row r="15" spans="1:12" ht="18.75">
      <c r="A15" s="4">
        <v>14</v>
      </c>
      <c r="B15" s="4" t="s">
        <v>2222</v>
      </c>
      <c r="C15" s="4">
        <v>2698</v>
      </c>
      <c r="D15" s="4" t="str">
        <f>=VLOOKUP(B15,[2]在校生综合信息查询!$A$181:$C$263,2,0)</f>
        <v>24q710103156</v>
      </c>
      <c r="E15" s="7">
        <v>28</v>
      </c>
      <c r="F15" s="7">
        <v>38</v>
      </c>
      <c r="G15" s="7">
        <v>32</v>
      </c>
      <c r="H15" s="12">
        <v>33</v>
      </c>
      <c r="I15" s="83">
        <v>33</v>
      </c>
      <c r="J15" s="12">
        <v>37</v>
      </c>
      <c r="K15" s="5">
        <f>=E15+F15+G15+H15+I15+J15</f>
        <v>201</v>
      </c>
      <c r="L15" s="5" t="s"/>
    </row>
    <row r="16" spans="1:12" ht="18.75">
      <c r="A16" s="4">
        <v>15</v>
      </c>
      <c r="B16" s="4" t="s">
        <v>2224</v>
      </c>
      <c r="C16" s="4">
        <v>2637</v>
      </c>
      <c r="D16" s="4" t="str">
        <f>=VLOOKUP(B16,[2]在校生综合信息查询!$A$181:$C$263,2,0)</f>
        <v>24q710103198</v>
      </c>
      <c r="E16" s="7">
        <v>9</v>
      </c>
      <c r="F16" s="7">
        <v>12</v>
      </c>
      <c r="G16" s="7">
        <v>19</v>
      </c>
      <c r="H16" s="12">
        <v>15</v>
      </c>
      <c r="I16" s="83">
        <v>20</v>
      </c>
      <c r="J16" s="12">
        <v>4</v>
      </c>
      <c r="K16" s="5">
        <f>=E16+F16+G16+H16+I16+J16</f>
        <v>79</v>
      </c>
      <c r="L16" s="5" t="s"/>
    </row>
    <row r="17" spans="1:12" ht="18.75">
      <c r="A17" s="4">
        <v>16</v>
      </c>
      <c r="B17" s="4" t="s">
        <v>2226</v>
      </c>
      <c r="C17" s="4">
        <v>2697</v>
      </c>
      <c r="D17" s="4" t="str">
        <f>=VLOOKUP(B17,[2]在校生综合信息查询!$A$181:$C$263,2,0)</f>
        <v>24q710103164</v>
      </c>
      <c r="E17" s="7">
        <v>45</v>
      </c>
      <c r="F17" s="7">
        <v>34</v>
      </c>
      <c r="G17" s="7">
        <v>20</v>
      </c>
      <c r="H17" s="12">
        <v>37</v>
      </c>
      <c r="I17" s="83">
        <v>50</v>
      </c>
      <c r="J17" s="12">
        <v>39</v>
      </c>
      <c r="K17" s="5">
        <f>=E17+F17+G17+H17+I17+J17</f>
        <v>225</v>
      </c>
      <c r="L17" s="5" t="s"/>
    </row>
    <row r="18" spans="1:12" ht="18.75">
      <c r="A18" s="4">
        <v>17</v>
      </c>
      <c r="B18" s="4" t="s">
        <v>2228</v>
      </c>
      <c r="C18" s="4">
        <v>2638</v>
      </c>
      <c r="D18" s="4" t="str">
        <f>=VLOOKUP(B18,[2]在校生综合信息查询!$A$181:$C$263,2,0)</f>
        <v>24q710103199</v>
      </c>
      <c r="E18" s="7">
        <v>0</v>
      </c>
      <c r="F18" s="7">
        <v>0</v>
      </c>
      <c r="G18" s="7">
        <v>0</v>
      </c>
      <c r="H18" s="12">
        <v>0</v>
      </c>
      <c r="I18" s="83">
        <v>0</v>
      </c>
      <c r="J18" s="12">
        <v>0</v>
      </c>
      <c r="K18" s="5">
        <f>=E18+F18+G18+H18+I18+J18</f>
        <v>0</v>
      </c>
      <c r="L18" s="5" t="s"/>
    </row>
    <row r="19" spans="1:12" ht="18.75">
      <c r="A19" s="4">
        <v>18</v>
      </c>
      <c r="B19" s="4" t="s">
        <v>2230</v>
      </c>
      <c r="C19" s="4">
        <v>2639</v>
      </c>
      <c r="D19" s="4" t="str">
        <f>=VLOOKUP(B19,[2]在校生综合信息查询!$A$181:$C$263,2,0)</f>
        <v>24q710103200</v>
      </c>
      <c r="E19" s="7">
        <v>25</v>
      </c>
      <c r="F19" s="7">
        <v>12</v>
      </c>
      <c r="G19" s="7">
        <v>19.5</v>
      </c>
      <c r="H19" s="12">
        <v>18</v>
      </c>
      <c r="I19" s="83">
        <v>7</v>
      </c>
      <c r="J19" s="12">
        <v>17</v>
      </c>
      <c r="K19" s="5">
        <f>=E19+F19+G19+H19+I19+J19</f>
        <v>98.5</v>
      </c>
      <c r="L19" s="5" t="s"/>
    </row>
    <row r="20" spans="1:12" ht="18.75">
      <c r="A20" s="4">
        <v>19</v>
      </c>
      <c r="B20" s="4" t="s">
        <v>2232</v>
      </c>
      <c r="C20" s="4">
        <v>2640</v>
      </c>
      <c r="D20" s="4" t="str">
        <f>=VLOOKUP(B20,[2]在校生综合信息查询!$A$181:$C$263,2,0)</f>
        <v>24q710103202</v>
      </c>
      <c r="E20" s="7">
        <v>12</v>
      </c>
      <c r="F20" s="7">
        <v>24</v>
      </c>
      <c r="G20" s="7">
        <v>17.5</v>
      </c>
      <c r="H20" s="12">
        <v>30</v>
      </c>
      <c r="I20" s="83">
        <v>12</v>
      </c>
      <c r="J20" s="12">
        <v>16</v>
      </c>
      <c r="K20" s="5">
        <f>=E20+F20+G20+H20+I20+J20</f>
        <v>111.5</v>
      </c>
      <c r="L20" s="5" t="s"/>
    </row>
    <row r="21" spans="1:12" ht="18.75">
      <c r="A21" s="4">
        <v>20</v>
      </c>
      <c r="B21" s="4" t="s">
        <v>2234</v>
      </c>
      <c r="C21" s="4">
        <v>2641</v>
      </c>
      <c r="D21" s="4" t="str">
        <f>=VLOOKUP(B21,[2]在校生综合信息查询!$A$181:$C$263,2,0)</f>
        <v>24q710103203</v>
      </c>
      <c r="E21" s="7">
        <v>17</v>
      </c>
      <c r="F21" s="7">
        <v>4</v>
      </c>
      <c r="G21" s="7">
        <v>21.5</v>
      </c>
      <c r="H21" s="12">
        <v>15</v>
      </c>
      <c r="I21" s="83">
        <v>22</v>
      </c>
      <c r="J21" s="12">
        <v>26</v>
      </c>
      <c r="K21" s="5">
        <f>=E21+F21+G21+H21+I21+J21</f>
        <v>105.5</v>
      </c>
      <c r="L21" s="5" t="s"/>
    </row>
    <row r="22" spans="1:12" ht="18.75">
      <c r="A22" s="4">
        <v>21</v>
      </c>
      <c r="B22" s="4" t="s">
        <v>2236</v>
      </c>
      <c r="C22" s="4">
        <v>2642</v>
      </c>
      <c r="D22" s="4" t="str">
        <f>=VLOOKUP(B22,[2]在校生综合信息查询!$A$181:$C$263,2,0)</f>
        <v>24q710103204</v>
      </c>
      <c r="E22" s="7">
        <v>18</v>
      </c>
      <c r="F22" s="7">
        <v>20</v>
      </c>
      <c r="G22" s="7">
        <v>21.5</v>
      </c>
      <c r="H22" s="12">
        <v>29</v>
      </c>
      <c r="I22" s="83">
        <v>12</v>
      </c>
      <c r="J22" s="12">
        <v>6</v>
      </c>
      <c r="K22" s="5">
        <f>=E22+F22+G22+H22+I22+J22</f>
        <v>106.5</v>
      </c>
      <c r="L22" s="5" t="s"/>
    </row>
    <row r="23" spans="1:12" ht="18.75">
      <c r="A23" s="4">
        <v>22</v>
      </c>
      <c r="B23" s="4" t="s">
        <v>2238</v>
      </c>
      <c r="C23" s="4">
        <v>2643</v>
      </c>
      <c r="D23" s="4" t="str">
        <f>=VLOOKUP(B23,[2]在校生综合信息查询!$A$181:$C$263,2,0)</f>
        <v>24q710103205</v>
      </c>
      <c r="E23" s="7">
        <v>30</v>
      </c>
      <c r="F23" s="7">
        <v>12</v>
      </c>
      <c r="G23" s="7">
        <v>23</v>
      </c>
      <c r="H23" s="12">
        <v>29</v>
      </c>
      <c r="I23" s="83">
        <v>11</v>
      </c>
      <c r="J23" s="12">
        <v>31</v>
      </c>
      <c r="K23" s="5">
        <f>=E23+F23+G23+H23+I23+J23</f>
        <v>136</v>
      </c>
      <c r="L23" s="5" t="s"/>
    </row>
    <row r="24" spans="1:12" ht="18.75">
      <c r="A24" s="4">
        <v>23</v>
      </c>
      <c r="B24" s="4" t="s">
        <v>2240</v>
      </c>
      <c r="C24" s="4">
        <v>2681</v>
      </c>
      <c r="D24" s="4" t="str">
        <f>=VLOOKUP(B24,[2]在校生综合信息查询!$A$181:$C$263,2,0)</f>
        <v>24q7101032103</v>
      </c>
      <c r="E24" s="7">
        <v>41</v>
      </c>
      <c r="F24" s="7">
        <v>32</v>
      </c>
      <c r="G24" s="7">
        <v>22</v>
      </c>
      <c r="H24" s="12">
        <v>26</v>
      </c>
      <c r="I24" s="83">
        <v>28</v>
      </c>
      <c r="J24" s="12">
        <v>38</v>
      </c>
      <c r="K24" s="5">
        <f>=E24+F24+G24+H24+I24+J24</f>
        <v>187</v>
      </c>
      <c r="L24" s="5" t="s"/>
    </row>
    <row r="25" spans="1:12" ht="18.75">
      <c r="A25" s="4">
        <v>24</v>
      </c>
      <c r="B25" s="4" t="s">
        <v>2242</v>
      </c>
      <c r="C25" s="4">
        <v>2644</v>
      </c>
      <c r="D25" s="4" t="str">
        <f>=VLOOKUP(B25,[2]在校生综合信息查询!$A$181:$C$263,2,0)</f>
        <v>24q710103206</v>
      </c>
      <c r="E25" s="7">
        <v>0</v>
      </c>
      <c r="F25" s="7">
        <v>0</v>
      </c>
      <c r="G25" s="7">
        <v>0</v>
      </c>
      <c r="H25" s="12">
        <v>0</v>
      </c>
      <c r="I25" s="83">
        <v>0</v>
      </c>
      <c r="J25" s="12">
        <v>0</v>
      </c>
      <c r="K25" s="5">
        <f>=E25+F25+G25+H25+I25+J25</f>
        <v>0</v>
      </c>
      <c r="L25" s="5" t="s"/>
    </row>
    <row r="26" spans="1:12" ht="18.75">
      <c r="A26" s="4">
        <v>25</v>
      </c>
      <c r="B26" s="4" t="s">
        <v>2244</v>
      </c>
      <c r="C26" s="4">
        <v>2696</v>
      </c>
      <c r="D26" s="4" t="str">
        <f>=VLOOKUP(B26,[2]在校生综合信息查询!$A$181:$C$263,2,0)</f>
        <v>24q710103172</v>
      </c>
      <c r="E26" s="7">
        <v>38</v>
      </c>
      <c r="F26" s="7">
        <v>40</v>
      </c>
      <c r="G26" s="7">
        <v>28</v>
      </c>
      <c r="H26" s="12">
        <v>39</v>
      </c>
      <c r="I26" s="83">
        <v>18</v>
      </c>
      <c r="J26" s="12">
        <v>39</v>
      </c>
      <c r="K26" s="5">
        <f>=E26+F26+G26+H26+I26+J26</f>
        <v>202</v>
      </c>
      <c r="L26" s="5" t="s"/>
    </row>
    <row r="27" spans="1:12" ht="18.75">
      <c r="A27" s="4">
        <v>26</v>
      </c>
      <c r="B27" s="4" t="s">
        <v>2246</v>
      </c>
      <c r="C27" s="4">
        <v>2689</v>
      </c>
      <c r="D27" s="4" t="str">
        <f>=VLOOKUP(B27,[2]在校生综合信息查询!$A$181:$C$263,2,0)</f>
        <v>5101624270495</v>
      </c>
      <c r="E27" s="7">
        <v>23</v>
      </c>
      <c r="F27" s="7">
        <v>12</v>
      </c>
      <c r="G27" s="7">
        <v>23</v>
      </c>
      <c r="H27" s="12">
        <v>15</v>
      </c>
      <c r="I27" s="83">
        <v>14</v>
      </c>
      <c r="J27" s="12">
        <v>26</v>
      </c>
      <c r="K27" s="5">
        <f>=E27+F27+G27+H27+I27+J27</f>
        <v>113</v>
      </c>
      <c r="L27" s="5" t="s"/>
    </row>
    <row r="28" spans="1:12" ht="18.75">
      <c r="A28" s="4">
        <v>27</v>
      </c>
      <c r="B28" s="4" t="s">
        <v>2248</v>
      </c>
      <c r="C28" s="4">
        <v>2645</v>
      </c>
      <c r="D28" s="4" t="str">
        <f>=VLOOKUP(B28,[2]在校生综合信息查询!$A$181:$C$263,2,0)</f>
        <v>24q710103208</v>
      </c>
      <c r="E28" s="7">
        <v>33</v>
      </c>
      <c r="F28" s="7">
        <v>32</v>
      </c>
      <c r="G28" s="7">
        <v>37</v>
      </c>
      <c r="H28" s="12">
        <v>33</v>
      </c>
      <c r="I28" s="83">
        <v>13</v>
      </c>
      <c r="J28" s="12">
        <v>33</v>
      </c>
      <c r="K28" s="5">
        <f>=E28+F28+G28+H28+I28+J28</f>
        <v>181</v>
      </c>
      <c r="L28" s="5" t="s"/>
    </row>
    <row r="29" spans="1:12" ht="18.75">
      <c r="A29" s="4">
        <v>28</v>
      </c>
      <c r="B29" s="4" t="s">
        <v>2250</v>
      </c>
      <c r="C29" s="4">
        <v>2646</v>
      </c>
      <c r="D29" s="4" t="str">
        <f>=VLOOKUP(B29,[2]在校生综合信息查询!$A$181:$C$263,2,0)</f>
        <v>24q710103209</v>
      </c>
      <c r="E29" s="7">
        <v>26</v>
      </c>
      <c r="F29" s="7">
        <v>24</v>
      </c>
      <c r="G29" s="7">
        <v>21.5</v>
      </c>
      <c r="H29" s="12">
        <v>29</v>
      </c>
      <c r="I29" s="83">
        <v>16</v>
      </c>
      <c r="J29" s="12">
        <v>18</v>
      </c>
      <c r="K29" s="5">
        <f>=E29+F29+G29+H29+I29+J29</f>
        <v>134.5</v>
      </c>
      <c r="L29" s="5" t="s"/>
    </row>
    <row r="30" spans="1:12" ht="18.75">
      <c r="A30" s="4">
        <v>29</v>
      </c>
      <c r="B30" s="4" t="s">
        <v>2252</v>
      </c>
      <c r="C30" s="4">
        <v>2647</v>
      </c>
      <c r="D30" s="4" t="str">
        <f>=VLOOKUP(B30,[2]在校生综合信息查询!$A$181:$C$263,2,0)</f>
        <v>24q710103210</v>
      </c>
      <c r="E30" s="7">
        <v>25</v>
      </c>
      <c r="F30" s="7">
        <v>12</v>
      </c>
      <c r="G30" s="7">
        <v>12.5</v>
      </c>
      <c r="H30" s="12">
        <v>3</v>
      </c>
      <c r="I30" s="83">
        <v>11</v>
      </c>
      <c r="J30" s="12">
        <v>11</v>
      </c>
      <c r="K30" s="5">
        <f>=E30+F30+G30+H30+I30+J30</f>
        <v>74.5</v>
      </c>
      <c r="L30" s="5" t="s"/>
    </row>
    <row r="31" spans="1:12" ht="18.75">
      <c r="A31" s="4">
        <v>30</v>
      </c>
      <c r="B31" s="4" t="s">
        <v>2254</v>
      </c>
      <c r="C31" s="4">
        <v>2648</v>
      </c>
      <c r="D31" s="4" t="str">
        <f>=VLOOKUP(B31,[2]在校生综合信息查询!$A$181:$C$263,2,0)</f>
        <v>24q710103211</v>
      </c>
      <c r="E31" s="7">
        <v>13</v>
      </c>
      <c r="F31" s="7">
        <v>8</v>
      </c>
      <c r="G31" s="7">
        <v>20.5</v>
      </c>
      <c r="H31" s="12">
        <v>31</v>
      </c>
      <c r="I31" s="83">
        <v>25</v>
      </c>
      <c r="J31" s="12">
        <v>22</v>
      </c>
      <c r="K31" s="5">
        <f>=E31+F31+G31+H31+I31+J31</f>
        <v>119.5</v>
      </c>
      <c r="L31" s="5" t="s"/>
    </row>
    <row r="32" spans="1:12" ht="18.75">
      <c r="A32" s="4">
        <v>31</v>
      </c>
      <c r="B32" s="4" t="s">
        <v>2256</v>
      </c>
      <c r="C32" s="4">
        <v>2693</v>
      </c>
      <c r="D32" s="4" t="str">
        <f>=VLOOKUP(B32,[2]在校生综合信息查询!$A$181:$C$263,2,0)</f>
        <v>24q710201172</v>
      </c>
      <c r="E32" s="7">
        <v>15</v>
      </c>
      <c r="F32" s="7">
        <v>12</v>
      </c>
      <c r="G32" s="7">
        <v>16.5</v>
      </c>
      <c r="H32" s="12">
        <v>34</v>
      </c>
      <c r="I32" s="83">
        <v>14</v>
      </c>
      <c r="J32" s="12">
        <v>11</v>
      </c>
      <c r="K32" s="5">
        <f>=E32+F32+G32+H32+I32+J32</f>
        <v>102.5</v>
      </c>
      <c r="L32" s="5" t="s"/>
    </row>
    <row r="33" spans="1:12" ht="18.75">
      <c r="A33" s="4">
        <v>32</v>
      </c>
      <c r="B33" s="4" t="s">
        <v>2258</v>
      </c>
      <c r="C33" s="4">
        <v>2649</v>
      </c>
      <c r="D33" s="4" t="str">
        <f>=VLOOKUP(B33,[2]在校生综合信息查询!$A$181:$C$263,2,0)</f>
        <v>24q710103212</v>
      </c>
      <c r="E33" s="7">
        <v>11</v>
      </c>
      <c r="F33" s="7">
        <v>24</v>
      </c>
      <c r="G33" s="7">
        <v>18.5</v>
      </c>
      <c r="H33" s="12">
        <v>14</v>
      </c>
      <c r="I33" s="83">
        <v>14</v>
      </c>
      <c r="J33" s="12">
        <v>18</v>
      </c>
      <c r="K33" s="5">
        <f>=E33+F33+G33+H33+I33+J33</f>
        <v>99.5</v>
      </c>
      <c r="L33" s="5" t="s"/>
    </row>
    <row r="34" spans="1:12" ht="18.75">
      <c r="A34" s="4">
        <v>33</v>
      </c>
      <c r="B34" s="4" t="s">
        <v>2260</v>
      </c>
      <c r="C34" s="4">
        <v>2699</v>
      </c>
      <c r="D34" s="4" t="str">
        <f>=VLOOKUP(B34,[2]在校生综合信息查询!$A$181:$C$263,2,0)</f>
        <v>24q7101032102</v>
      </c>
      <c r="E34" s="7">
        <v>9</v>
      </c>
      <c r="F34" s="7">
        <v>12</v>
      </c>
      <c r="G34" s="7">
        <v>18.5</v>
      </c>
      <c r="H34" s="12">
        <v>14</v>
      </c>
      <c r="I34" s="83">
        <v>23</v>
      </c>
      <c r="J34" s="12">
        <v>11</v>
      </c>
      <c r="K34" s="5">
        <f>=E34+F34+G34+H34+I34+J34</f>
        <v>87.5</v>
      </c>
      <c r="L34" s="5" t="s"/>
    </row>
    <row r="35" spans="1:12" ht="18.75">
      <c r="A35" s="4">
        <v>34</v>
      </c>
      <c r="B35" s="4" t="s">
        <v>2262</v>
      </c>
      <c r="C35" s="4">
        <v>2650</v>
      </c>
      <c r="D35" s="4" t="str">
        <f>=VLOOKUP(B35,[2]在校生综合信息查询!$A$181:$C$263,2,0)</f>
        <v>24q710103213</v>
      </c>
      <c r="E35" s="7">
        <v>19</v>
      </c>
      <c r="F35" s="7">
        <v>16</v>
      </c>
      <c r="G35" s="7">
        <v>32.5</v>
      </c>
      <c r="H35" s="12">
        <v>27</v>
      </c>
      <c r="I35" s="83">
        <v>19</v>
      </c>
      <c r="J35" s="12">
        <v>19</v>
      </c>
      <c r="K35" s="5">
        <f>=E35+F35+G35+H35+I35+J35</f>
        <v>132.5</v>
      </c>
      <c r="L35" s="5" t="s"/>
    </row>
    <row r="36" spans="1:11" ht="18.75">
      <c r="A36" s="4">
        <v>35</v>
      </c>
      <c r="B36" s="15" t="s">
        <v>2264</v>
      </c>
      <c r="C36" s="4">
        <v>2655</v>
      </c>
      <c r="D36" s="4" t="str">
        <f>=VLOOKUP(B36,[2]在校生综合信息查询!$A$181:$C$263,2,0)</f>
        <v>24q710103043</v>
      </c>
      <c r="E36" s="7">
        <v>22</v>
      </c>
      <c r="F36" s="7">
        <v>20</v>
      </c>
      <c r="G36" s="7">
        <v>21.5</v>
      </c>
      <c r="H36" s="12">
        <v>18</v>
      </c>
      <c r="I36" s="83">
        <v>11</v>
      </c>
      <c r="J36" s="4">
        <v>12</v>
      </c>
      <c r="K36" s="25">
        <f>=E36+F36+G36+H36+I36+J36</f>
        <v>104.5</v>
      </c>
    </row>
    <row r="37" spans="1:11" ht="18.75">
      <c r="A37" s="4">
        <v>36</v>
      </c>
      <c r="B37" s="15" t="s">
        <v>2266</v>
      </c>
      <c r="C37" s="4">
        <v>2656</v>
      </c>
      <c r="D37" s="4" t="str">
        <f>=VLOOKUP(B37,[2]在校生综合信息查询!$A$181:$C$263,2,0)</f>
        <v>24q710103215</v>
      </c>
      <c r="E37" s="7">
        <v>43</v>
      </c>
      <c r="F37" s="7">
        <v>28</v>
      </c>
      <c r="G37" s="7">
        <v>42</v>
      </c>
      <c r="H37" s="12">
        <v>45</v>
      </c>
      <c r="I37" s="83">
        <v>57</v>
      </c>
      <c r="J37" s="12">
        <v>26</v>
      </c>
      <c r="K37" s="25">
        <f>=E37+F37+G37+H37+I37+J37</f>
        <v>241</v>
      </c>
    </row>
    <row r="38" spans="1:11" ht="18.75">
      <c r="A38" s="4">
        <v>37</v>
      </c>
      <c r="B38" s="15" t="s">
        <v>2268</v>
      </c>
      <c r="C38" s="4">
        <v>2657</v>
      </c>
      <c r="D38" s="4" t="str">
        <f>=VLOOKUP(B38,[2]在校生综合信息查询!$A$181:$C$263,2,0)</f>
        <v>24q710103217</v>
      </c>
      <c r="E38" s="7">
        <v>0</v>
      </c>
      <c r="F38" s="7">
        <v>0</v>
      </c>
      <c r="G38" s="7">
        <v>0</v>
      </c>
      <c r="H38" s="12">
        <v>0</v>
      </c>
      <c r="I38" s="83">
        <v>0</v>
      </c>
      <c r="J38" s="12">
        <v>0</v>
      </c>
      <c r="K38" s="25">
        <f>=E38+F38+G38+H38+I38+J38</f>
        <v>0</v>
      </c>
    </row>
    <row r="39" spans="1:11" ht="18.75">
      <c r="A39" s="4">
        <v>38</v>
      </c>
      <c r="B39" s="15" t="s">
        <v>2270</v>
      </c>
      <c r="C39" s="4">
        <v>2658</v>
      </c>
      <c r="D39" s="4" t="str">
        <f>=VLOOKUP(B39,[2]在校生综合信息查询!$A$181:$C$263,2,0)</f>
        <v>24q710103218</v>
      </c>
      <c r="E39" s="7">
        <v>37</v>
      </c>
      <c r="F39" s="7">
        <v>24</v>
      </c>
      <c r="G39" s="7">
        <v>23</v>
      </c>
      <c r="H39" s="12">
        <v>32</v>
      </c>
      <c r="I39" s="83">
        <v>25</v>
      </c>
      <c r="J39" s="12">
        <v>14</v>
      </c>
      <c r="K39" s="25">
        <f>=E39+F39+G39+H39+I39+J39</f>
        <v>155</v>
      </c>
    </row>
    <row r="40" spans="1:11" ht="18.75">
      <c r="A40" s="4">
        <v>39</v>
      </c>
      <c r="B40" s="15" t="s">
        <v>2272</v>
      </c>
      <c r="C40" s="4">
        <v>2659</v>
      </c>
      <c r="D40" s="4" t="str">
        <f>=VLOOKUP(B40,[2]在校生综合信息查询!$A$181:$C$263,2,0)</f>
        <v>24q7101032106</v>
      </c>
      <c r="E40" s="7">
        <v>4</v>
      </c>
      <c r="F40" s="7">
        <v>12</v>
      </c>
      <c r="G40" s="7">
        <v>17.5</v>
      </c>
      <c r="H40" s="12">
        <v>39</v>
      </c>
      <c r="I40" s="83">
        <v>10</v>
      </c>
      <c r="J40" s="4">
        <v>11</v>
      </c>
      <c r="K40" s="25">
        <f>=E40+F40+G40+H40+I40+J40</f>
        <v>93.5</v>
      </c>
    </row>
    <row r="41" spans="1:11" ht="18.75">
      <c r="A41" s="4">
        <v>40</v>
      </c>
      <c r="B41" s="15" t="s">
        <v>2274</v>
      </c>
      <c r="C41" s="4">
        <v>2660</v>
      </c>
      <c r="D41" s="4" t="str">
        <f>=VLOOKUP(B41,[2]在校生综合信息查询!$A$181:$C$263,2,0)</f>
        <v>24q7101032861</v>
      </c>
      <c r="E41" s="7">
        <v>42</v>
      </c>
      <c r="F41" s="7">
        <v>20</v>
      </c>
      <c r="G41" s="7">
        <v>18</v>
      </c>
      <c r="H41" s="12">
        <v>9</v>
      </c>
      <c r="I41" s="83">
        <v>30</v>
      </c>
      <c r="J41" s="4">
        <v>22</v>
      </c>
      <c r="K41" s="25">
        <f>=E41+F41+G41+H41+I41+J41</f>
        <v>141</v>
      </c>
    </row>
    <row r="42" spans="1:11" ht="18.75">
      <c r="A42" s="4">
        <v>41</v>
      </c>
      <c r="B42" s="15" t="s">
        <v>2276</v>
      </c>
      <c r="C42" s="4">
        <v>2661</v>
      </c>
      <c r="D42" s="4" t="str">
        <f>=VLOOKUP(B42,[2]在校生综合信息查询!$A$181:$C$263,2,0)</f>
        <v>24q710103291</v>
      </c>
      <c r="E42" s="7">
        <v>20</v>
      </c>
      <c r="F42" s="7">
        <v>12</v>
      </c>
      <c r="G42" s="7">
        <v>23</v>
      </c>
      <c r="H42" s="12">
        <v>16</v>
      </c>
      <c r="I42" s="83">
        <v>17</v>
      </c>
      <c r="J42" s="4">
        <v>12</v>
      </c>
      <c r="K42" s="25">
        <f>=E42+F42+G42+H42+I42+J42</f>
        <v>100</v>
      </c>
    </row>
    <row r="43" spans="1:11" ht="18.75">
      <c r="A43" s="4">
        <v>42</v>
      </c>
      <c r="B43" s="15" t="s">
        <v>2278</v>
      </c>
      <c r="C43" s="4">
        <v>2662</v>
      </c>
      <c r="D43" s="4" t="str">
        <f>=VLOOKUP(B43,[2]在校生综合信息查询!$A$181:$C$263,2,0)</f>
        <v>24q710103292</v>
      </c>
      <c r="E43" s="7">
        <v>24</v>
      </c>
      <c r="F43" s="7">
        <v>28</v>
      </c>
      <c r="G43" s="7">
        <v>22.5</v>
      </c>
      <c r="H43" s="12">
        <v>14</v>
      </c>
      <c r="I43" s="83">
        <v>18</v>
      </c>
      <c r="J43" s="4">
        <v>25</v>
      </c>
      <c r="K43" s="25">
        <f>=E43+F43+G43+H43+I43+J43</f>
        <v>131.5</v>
      </c>
    </row>
    <row r="44" spans="1:11" ht="18.75">
      <c r="A44" s="4">
        <v>43</v>
      </c>
      <c r="B44" s="15" t="s">
        <v>2280</v>
      </c>
      <c r="C44" s="4">
        <v>2663</v>
      </c>
      <c r="D44" s="4" t="str">
        <f>=VLOOKUP(B44,[2]在校生综合信息查询!$A$181:$C$263,2,0)</f>
        <v>24q710103221</v>
      </c>
      <c r="E44" s="7">
        <v>15</v>
      </c>
      <c r="F44" s="7">
        <v>16</v>
      </c>
      <c r="G44" s="7">
        <v>0</v>
      </c>
      <c r="H44" s="12">
        <v>21</v>
      </c>
      <c r="I44" s="83">
        <v>7</v>
      </c>
      <c r="J44" s="12">
        <v>22</v>
      </c>
      <c r="K44" s="25">
        <f>=E44+F44+G44+H44+I44+J44</f>
        <v>81</v>
      </c>
    </row>
    <row r="45" spans="1:11" ht="18.75">
      <c r="A45" s="4">
        <v>44</v>
      </c>
      <c r="B45" s="15" t="s">
        <v>2282</v>
      </c>
      <c r="C45" s="4">
        <v>2664</v>
      </c>
      <c r="D45" s="4" t="str">
        <f>=VLOOKUP(B45,[2]在校生综合信息查询!$A$181:$C$263,2,0)</f>
        <v>24q710103222</v>
      </c>
      <c r="E45" s="7">
        <v>53</v>
      </c>
      <c r="F45" s="7">
        <v>37</v>
      </c>
      <c r="G45" s="7">
        <v>34</v>
      </c>
      <c r="H45" s="12">
        <v>40</v>
      </c>
      <c r="I45" s="83">
        <v>40</v>
      </c>
      <c r="J45" s="12">
        <v>22</v>
      </c>
      <c r="K45" s="25">
        <f>=E45+F45+G45+H45+I45+J45</f>
        <v>226</v>
      </c>
    </row>
    <row r="46" spans="1:11" ht="18.75">
      <c r="A46" s="4">
        <v>45</v>
      </c>
      <c r="B46" s="15" t="s">
        <v>2284</v>
      </c>
      <c r="C46" s="4">
        <v>2665</v>
      </c>
      <c r="D46" s="4" t="str">
        <f>=VLOOKUP(B46,[2]在校生综合信息查询!$A$181:$C$263,2,0)</f>
        <v>24q710103223</v>
      </c>
      <c r="E46" s="7">
        <v>20</v>
      </c>
      <c r="F46" s="7">
        <v>12</v>
      </c>
      <c r="G46" s="7">
        <v>14.5</v>
      </c>
      <c r="H46" s="12">
        <v>38</v>
      </c>
      <c r="I46" s="83">
        <v>7</v>
      </c>
      <c r="J46" s="12">
        <v>31</v>
      </c>
      <c r="K46" s="25">
        <f>=E46+F46+G46+H46+I46+J46</f>
        <v>122.5</v>
      </c>
    </row>
    <row r="47" spans="1:11" ht="18.75">
      <c r="A47" s="4">
        <v>46</v>
      </c>
      <c r="B47" s="15" t="s">
        <v>2286</v>
      </c>
      <c r="C47" s="4">
        <v>2678</v>
      </c>
      <c r="D47" s="4" t="str">
        <f>=VLOOKUP(B47,[2]在校生综合信息查询!$A$181:$C$263,2,0)</f>
        <v>24q710103226</v>
      </c>
      <c r="E47" s="7">
        <v>47</v>
      </c>
      <c r="F47" s="7">
        <v>20</v>
      </c>
      <c r="G47" s="7">
        <v>37.5</v>
      </c>
      <c r="H47" s="12">
        <v>28</v>
      </c>
      <c r="I47" s="83">
        <v>26</v>
      </c>
      <c r="J47" s="12">
        <v>36</v>
      </c>
      <c r="K47" s="25">
        <f>=E47+F47+G47+H47+I47+J47</f>
        <v>194.5</v>
      </c>
    </row>
    <row r="48" spans="1:11" ht="18.75">
      <c r="A48" s="4">
        <v>47</v>
      </c>
      <c r="B48" s="15" t="s">
        <v>2288</v>
      </c>
      <c r="C48" s="4">
        <v>2666</v>
      </c>
      <c r="D48" s="4" t="str">
        <f>=VLOOKUP(B48,[2]在校生综合信息查询!$A$181:$C$263,2,0)</f>
        <v>24q710103227</v>
      </c>
      <c r="E48" s="7">
        <v>16</v>
      </c>
      <c r="F48" s="7">
        <v>20</v>
      </c>
      <c r="G48" s="7">
        <v>17</v>
      </c>
      <c r="H48" s="12">
        <v>22</v>
      </c>
      <c r="I48" s="83">
        <v>17</v>
      </c>
      <c r="J48" s="12">
        <v>29</v>
      </c>
      <c r="K48" s="25">
        <f>=E48+F48+G48+H48+I48+J48</f>
        <v>121</v>
      </c>
    </row>
    <row r="49" spans="1:11" ht="18.75">
      <c r="A49" s="4">
        <v>48</v>
      </c>
      <c r="B49" s="15" t="s">
        <v>2290</v>
      </c>
      <c r="C49" s="4">
        <v>2667</v>
      </c>
      <c r="D49" s="4" t="str">
        <f>=VLOOKUP(B49,[2]在校生综合信息查询!$A$181:$C$263,2,0)</f>
        <v>24q710103229</v>
      </c>
      <c r="E49" s="7">
        <v>0</v>
      </c>
      <c r="F49" s="7">
        <v>0</v>
      </c>
      <c r="G49" s="7">
        <v>0</v>
      </c>
      <c r="H49" s="12">
        <v>0</v>
      </c>
      <c r="I49" s="83">
        <v>0</v>
      </c>
      <c r="J49" s="12">
        <v>0</v>
      </c>
      <c r="K49" s="25">
        <f>=E49+F49+G49+H49+I49+J49</f>
        <v>0</v>
      </c>
    </row>
    <row r="50" spans="1:11" ht="18.75">
      <c r="A50" s="4">
        <v>49</v>
      </c>
      <c r="B50" s="15" t="s">
        <v>2292</v>
      </c>
      <c r="C50" s="4">
        <v>2668</v>
      </c>
      <c r="D50" s="4" t="str">
        <f>=VLOOKUP(B50,[2]在校生综合信息查询!$A$181:$C$263,2,0)</f>
        <v>24q710103230</v>
      </c>
      <c r="E50" s="7">
        <v>48</v>
      </c>
      <c r="F50" s="7">
        <v>61</v>
      </c>
      <c r="G50" s="7">
        <v>25.5</v>
      </c>
      <c r="H50" s="12">
        <v>53</v>
      </c>
      <c r="I50" s="83">
        <v>63</v>
      </c>
      <c r="J50" s="12">
        <v>30</v>
      </c>
      <c r="K50" s="25">
        <f>=E50+F50+G50+H50+I50+J50</f>
        <v>280.5</v>
      </c>
    </row>
    <row r="51" spans="1:11" ht="18.75">
      <c r="A51" s="4">
        <v>50</v>
      </c>
      <c r="B51" s="15" t="s">
        <v>2294</v>
      </c>
      <c r="C51" s="4">
        <v>2669</v>
      </c>
      <c r="D51" s="4" t="str">
        <f>=VLOOKUP(B51,[2]在校生综合信息查询!$A$181:$C$263,2,0)</f>
        <v>24q710103231</v>
      </c>
      <c r="E51" s="7">
        <v>15</v>
      </c>
      <c r="F51" s="7">
        <v>20</v>
      </c>
      <c r="G51" s="7">
        <v>43</v>
      </c>
      <c r="H51" s="12">
        <v>22</v>
      </c>
      <c r="I51" s="83">
        <v>13</v>
      </c>
      <c r="J51" s="12">
        <v>16</v>
      </c>
      <c r="K51" s="25">
        <f>=E51+F51+G51+H51+I51+J51</f>
        <v>129</v>
      </c>
    </row>
    <row r="52" spans="1:11" ht="18.75">
      <c r="A52" s="4">
        <v>51</v>
      </c>
      <c r="B52" s="15" t="s">
        <v>2296</v>
      </c>
      <c r="C52" s="4">
        <v>2670</v>
      </c>
      <c r="D52" s="4" t="str">
        <f>=VLOOKUP(B52,[2]在校生综合信息查询!$A$181:$C$263,2,0)</f>
        <v>24q710103232</v>
      </c>
      <c r="E52" s="7">
        <v>0</v>
      </c>
      <c r="F52" s="7">
        <v>0</v>
      </c>
      <c r="G52" s="7">
        <v>0</v>
      </c>
      <c r="H52" s="12">
        <v>0</v>
      </c>
      <c r="I52" s="83">
        <v>0</v>
      </c>
      <c r="J52" s="12">
        <v>0</v>
      </c>
      <c r="K52" s="25">
        <f>=E52+F52+G52+H52+I52+J52</f>
        <v>0</v>
      </c>
    </row>
    <row r="53" spans="1:11" ht="18.75">
      <c r="A53" s="4">
        <v>52</v>
      </c>
      <c r="B53" s="15" t="s">
        <v>2298</v>
      </c>
      <c r="C53" s="4">
        <v>2686</v>
      </c>
      <c r="D53" s="4" t="str">
        <f>=VLOOKUP(B53,[2]在校生综合信息查询!$A$181:$C$263,2,0)</f>
        <v>24q710103233</v>
      </c>
      <c r="E53" s="7">
        <v>17</v>
      </c>
      <c r="F53" s="7">
        <v>20</v>
      </c>
      <c r="G53" s="7">
        <v>22.5</v>
      </c>
      <c r="H53" s="12">
        <v>18</v>
      </c>
      <c r="I53" s="83">
        <v>22</v>
      </c>
      <c r="J53" s="12">
        <v>12</v>
      </c>
      <c r="K53" s="25">
        <f>=E53+F53+G53+H53+I53+J53</f>
        <v>111.5</v>
      </c>
    </row>
    <row r="54" spans="1:11" ht="18.75">
      <c r="A54" s="4">
        <v>53</v>
      </c>
      <c r="B54" s="15" t="s">
        <v>2300</v>
      </c>
      <c r="C54" s="4">
        <v>2671</v>
      </c>
      <c r="D54" s="4" t="str">
        <f>=VLOOKUP(B54,[2]在校生综合信息查询!$A$181:$C$263,2,0)</f>
        <v>24q710103234</v>
      </c>
      <c r="E54" s="7">
        <v>28</v>
      </c>
      <c r="F54" s="7">
        <v>24</v>
      </c>
      <c r="G54" s="7">
        <v>26.5</v>
      </c>
      <c r="H54" s="12">
        <v>15</v>
      </c>
      <c r="I54" s="83">
        <v>20</v>
      </c>
      <c r="J54" s="12">
        <v>18</v>
      </c>
      <c r="K54" s="25">
        <f>=E54+F54+G54+H54+I54+J54</f>
        <v>131.5</v>
      </c>
    </row>
    <row r="55" spans="1:11" ht="18.75">
      <c r="A55" s="4">
        <v>54</v>
      </c>
      <c r="B55" s="15" t="s">
        <v>2302</v>
      </c>
      <c r="C55" s="4">
        <v>2672</v>
      </c>
      <c r="D55" s="4" t="str">
        <f>=VLOOKUP(B55,[2]在校生综合信息查询!$A$181:$C$263,2,0)</f>
        <v>24q710103235</v>
      </c>
      <c r="E55" s="7">
        <v>29</v>
      </c>
      <c r="F55" s="7">
        <v>40</v>
      </c>
      <c r="G55" s="7">
        <v>39</v>
      </c>
      <c r="H55" s="12">
        <v>26</v>
      </c>
      <c r="I55" s="83">
        <v>43</v>
      </c>
      <c r="J55" s="12">
        <v>36</v>
      </c>
      <c r="K55" s="25">
        <f>=E55+F55+G55+H55+I55+J55</f>
        <v>213</v>
      </c>
    </row>
    <row r="56" spans="1:11" ht="18.75">
      <c r="A56" s="4">
        <v>55</v>
      </c>
      <c r="B56" s="15" t="s">
        <v>1984</v>
      </c>
      <c r="C56" s="4">
        <v>2694</v>
      </c>
      <c r="D56" s="4" t="str">
        <f>=VLOOKUP(B56,[2]在校生综合信息查询!$A$181:$C$263,2,0)</f>
        <v>24q710103302</v>
      </c>
      <c r="E56" s="7">
        <v>0</v>
      </c>
      <c r="F56" s="7">
        <v>0</v>
      </c>
      <c r="G56" s="7">
        <v>0</v>
      </c>
      <c r="H56" s="12">
        <v>15</v>
      </c>
      <c r="I56" s="83">
        <v>6</v>
      </c>
      <c r="J56" s="4">
        <v>7</v>
      </c>
      <c r="K56" s="25">
        <f>=E56+F56+G56+H56+I56+J56</f>
        <v>28</v>
      </c>
    </row>
    <row r="57" spans="1:11" ht="18.75">
      <c r="A57" s="4">
        <v>56</v>
      </c>
      <c r="B57" s="15" t="s">
        <v>2305</v>
      </c>
      <c r="C57" s="4">
        <v>2679</v>
      </c>
      <c r="D57" s="4" t="str">
        <f>=VLOOKUP(B57,[2]在校生综合信息查询!$A$181:$C$263,2,0)</f>
        <v>24q710103237</v>
      </c>
      <c r="E57" s="7">
        <v>42</v>
      </c>
      <c r="F57" s="7">
        <v>16</v>
      </c>
      <c r="G57" s="7">
        <v>27</v>
      </c>
      <c r="H57" s="12">
        <v>19</v>
      </c>
      <c r="I57" s="83">
        <v>12</v>
      </c>
      <c r="J57" s="12">
        <v>19</v>
      </c>
      <c r="K57" s="25">
        <f>=E57+F57+G57+H57+I57+J57</f>
        <v>135</v>
      </c>
    </row>
    <row r="58" spans="1:11" ht="18.75">
      <c r="A58" s="4">
        <v>57</v>
      </c>
      <c r="B58" s="15" t="s">
        <v>1664</v>
      </c>
      <c r="C58" s="4">
        <v>2685</v>
      </c>
      <c r="D58" s="4" t="str">
        <f>=VLOOKUP(B58,[2]在校生综合信息查询!$A$181:$C$263,2,0)</f>
        <v>24q710103238</v>
      </c>
      <c r="E58" s="7">
        <v>16</v>
      </c>
      <c r="F58" s="7">
        <v>16</v>
      </c>
      <c r="G58" s="7">
        <v>15.5</v>
      </c>
      <c r="H58" s="12">
        <v>18</v>
      </c>
      <c r="I58" s="83">
        <v>18</v>
      </c>
      <c r="J58" s="12">
        <v>6</v>
      </c>
      <c r="K58" s="25">
        <f>=E58+F58+G58+H58+I58+J58</f>
        <v>89.5</v>
      </c>
    </row>
    <row r="59" spans="1:11" ht="18.75">
      <c r="A59" s="4">
        <v>58</v>
      </c>
      <c r="B59" s="15" t="s">
        <v>2308</v>
      </c>
      <c r="C59" s="4">
        <v>2677</v>
      </c>
      <c r="D59" s="4" t="str">
        <f>=VLOOKUP(B59,[2]在校生综合信息查询!$A$181:$C$263,2,0)</f>
        <v>24q710103239</v>
      </c>
      <c r="E59" s="7">
        <v>38</v>
      </c>
      <c r="F59" s="7">
        <v>16</v>
      </c>
      <c r="G59" s="7">
        <v>22</v>
      </c>
      <c r="H59" s="12">
        <v>18</v>
      </c>
      <c r="I59" s="83">
        <v>17</v>
      </c>
      <c r="J59" s="12">
        <v>15</v>
      </c>
      <c r="K59" s="25">
        <f>=E59+F59+G59+H59+I59+J59</f>
        <v>126</v>
      </c>
    </row>
    <row r="60" spans="1:11" ht="18.75">
      <c r="A60" s="4">
        <v>59</v>
      </c>
      <c r="B60" s="15" t="s">
        <v>2310</v>
      </c>
      <c r="C60" s="4">
        <v>2687</v>
      </c>
      <c r="D60" s="4" t="str">
        <f>=VLOOKUP(B60,[2]在校生综合信息查询!$A$181:$C$263,2,0)</f>
        <v>24q710103240</v>
      </c>
      <c r="E60" s="7">
        <v>28</v>
      </c>
      <c r="F60" s="7">
        <v>20</v>
      </c>
      <c r="G60" s="7">
        <v>16</v>
      </c>
      <c r="H60" s="12">
        <v>14</v>
      </c>
      <c r="I60" s="83">
        <v>22</v>
      </c>
      <c r="J60" s="12">
        <v>31</v>
      </c>
      <c r="K60" s="25">
        <f>=E60+F60+G60+H60+I60+J60</f>
        <v>131</v>
      </c>
    </row>
    <row r="61" spans="1:11" ht="18.75">
      <c r="A61" s="4">
        <v>60</v>
      </c>
      <c r="B61" s="15" t="s">
        <v>2312</v>
      </c>
      <c r="C61" s="4">
        <v>2692</v>
      </c>
      <c r="D61" s="4" t="str">
        <f>=VLOOKUP(B61,[2]在校生综合信息查询!$A$181:$C$263,2,0)</f>
        <v>24q710103241</v>
      </c>
      <c r="E61" s="7">
        <v>0</v>
      </c>
      <c r="F61" s="7">
        <v>0</v>
      </c>
      <c r="G61" s="7">
        <v>0</v>
      </c>
      <c r="H61" s="12">
        <v>0</v>
      </c>
      <c r="I61" s="83">
        <v>0</v>
      </c>
      <c r="J61" s="12">
        <v>0</v>
      </c>
      <c r="K61" s="25">
        <f>=E61+F61+G61+H61+I61+J61</f>
        <v>0</v>
      </c>
    </row>
    <row r="62" spans="1:11" ht="18.75">
      <c r="A62" s="4">
        <v>61</v>
      </c>
      <c r="B62" s="15" t="s">
        <v>2314</v>
      </c>
      <c r="C62" s="4">
        <v>2673</v>
      </c>
      <c r="D62" s="4" t="str">
        <f>=VLOOKUP(B62,[2]在校生综合信息查询!$A$181:$C$263,2,0)</f>
        <v>24q710103307</v>
      </c>
      <c r="E62" s="7">
        <v>29</v>
      </c>
      <c r="F62" s="7">
        <v>16</v>
      </c>
      <c r="G62" s="7">
        <v>40.5</v>
      </c>
      <c r="H62" s="12">
        <v>30</v>
      </c>
      <c r="I62" s="83">
        <v>17</v>
      </c>
      <c r="J62" s="4">
        <v>19</v>
      </c>
      <c r="K62" s="25">
        <f>=E62+F62+G62+H62+I62+J62</f>
        <v>151.5</v>
      </c>
    </row>
    <row r="63" spans="1:11" ht="18.75">
      <c r="A63" s="4">
        <v>62</v>
      </c>
      <c r="B63" s="15" t="s">
        <v>2316</v>
      </c>
      <c r="C63" s="4">
        <v>2674</v>
      </c>
      <c r="D63" s="4" t="str">
        <f>=VLOOKUP(B63,[2]在校生综合信息查询!$A$181:$C$263,2,0)</f>
        <v>24q710103242</v>
      </c>
      <c r="E63" s="7">
        <v>9</v>
      </c>
      <c r="F63" s="7">
        <v>4</v>
      </c>
      <c r="G63" s="7">
        <v>24</v>
      </c>
      <c r="H63" s="12">
        <v>11</v>
      </c>
      <c r="I63" s="83">
        <v>8</v>
      </c>
      <c r="J63" s="12">
        <v>21</v>
      </c>
      <c r="K63" s="25">
        <f>=E63+F63+G63+H63+I63+J63</f>
        <v>77</v>
      </c>
    </row>
    <row r="64" spans="1:11" ht="18.75">
      <c r="A64" s="4">
        <v>63</v>
      </c>
      <c r="B64" s="15" t="s">
        <v>2318</v>
      </c>
      <c r="C64" s="4">
        <v>2675</v>
      </c>
      <c r="D64" s="4" t="str">
        <f>=VLOOKUP(B64,[2]在校生综合信息查询!$A$181:$C$263,2,0)</f>
        <v>24q710103244</v>
      </c>
      <c r="E64" s="7">
        <v>22</v>
      </c>
      <c r="F64" s="7">
        <v>24</v>
      </c>
      <c r="G64" s="7">
        <v>7.5</v>
      </c>
      <c r="H64" s="12">
        <v>0</v>
      </c>
      <c r="I64" s="83">
        <v>0</v>
      </c>
      <c r="J64" s="4">
        <v>0</v>
      </c>
      <c r="K64" s="25">
        <f>=E64+F64+G64+H64+I64+J64</f>
        <v>53.5</v>
      </c>
    </row>
    <row r="65" spans="1:11" ht="18.75">
      <c r="A65" s="4">
        <v>64</v>
      </c>
      <c r="B65" s="15" t="s">
        <v>2320</v>
      </c>
      <c r="C65" s="4">
        <v>2695</v>
      </c>
      <c r="D65" s="4" t="str">
        <f>=VLOOKUP(B65,[2]在校生综合信息查询!$A$181:$C$263,2,0)</f>
        <v>24q710103081</v>
      </c>
      <c r="E65" s="7">
        <v>15</v>
      </c>
      <c r="F65" s="7">
        <v>16</v>
      </c>
      <c r="G65" s="7">
        <v>0</v>
      </c>
      <c r="H65" s="12">
        <v>15</v>
      </c>
      <c r="I65" s="83">
        <v>19</v>
      </c>
      <c r="J65" s="4">
        <v>3</v>
      </c>
      <c r="K65" s="25">
        <f>=E65+F65+G65+H65+I65+J65</f>
        <v>68</v>
      </c>
    </row>
    <row r="66" spans="1:11" ht="18.75">
      <c r="A66" s="4">
        <v>65</v>
      </c>
      <c r="B66" s="15" t="s">
        <v>2322</v>
      </c>
      <c r="C66" s="4">
        <v>2711</v>
      </c>
      <c r="D66" s="4" t="str">
        <f>=VLOOKUP(B66,[2]在校生综合信息查询!$A$181:$C$263,2,0)</f>
        <v>24q710103311</v>
      </c>
      <c r="E66" s="7">
        <v>0</v>
      </c>
      <c r="F66" s="7">
        <v>0</v>
      </c>
      <c r="G66" s="7">
        <v>0</v>
      </c>
      <c r="H66" s="12">
        <v>0</v>
      </c>
      <c r="I66" s="83">
        <v>0</v>
      </c>
      <c r="J66" s="4">
        <v>0</v>
      </c>
      <c r="K66" s="25">
        <f>=E66+F66+G66+H66+I66+J66</f>
        <v>0</v>
      </c>
    </row>
    <row r="67" spans="1:11" ht="18.75">
      <c r="A67" s="4">
        <v>66</v>
      </c>
      <c r="B67" s="15" t="s">
        <v>2324</v>
      </c>
      <c r="C67" s="4">
        <v>2708</v>
      </c>
      <c r="D67" s="4" t="str">
        <f>=VLOOKUP(B67,[2]在校生综合信息查询!$A$181:$C$263,2,0)</f>
        <v>24q7101031271</v>
      </c>
      <c r="E67" s="7">
        <v>15</v>
      </c>
      <c r="F67" s="7">
        <v>8</v>
      </c>
      <c r="G67" s="7">
        <v>15.5</v>
      </c>
      <c r="H67" s="12">
        <v>18</v>
      </c>
      <c r="I67" s="83">
        <v>8</v>
      </c>
      <c r="J67" s="4">
        <v>8</v>
      </c>
      <c r="K67" s="25">
        <f>=E67+F67+G67+H67+I67+J67</f>
        <v>72.5</v>
      </c>
    </row>
    <row r="68" spans="1:11" ht="18.75">
      <c r="A68" s="4">
        <v>67</v>
      </c>
      <c r="B68" s="4" t="s">
        <v>2326</v>
      </c>
      <c r="C68" s="4">
        <v>2706</v>
      </c>
      <c r="D68" s="4" t="str">
        <f>=VLOOKUP(B68,[2]在校生综合信息查询!$A$181:$C$263,2,0)</f>
        <v>24q710103184</v>
      </c>
      <c r="E68" s="7">
        <v>21</v>
      </c>
      <c r="F68" s="7">
        <v>20</v>
      </c>
      <c r="G68" s="7">
        <v>21.5</v>
      </c>
      <c r="H68" s="12">
        <v>12</v>
      </c>
      <c r="I68" s="83">
        <v>16</v>
      </c>
      <c r="J68" s="4">
        <v>12</v>
      </c>
      <c r="K68" s="25">
        <f>=E68+F68+G68+H68+I68+J68</f>
        <v>102.5</v>
      </c>
    </row>
    <row r="69" spans="1:11" ht="18.75">
      <c r="A69" s="4">
        <v>68</v>
      </c>
      <c r="B69" s="4" t="s">
        <v>2328</v>
      </c>
      <c r="C69" s="4">
        <v>2705</v>
      </c>
      <c r="D69" s="4" t="str">
        <f>=VLOOKUP(B69,[2]在校生综合信息查询!$A$181:$C$263,2,0)</f>
        <v>24q710103322</v>
      </c>
      <c r="E69" s="7">
        <v>41</v>
      </c>
      <c r="F69" s="7">
        <v>24</v>
      </c>
      <c r="G69" s="7">
        <v>39.5</v>
      </c>
      <c r="H69" s="12">
        <v>18</v>
      </c>
      <c r="I69" s="83">
        <v>30</v>
      </c>
      <c r="J69" s="4">
        <v>36</v>
      </c>
      <c r="K69" s="25">
        <f>=E69+F69+G69+H69+I69+J69</f>
        <v>188.5</v>
      </c>
    </row>
    <row r="70" spans="1:11" ht="18.75">
      <c r="A70" s="4">
        <v>69</v>
      </c>
      <c r="B70" s="4" t="s">
        <v>2330</v>
      </c>
      <c r="C70" s="4" t="s"/>
      <c r="D70" s="4" t="str">
        <f>=VLOOKUP(B70,[2]在校生综合信息查询!$A$181:$C$263,2,0)</f>
        <v>24q710103323</v>
      </c>
      <c r="E70" s="7">
        <v>46</v>
      </c>
      <c r="F70" s="7">
        <v>20</v>
      </c>
      <c r="G70" s="7">
        <v>25.5</v>
      </c>
      <c r="H70" s="12">
        <v>28</v>
      </c>
      <c r="I70" s="83">
        <v>18</v>
      </c>
      <c r="J70" s="4">
        <v>24</v>
      </c>
      <c r="K70" s="25">
        <f>=E70+F70+G70+H70+I70+J70</f>
        <v>161.5</v>
      </c>
    </row>
    <row r="71" spans="1:11" ht="18.75">
      <c r="A71" s="4">
        <v>70</v>
      </c>
      <c r="B71" s="4" t="s">
        <v>2332</v>
      </c>
      <c r="C71" s="4" t="s"/>
      <c r="D71" s="4" t="str">
        <f>=VLOOKUP(B71,[2]在校生综合信息查询!$A$181:$C$263,2,0)</f>
        <v>24q710103245</v>
      </c>
      <c r="E71" s="7">
        <v>24</v>
      </c>
      <c r="F71" s="7">
        <v>20</v>
      </c>
      <c r="G71" s="7">
        <v>16.5</v>
      </c>
      <c r="H71" s="12">
        <v>21</v>
      </c>
      <c r="I71" s="83">
        <v>6</v>
      </c>
      <c r="J71" s="4">
        <v>23</v>
      </c>
      <c r="K71" s="25">
        <f>=E71+F71+G71+H71+I71+J71</f>
        <v>110.5</v>
      </c>
    </row>
    <row r="72" spans="1:11" ht="18.75">
      <c r="A72" s="4">
        <v>71</v>
      </c>
      <c r="B72" s="4" t="s">
        <v>2334</v>
      </c>
      <c r="C72" s="4" t="s"/>
      <c r="D72" s="4" t="str">
        <f>=VLOOKUP(B72,[2]在校生综合信息查询!$A$181:$C$263,2,0)</f>
        <v>24q710103246</v>
      </c>
      <c r="E72" s="7">
        <v>33</v>
      </c>
      <c r="F72" s="7">
        <v>28</v>
      </c>
      <c r="G72" s="7">
        <v>38</v>
      </c>
      <c r="H72" s="12">
        <v>18</v>
      </c>
      <c r="I72" s="83">
        <v>25</v>
      </c>
      <c r="J72" s="4">
        <v>20</v>
      </c>
      <c r="K72" s="25">
        <f>=E72+F72+G72+H72+I72+J72</f>
        <v>162</v>
      </c>
    </row>
    <row r="73" spans="1:11" ht="18.75">
      <c r="A73" s="4">
        <v>72</v>
      </c>
      <c r="B73" s="4" t="s">
        <v>2336</v>
      </c>
      <c r="C73" s="4" t="s"/>
      <c r="D73" s="4" t="str">
        <f>=VLOOKUP(B73,[2]在校生综合信息查询!$A$181:$C$263,2,0)</f>
        <v>24q710103247</v>
      </c>
      <c r="E73" s="7">
        <v>39</v>
      </c>
      <c r="F73" s="7">
        <v>20</v>
      </c>
      <c r="G73" s="7">
        <v>16</v>
      </c>
      <c r="H73" s="12">
        <v>24</v>
      </c>
      <c r="I73" s="83">
        <v>20</v>
      </c>
      <c r="J73" s="4">
        <v>4</v>
      </c>
      <c r="K73" s="25">
        <f>=E73+F73+G73+H73+I73+J73</f>
        <v>123</v>
      </c>
    </row>
    <row r="74" spans="1:11" ht="18.75">
      <c r="A74" s="4">
        <v>73</v>
      </c>
      <c r="B74" s="4" t="s">
        <v>2338</v>
      </c>
      <c r="C74" s="4" t="s"/>
      <c r="D74" s="4" t="str">
        <f>=VLOOKUP(B74,[2]在校生综合信息查询!$A$181:$C$263,2,0)</f>
        <v>24q710103111</v>
      </c>
      <c r="E74" s="7">
        <v>48</v>
      </c>
      <c r="F74" s="7">
        <v>32</v>
      </c>
      <c r="G74" s="7">
        <v>13</v>
      </c>
      <c r="H74" s="12">
        <v>52</v>
      </c>
      <c r="I74" s="83">
        <v>41</v>
      </c>
      <c r="J74" s="4">
        <v>31</v>
      </c>
      <c r="K74" s="25">
        <f>=E74+F74+G74+H74+I74+J74</f>
        <v>217</v>
      </c>
    </row>
    <row r="75" spans="1:11" ht="18.75">
      <c r="A75" s="4">
        <v>74</v>
      </c>
      <c r="B75" s="4" t="s">
        <v>2340</v>
      </c>
      <c r="C75" s="4" t="s"/>
      <c r="D75" s="4" t="str">
        <f>=VLOOKUP(B75,[2]在校生综合信息查询!$A$181:$C$263,2,0)</f>
        <v>20240155</v>
      </c>
      <c r="E75" s="7">
        <v>0</v>
      </c>
      <c r="F75" s="7">
        <v>0</v>
      </c>
      <c r="G75" s="7">
        <v>0</v>
      </c>
      <c r="H75" s="4">
        <v>0</v>
      </c>
      <c r="I75" s="83">
        <v>0</v>
      </c>
      <c r="J75" s="4">
        <v>0</v>
      </c>
      <c r="K75" s="25">
        <f>=E75+F75+G75+H75+I75+J75</f>
        <v>0</v>
      </c>
    </row>
    <row r="76" spans="1:11" ht="18.75">
      <c r="A76" s="4">
        <v>75</v>
      </c>
      <c r="B76" s="4" t="s">
        <v>2342</v>
      </c>
      <c r="C76" s="4" t="s"/>
      <c r="D76" s="4" t="str">
        <f>=VLOOKUP(B76,[2]在校生综合信息查询!$A$181:$C$263,2,0)</f>
        <v>24q710103338</v>
      </c>
      <c r="E76" s="7">
        <v>43</v>
      </c>
      <c r="F76" s="7">
        <v>28</v>
      </c>
      <c r="G76" s="7">
        <v>17</v>
      </c>
      <c r="H76" s="12">
        <v>26</v>
      </c>
      <c r="I76" s="83">
        <v>13</v>
      </c>
      <c r="J76" s="4">
        <v>17</v>
      </c>
      <c r="K76" s="25">
        <f>=E76+F76+G76+H76+I76+J76</f>
        <v>144</v>
      </c>
    </row>
    <row r="77" spans="1:11" ht="18.75">
      <c r="A77" s="4">
        <v>76</v>
      </c>
      <c r="B77" s="4" t="s">
        <v>2344</v>
      </c>
      <c r="C77" s="4" t="s"/>
      <c r="D77" s="4" t="str">
        <f>=VLOOKUP(B77,[2]在校生综合信息查询!$A$181:$C$263,2,0)</f>
        <v>24q710103843</v>
      </c>
      <c r="E77" s="7">
        <v>37</v>
      </c>
      <c r="F77" s="7">
        <v>28</v>
      </c>
      <c r="G77" s="7">
        <v>38</v>
      </c>
      <c r="H77" s="12">
        <v>30</v>
      </c>
      <c r="I77" s="83">
        <v>35</v>
      </c>
      <c r="J77" s="4">
        <v>21</v>
      </c>
      <c r="K77" s="25">
        <f>=E77+F77+G77+H77+I77+J77</f>
        <v>189</v>
      </c>
    </row>
    <row r="78" spans="1:11" ht="18.75">
      <c r="A78" s="4">
        <v>77</v>
      </c>
      <c r="B78" s="4" t="s">
        <v>2346</v>
      </c>
      <c r="C78" s="4" t="s"/>
      <c r="D78" s="4" t="str">
        <f>=VLOOKUP(B78,[2]在校生综合信息查询!$A$181:$C$263,2,0)</f>
        <v>24q710103188</v>
      </c>
      <c r="E78" s="7">
        <v>28</v>
      </c>
      <c r="F78" s="7">
        <v>56</v>
      </c>
      <c r="G78" s="7">
        <v>41.5</v>
      </c>
      <c r="H78" s="12">
        <v>22</v>
      </c>
      <c r="I78" s="83">
        <v>24</v>
      </c>
      <c r="J78" s="4">
        <v>23</v>
      </c>
      <c r="K78" s="25">
        <f>=E78+F78+G78+H78+I78+J78</f>
        <v>194.5</v>
      </c>
    </row>
    <row r="79" spans="2:10">
      <c r="B79" s="8" t="s"/>
      <c r="J79" s="84" t="s"/>
    </row>
    <row r="80" spans="10:10">
      <c r="J80" s="84" t="s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/>
  <dimension ref="L66"/>
  <sheetViews>
    <sheetView showGridLines="1" topLeftCell="A58" workbookViewId="0"/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17.375" style="123" customWidth="1"/>
    <col min="5" max="7" width="8.75" style="123"/>
    <col min="8" max="8" width="28.25" customWidth="1"/>
    <col min="9" max="9" width="29" customWidth="1"/>
    <col min="10" max="10" width="22.6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143</v>
      </c>
      <c r="I1" s="4" t="s">
        <v>144</v>
      </c>
      <c r="J1" s="4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2348</v>
      </c>
      <c r="C2" s="4">
        <v>2615</v>
      </c>
      <c r="D2" s="4" t="str">
        <f>=VLOOKUP(B2,[2]在校生综合信息查询!$A$264:$C$329,2,0)</f>
        <v>24q710103120</v>
      </c>
      <c r="E2" s="12">
        <v>20</v>
      </c>
      <c r="F2" s="12">
        <v>48</v>
      </c>
      <c r="G2" s="12">
        <v>83</v>
      </c>
      <c r="H2" s="12">
        <v>50</v>
      </c>
      <c r="I2" s="12">
        <v>49</v>
      </c>
      <c r="J2" s="12">
        <v>26</v>
      </c>
      <c r="K2" s="6">
        <v>151</v>
      </c>
      <c r="L2" s="6">
        <v>2</v>
      </c>
    </row>
    <row r="3" spans="1:12" ht="18.75">
      <c r="A3" s="4">
        <v>2</v>
      </c>
      <c r="B3" s="4" t="s">
        <v>2350</v>
      </c>
      <c r="C3" s="4">
        <v>2618</v>
      </c>
      <c r="D3" s="4" t="str">
        <f>=VLOOKUP(B3,[2]在校生综合信息查询!$A$264:$C$329,2,0)</f>
        <v>24q710103129</v>
      </c>
      <c r="E3" s="12">
        <v>21</v>
      </c>
      <c r="F3" s="12">
        <v>53</v>
      </c>
      <c r="G3" s="12">
        <v>35.5</v>
      </c>
      <c r="H3" s="12">
        <v>14</v>
      </c>
      <c r="I3" s="12">
        <v>30</v>
      </c>
      <c r="J3" s="12">
        <v>19</v>
      </c>
      <c r="K3" s="6">
        <v>109</v>
      </c>
      <c r="L3" s="6">
        <v>5</v>
      </c>
    </row>
    <row r="4" spans="1:12" ht="18.75">
      <c r="A4" s="4">
        <v>3</v>
      </c>
      <c r="B4" s="4" t="s">
        <v>2352</v>
      </c>
      <c r="C4" s="4">
        <v>2568</v>
      </c>
      <c r="D4" s="4" t="str">
        <f>=VLOOKUP(B4,[2]在校生综合信息查询!$A$264:$C$329,2,0)</f>
        <v>24q710103071</v>
      </c>
      <c r="E4" s="12">
        <v>22</v>
      </c>
      <c r="F4" s="12">
        <v>28</v>
      </c>
      <c r="G4" s="14">
        <v>15</v>
      </c>
      <c r="H4" s="12">
        <v>21</v>
      </c>
      <c r="I4" s="12">
        <v>18</v>
      </c>
      <c r="J4" s="12">
        <v>11</v>
      </c>
      <c r="K4" s="6">
        <v>65</v>
      </c>
      <c r="L4" s="6">
        <v>29</v>
      </c>
    </row>
    <row r="5" spans="1:12" ht="18.75">
      <c r="A5" s="4">
        <v>4</v>
      </c>
      <c r="B5" s="4" t="s">
        <v>2354</v>
      </c>
      <c r="C5" s="4">
        <v>2608</v>
      </c>
      <c r="D5" s="4" t="str">
        <f>=VLOOKUP(B5,[2]在校生综合信息查询!$A$264:$C$329,2,0)</f>
        <v>24q710103132</v>
      </c>
      <c r="E5" s="12">
        <v>29</v>
      </c>
      <c r="F5" s="12">
        <v>20</v>
      </c>
      <c r="G5" s="12">
        <v>19</v>
      </c>
      <c r="H5" s="12">
        <v>15</v>
      </c>
      <c r="I5" s="12">
        <v>23</v>
      </c>
      <c r="J5" s="12">
        <v>23</v>
      </c>
      <c r="K5" s="6">
        <v>68</v>
      </c>
      <c r="L5" s="6">
        <v>26</v>
      </c>
    </row>
    <row r="6" spans="1:12" ht="18.75">
      <c r="A6" s="4">
        <v>5</v>
      </c>
      <c r="B6" s="4" t="s">
        <v>2356</v>
      </c>
      <c r="C6" s="4">
        <v>2627</v>
      </c>
      <c r="D6" s="4" t="str">
        <f>=VLOOKUP(B6,[2]在校生综合信息查询!$A$264:$C$329,2,0)</f>
        <v>24q7101033171</v>
      </c>
      <c r="E6" s="12">
        <v>6</v>
      </c>
      <c r="F6" s="12">
        <v>12</v>
      </c>
      <c r="G6" s="12">
        <v>13</v>
      </c>
      <c r="H6" s="12">
        <v>18</v>
      </c>
      <c r="I6" s="12">
        <v>22</v>
      </c>
      <c r="J6" s="12">
        <v>17</v>
      </c>
      <c r="K6" s="6">
        <v>31</v>
      </c>
      <c r="L6" s="6">
        <v>58</v>
      </c>
    </row>
    <row r="7" spans="1:12" ht="18.75">
      <c r="A7" s="4">
        <v>6</v>
      </c>
      <c r="B7" s="4" t="s">
        <v>2358</v>
      </c>
      <c r="C7" s="4">
        <v>2633</v>
      </c>
      <c r="D7" s="4" t="str">
        <f>=VLOOKUP(B7,[2]在校生综合信息查询!$A$264:$C$329,2,0)</f>
        <v>24q710201008</v>
      </c>
      <c r="E7" s="12">
        <v>20</v>
      </c>
      <c r="F7" s="12">
        <v>24</v>
      </c>
      <c r="G7" s="12">
        <v>0</v>
      </c>
      <c r="H7" s="12">
        <v>0</v>
      </c>
      <c r="I7" s="12">
        <v>0</v>
      </c>
      <c r="J7" s="12">
        <v>0</v>
      </c>
      <c r="K7" s="6">
        <v>66.5</v>
      </c>
      <c r="L7" s="6">
        <v>27</v>
      </c>
    </row>
    <row r="8" spans="1:12" ht="18.75">
      <c r="A8" s="4">
        <v>7</v>
      </c>
      <c r="B8" s="4" t="s">
        <v>2360</v>
      </c>
      <c r="C8" s="4">
        <v>2569</v>
      </c>
      <c r="D8" s="4" t="str">
        <f>=VLOOKUP(B8,[2]在校生综合信息查询!$A$264:$C$329,2,0)</f>
        <v>24q710103072</v>
      </c>
      <c r="E8" s="12">
        <v>13</v>
      </c>
      <c r="F8" s="12">
        <v>20</v>
      </c>
      <c r="G8" s="12">
        <v>33.5</v>
      </c>
      <c r="H8" s="12">
        <v>21</v>
      </c>
      <c r="I8" s="12">
        <v>28</v>
      </c>
      <c r="J8" s="12">
        <v>15</v>
      </c>
      <c r="K8" s="6">
        <v>43</v>
      </c>
      <c r="L8" s="6">
        <v>46</v>
      </c>
    </row>
    <row r="9" spans="1:12" ht="18.75">
      <c r="A9" s="4">
        <v>8</v>
      </c>
      <c r="B9" s="4" t="s">
        <v>2362</v>
      </c>
      <c r="C9" s="4">
        <v>2626</v>
      </c>
      <c r="D9" s="4" t="str">
        <f>=VLOOKUP(B9,[2]在校生综合信息查询!$A$264:$C$329,2,0)</f>
        <v>24q710103136</v>
      </c>
      <c r="E9" s="12">
        <v>17</v>
      </c>
      <c r="F9" s="12">
        <v>12</v>
      </c>
      <c r="G9" s="12">
        <v>18</v>
      </c>
      <c r="H9" s="12">
        <v>12</v>
      </c>
      <c r="I9" s="12">
        <v>15</v>
      </c>
      <c r="J9" s="12">
        <v>14</v>
      </c>
      <c r="K9" s="6">
        <v>47</v>
      </c>
      <c r="L9" s="6">
        <v>41</v>
      </c>
    </row>
    <row r="10" spans="1:12" ht="18.75">
      <c r="A10" s="4">
        <v>9</v>
      </c>
      <c r="B10" s="4" t="s">
        <v>2364</v>
      </c>
      <c r="C10" s="4">
        <v>2570</v>
      </c>
      <c r="D10" s="4" t="str">
        <f>=VLOOKUP(B10,[2]在校生综合信息查询!$A$264:$C$329,2,0)</f>
        <v>24q710103073</v>
      </c>
      <c r="E10" s="12">
        <v>38</v>
      </c>
      <c r="F10" s="12">
        <v>12</v>
      </c>
      <c r="G10" s="12">
        <v>27</v>
      </c>
      <c r="H10" s="12">
        <v>22</v>
      </c>
      <c r="I10" s="12">
        <v>13</v>
      </c>
      <c r="J10" s="12">
        <v>28</v>
      </c>
      <c r="K10" s="6">
        <v>77</v>
      </c>
      <c r="L10" s="6">
        <v>18</v>
      </c>
    </row>
    <row r="11" spans="1:12" ht="18.75">
      <c r="A11" s="4">
        <v>10</v>
      </c>
      <c r="B11" s="4" t="s">
        <v>2366</v>
      </c>
      <c r="C11" s="4">
        <v>2622</v>
      </c>
      <c r="D11" s="4" t="str">
        <f>=VLOOKUP(B11,[2]在校生综合信息查询!$A$264:$C$329,2,0)</f>
        <v>24q710103138</v>
      </c>
      <c r="E11" s="12">
        <v>1</v>
      </c>
      <c r="F11" s="12">
        <v>16</v>
      </c>
      <c r="G11" s="12">
        <v>21.5</v>
      </c>
      <c r="H11" s="12">
        <v>10</v>
      </c>
      <c r="I11" s="12">
        <v>11</v>
      </c>
      <c r="J11" s="12">
        <v>15</v>
      </c>
      <c r="K11" s="6">
        <v>38.5</v>
      </c>
      <c r="L11" s="6">
        <v>52</v>
      </c>
    </row>
    <row r="12" spans="1:12" ht="18.75">
      <c r="A12" s="4">
        <v>11</v>
      </c>
      <c r="B12" s="4" t="s">
        <v>2368</v>
      </c>
      <c r="C12" s="4">
        <v>2610</v>
      </c>
      <c r="D12" s="4" t="str">
        <f>=VLOOKUP(B12,[2]在校生综合信息查询!$A$264:$C$329,2,0)</f>
        <v>24q7101032111</v>
      </c>
      <c r="E12" s="12">
        <v>12</v>
      </c>
      <c r="F12" s="12">
        <v>8</v>
      </c>
      <c r="G12" s="12">
        <v>17</v>
      </c>
      <c r="H12" s="12">
        <v>7</v>
      </c>
      <c r="I12" s="12">
        <v>22</v>
      </c>
      <c r="J12" s="12">
        <v>18</v>
      </c>
      <c r="K12" s="6">
        <v>37</v>
      </c>
      <c r="L12" s="6">
        <v>55</v>
      </c>
    </row>
    <row r="13" spans="1:12" ht="18.75">
      <c r="A13" s="4">
        <v>12</v>
      </c>
      <c r="B13" s="4" t="s">
        <v>2370</v>
      </c>
      <c r="C13" s="4">
        <v>2612</v>
      </c>
      <c r="D13" s="4" t="str">
        <f>=VLOOKUP(B13,[2]在校生综合信息查询!$A$264:$C$329,2,0)</f>
        <v>24q770101011</v>
      </c>
      <c r="E13" s="12">
        <v>35</v>
      </c>
      <c r="F13" s="12">
        <v>20</v>
      </c>
      <c r="G13" s="12">
        <v>17.5</v>
      </c>
      <c r="H13" s="12">
        <v>18</v>
      </c>
      <c r="I13" s="12">
        <v>25</v>
      </c>
      <c r="J13" s="12">
        <v>24</v>
      </c>
      <c r="K13" s="6">
        <v>70.5</v>
      </c>
      <c r="L13" s="6">
        <v>24</v>
      </c>
    </row>
    <row r="14" spans="1:12" ht="18.75">
      <c r="A14" s="4">
        <v>13</v>
      </c>
      <c r="B14" s="4" t="s">
        <v>2372</v>
      </c>
      <c r="C14" s="4">
        <v>2601</v>
      </c>
      <c r="D14" s="4" t="str">
        <f>=VLOOKUP(B14,[2]在校生综合信息查询!$A$264:$C$329,2,0)</f>
        <v>24q7101031120</v>
      </c>
      <c r="E14" s="12">
        <v>0</v>
      </c>
      <c r="F14" s="12">
        <v>52</v>
      </c>
      <c r="G14" s="12">
        <v>21</v>
      </c>
      <c r="H14" s="12">
        <v>15</v>
      </c>
      <c r="I14" s="12">
        <v>12</v>
      </c>
      <c r="J14" s="12">
        <v>23</v>
      </c>
      <c r="K14" s="6">
        <v>73</v>
      </c>
      <c r="L14" s="6">
        <v>23</v>
      </c>
    </row>
    <row r="15" spans="1:12" ht="18.75">
      <c r="A15" s="4">
        <v>14</v>
      </c>
      <c r="B15" s="4" t="s">
        <v>2374</v>
      </c>
      <c r="C15" s="4">
        <v>2616</v>
      </c>
      <c r="D15" s="4" t="str">
        <f>=VLOOKUP(B15,[2]在校生综合信息查询!$A$264:$C$329,2,0)</f>
        <v>24q710103163</v>
      </c>
      <c r="E15" s="12">
        <v>9</v>
      </c>
      <c r="F15" s="12">
        <v>0</v>
      </c>
      <c r="G15" s="12">
        <v>25</v>
      </c>
      <c r="H15" s="12">
        <v>15</v>
      </c>
      <c r="I15" s="12">
        <v>26</v>
      </c>
      <c r="J15" s="12">
        <v>12</v>
      </c>
      <c r="K15" s="6">
        <v>34</v>
      </c>
      <c r="L15" s="6">
        <v>57</v>
      </c>
    </row>
    <row r="16" spans="1:12" ht="18.75">
      <c r="A16" s="4">
        <v>15</v>
      </c>
      <c r="B16" s="4" t="s">
        <v>2376</v>
      </c>
      <c r="C16" s="4">
        <v>2632</v>
      </c>
      <c r="D16" s="4" t="str">
        <f>=VLOOKUP(B16,[2]在校生综合信息查询!$A$264:$C$329,2,0)</f>
        <v>24q7101032109</v>
      </c>
      <c r="E16" s="12">
        <v>10</v>
      </c>
      <c r="F16" s="12">
        <v>36</v>
      </c>
      <c r="G16" s="12">
        <v>11.5</v>
      </c>
      <c r="H16" s="12">
        <v>10</v>
      </c>
      <c r="I16" s="12">
        <v>26</v>
      </c>
      <c r="J16" s="12">
        <v>22</v>
      </c>
      <c r="K16" s="6">
        <v>57.5</v>
      </c>
      <c r="L16" s="6">
        <v>34</v>
      </c>
    </row>
    <row r="17" spans="1:12" ht="18.75">
      <c r="A17" s="4">
        <v>16</v>
      </c>
      <c r="B17" s="4" t="s">
        <v>2378</v>
      </c>
      <c r="C17" s="4">
        <v>2619</v>
      </c>
      <c r="D17" s="4" t="str">
        <f>=VLOOKUP(B17,[2]在校生综合信息查询!$A$264:$C$329,2,0)</f>
        <v>24q770101023</v>
      </c>
      <c r="E17" s="12">
        <v>12</v>
      </c>
      <c r="F17" s="12">
        <v>12</v>
      </c>
      <c r="G17" s="12">
        <v>29.5</v>
      </c>
      <c r="H17" s="12">
        <v>7</v>
      </c>
      <c r="I17" s="12">
        <v>17</v>
      </c>
      <c r="J17" s="12">
        <v>10</v>
      </c>
      <c r="K17" s="6">
        <v>53.5</v>
      </c>
      <c r="L17" s="6">
        <v>36</v>
      </c>
    </row>
    <row r="18" spans="1:12" ht="18.75">
      <c r="A18" s="4">
        <v>17</v>
      </c>
      <c r="B18" s="4" t="s">
        <v>2380</v>
      </c>
      <c r="C18" s="4">
        <v>2571</v>
      </c>
      <c r="D18" s="4" t="e">
        <f>=VLOOKUP(B18,[2]在校生综合信息查询!$A$264:$C$329,2,0)</f>
        <v>#N/A</v>
      </c>
      <c r="E18" s="12">
        <v>0</v>
      </c>
      <c r="F18" s="12">
        <v>0</v>
      </c>
      <c r="G18" s="12" t="s"/>
      <c r="H18" s="12">
        <v>0</v>
      </c>
      <c r="I18" s="12">
        <v>0</v>
      </c>
      <c r="J18" s="12">
        <v>0</v>
      </c>
      <c r="K18" s="6">
        <v>0</v>
      </c>
      <c r="L18" s="6">
        <v>61</v>
      </c>
    </row>
    <row r="19" spans="1:12" ht="18.75">
      <c r="A19" s="4">
        <v>18</v>
      </c>
      <c r="B19" s="4" t="s">
        <v>2381</v>
      </c>
      <c r="C19" s="4">
        <v>2634</v>
      </c>
      <c r="D19" s="4" t="str">
        <f>=VLOOKUP(B19,[2]在校生综合信息查询!$A$264:$C$329,2,0)</f>
        <v>20241114</v>
      </c>
      <c r="E19" s="12">
        <v>18</v>
      </c>
      <c r="F19" s="12">
        <v>8</v>
      </c>
      <c r="G19" s="12">
        <v>21</v>
      </c>
      <c r="H19" s="12">
        <v>7</v>
      </c>
      <c r="I19" s="12">
        <v>26</v>
      </c>
      <c r="J19" s="12">
        <v>14</v>
      </c>
      <c r="K19" s="6">
        <v>47</v>
      </c>
      <c r="L19" s="6">
        <v>41</v>
      </c>
    </row>
    <row r="20" spans="1:12" ht="18.75">
      <c r="A20" s="4">
        <v>19</v>
      </c>
      <c r="B20" s="4" t="s">
        <v>2383</v>
      </c>
      <c r="C20" s="4">
        <v>2623</v>
      </c>
      <c r="D20" s="4" t="str">
        <f>=VLOOKUP(B20,[2]在校生综合信息查询!$A$264:$C$329,2,0)</f>
        <v>24q710103176</v>
      </c>
      <c r="E20" s="12">
        <v>9</v>
      </c>
      <c r="F20" s="12">
        <v>44</v>
      </c>
      <c r="G20" s="12">
        <v>31.5</v>
      </c>
      <c r="H20" s="12">
        <v>27</v>
      </c>
      <c r="I20" s="12">
        <v>27</v>
      </c>
      <c r="J20" s="12">
        <v>19</v>
      </c>
      <c r="K20" s="6">
        <v>84.5</v>
      </c>
      <c r="L20" s="6">
        <v>13</v>
      </c>
    </row>
    <row r="21" spans="1:12" ht="18.75">
      <c r="A21" s="4">
        <v>20</v>
      </c>
      <c r="B21" s="4" t="s">
        <v>2385</v>
      </c>
      <c r="C21" s="4">
        <v>2572</v>
      </c>
      <c r="D21" s="4" t="str">
        <f>=VLOOKUP(B21,[2]在校生综合信息查询!$A$264:$C$329,2,0)</f>
        <v>24q710103076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6">
        <v>0</v>
      </c>
      <c r="L21" s="6">
        <v>61</v>
      </c>
    </row>
    <row r="22" spans="1:12" ht="18.75">
      <c r="A22" s="4">
        <v>21</v>
      </c>
      <c r="B22" s="4" t="s">
        <v>2387</v>
      </c>
      <c r="C22" s="4">
        <v>2606</v>
      </c>
      <c r="D22" s="4" t="str">
        <f>=VLOOKUP(B22,[2]在校生综合信息查询!$A$264:$C$329,2,0)</f>
        <v>24q7101032863</v>
      </c>
      <c r="E22" s="12">
        <v>0</v>
      </c>
      <c r="F22" s="12">
        <v>40</v>
      </c>
      <c r="G22" s="12">
        <v>18.5</v>
      </c>
      <c r="H22" s="12">
        <v>8</v>
      </c>
      <c r="I22" s="12">
        <v>23</v>
      </c>
      <c r="J22" s="12">
        <v>18</v>
      </c>
      <c r="K22" s="6">
        <v>58.5</v>
      </c>
      <c r="L22" s="6">
        <v>33</v>
      </c>
    </row>
    <row r="23" spans="1:12" ht="18.75">
      <c r="A23" s="4">
        <v>22</v>
      </c>
      <c r="B23" s="4" t="s">
        <v>2389</v>
      </c>
      <c r="C23" s="4">
        <v>2624</v>
      </c>
      <c r="D23" s="4" t="str">
        <f>=VLOOKUP(B23,[2]在校生综合信息查询!$A$264:$C$329,2,0)</f>
        <v>24q710103177</v>
      </c>
      <c r="E23" s="12">
        <v>18</v>
      </c>
      <c r="F23" s="12">
        <v>40</v>
      </c>
      <c r="G23" s="12">
        <v>75</v>
      </c>
      <c r="H23" s="12">
        <v>27</v>
      </c>
      <c r="I23" s="12">
        <v>30</v>
      </c>
      <c r="J23" s="12">
        <v>7</v>
      </c>
      <c r="K23" s="6">
        <v>133</v>
      </c>
      <c r="L23" s="6">
        <v>4</v>
      </c>
    </row>
    <row r="24" spans="1:12" ht="18.75">
      <c r="A24" s="4">
        <v>23</v>
      </c>
      <c r="B24" s="4" t="s">
        <v>2391</v>
      </c>
      <c r="C24" s="4">
        <v>2625</v>
      </c>
      <c r="D24" s="4" t="str">
        <f>=VLOOKUP(B24,[2]在校生综合信息查询!$A$264:$C$329,2,0)</f>
        <v>24q710103179</v>
      </c>
      <c r="E24" s="12">
        <v>18</v>
      </c>
      <c r="F24" s="12">
        <v>0</v>
      </c>
      <c r="G24" s="12">
        <v>20.5</v>
      </c>
      <c r="H24" s="12">
        <v>12</v>
      </c>
      <c r="I24" s="12">
        <v>18</v>
      </c>
      <c r="J24" s="12">
        <v>6</v>
      </c>
      <c r="K24" s="6">
        <v>38.5</v>
      </c>
      <c r="L24" s="6">
        <v>52</v>
      </c>
    </row>
    <row r="25" spans="1:12" ht="18.75">
      <c r="A25" s="4">
        <v>24</v>
      </c>
      <c r="B25" s="4" t="s">
        <v>2393</v>
      </c>
      <c r="C25" s="4">
        <v>2620</v>
      </c>
      <c r="D25" s="4" t="str">
        <f>=VLOOKUP(B25,[2]在校生综合信息查询!$A$264:$C$329,2,0)</f>
        <v>24q770101029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6">
        <v>0</v>
      </c>
      <c r="L25" s="6">
        <v>61</v>
      </c>
    </row>
    <row r="26" spans="1:12" ht="18.75">
      <c r="A26" s="4">
        <v>25</v>
      </c>
      <c r="B26" s="4" t="s">
        <v>2395</v>
      </c>
      <c r="C26" s="4">
        <v>2621</v>
      </c>
      <c r="D26" s="4" t="str">
        <f>=VLOOKUP(B26,[2]在校生综合信息查询!$A$264:$C$329,2,0)</f>
        <v>24q770101031</v>
      </c>
      <c r="E26" s="12">
        <v>0</v>
      </c>
      <c r="F26" s="12">
        <v>56</v>
      </c>
      <c r="G26" s="12">
        <v>27</v>
      </c>
      <c r="H26" s="12">
        <v>25</v>
      </c>
      <c r="I26" s="12">
        <v>26</v>
      </c>
      <c r="J26" s="12">
        <v>23</v>
      </c>
      <c r="K26" s="6">
        <v>83</v>
      </c>
      <c r="L26" s="6">
        <v>15</v>
      </c>
    </row>
    <row r="27" spans="1:12" ht="18.75">
      <c r="A27" s="4">
        <v>26</v>
      </c>
      <c r="B27" s="4" t="s">
        <v>2397</v>
      </c>
      <c r="C27" s="4">
        <v>2573</v>
      </c>
      <c r="D27" s="4" t="str">
        <f>=VLOOKUP(B27,[2]在校生综合信息查询!$A$264:$C$329,2,0)</f>
        <v>24q710103077</v>
      </c>
      <c r="E27" s="12">
        <v>31</v>
      </c>
      <c r="F27" s="12">
        <v>32</v>
      </c>
      <c r="G27" s="12">
        <v>17.5</v>
      </c>
      <c r="H27" s="12">
        <v>29</v>
      </c>
      <c r="I27" s="12">
        <v>14</v>
      </c>
      <c r="J27" s="12">
        <v>21</v>
      </c>
      <c r="K27" s="6">
        <v>80.5</v>
      </c>
      <c r="L27" s="6">
        <v>17</v>
      </c>
    </row>
    <row r="28" spans="1:12" ht="18.75">
      <c r="A28" s="4">
        <v>27</v>
      </c>
      <c r="B28" s="4" t="s">
        <v>2399</v>
      </c>
      <c r="C28" s="4">
        <v>2602</v>
      </c>
      <c r="D28" s="4" t="str">
        <f>=VLOOKUP(B28,[2]在校生综合信息查询!$A$264:$C$329,2,0)</f>
        <v>24q770303032</v>
      </c>
      <c r="E28" s="12">
        <v>20</v>
      </c>
      <c r="F28" s="12">
        <v>12</v>
      </c>
      <c r="G28" s="12">
        <v>18.5</v>
      </c>
      <c r="H28" s="12">
        <v>31</v>
      </c>
      <c r="I28" s="12">
        <v>11</v>
      </c>
      <c r="J28" s="12">
        <v>6</v>
      </c>
      <c r="K28" s="6">
        <v>50.5</v>
      </c>
      <c r="L28" s="6">
        <v>37</v>
      </c>
    </row>
    <row r="29" spans="1:12" ht="18.75">
      <c r="A29" s="4">
        <v>28</v>
      </c>
      <c r="B29" s="4" t="s">
        <v>2401</v>
      </c>
      <c r="C29" s="4">
        <v>2574</v>
      </c>
      <c r="D29" s="4" t="str">
        <f>=VLOOKUP(B29,[2]在校生综合信息查询!$A$264:$C$329,2,0)</f>
        <v>24q710103078</v>
      </c>
      <c r="E29" s="12">
        <v>12</v>
      </c>
      <c r="F29" s="12">
        <v>48</v>
      </c>
      <c r="G29" s="12">
        <v>16</v>
      </c>
      <c r="H29" s="12">
        <v>7</v>
      </c>
      <c r="I29" s="12">
        <v>18</v>
      </c>
      <c r="J29" s="12">
        <v>21</v>
      </c>
      <c r="K29" s="6">
        <v>76</v>
      </c>
      <c r="L29" s="6">
        <v>19</v>
      </c>
    </row>
    <row r="30" spans="1:12" ht="18.75">
      <c r="A30" s="4">
        <v>29</v>
      </c>
      <c r="B30" s="4" t="s">
        <v>2403</v>
      </c>
      <c r="C30" s="4">
        <v>2629</v>
      </c>
      <c r="D30" s="4" t="str">
        <f>=VLOOKUP(B30,[2]在校生综合信息查询!$A$264:$C$329,2,0)</f>
        <v>24q710103306</v>
      </c>
      <c r="E30" s="12">
        <v>8</v>
      </c>
      <c r="F30" s="12">
        <v>24</v>
      </c>
      <c r="G30" s="12">
        <v>11</v>
      </c>
      <c r="H30" s="12">
        <v>15</v>
      </c>
      <c r="I30" s="12">
        <v>15</v>
      </c>
      <c r="J30" s="12">
        <v>10</v>
      </c>
      <c r="K30" s="6">
        <v>43</v>
      </c>
      <c r="L30" s="6">
        <v>46</v>
      </c>
    </row>
    <row r="31" spans="1:12" ht="18.75">
      <c r="A31" s="4">
        <v>30</v>
      </c>
      <c r="B31" s="4" t="s">
        <v>2405</v>
      </c>
      <c r="C31" s="4">
        <v>2611</v>
      </c>
      <c r="D31" s="4" t="str">
        <f>=VLOOKUP(B31,[2]在校生综合信息查询!$A$264:$C$329,2,0)</f>
        <v>24q7101032110</v>
      </c>
      <c r="E31" s="12">
        <v>49</v>
      </c>
      <c r="F31" s="12">
        <v>16</v>
      </c>
      <c r="G31" s="12">
        <v>31</v>
      </c>
      <c r="H31" s="12">
        <v>22</v>
      </c>
      <c r="I31" s="12">
        <v>19</v>
      </c>
      <c r="J31" s="12">
        <v>29</v>
      </c>
      <c r="K31" s="6">
        <v>96</v>
      </c>
      <c r="L31" s="6">
        <v>10</v>
      </c>
    </row>
    <row r="32" spans="1:12" ht="18.75">
      <c r="A32" s="4">
        <v>31</v>
      </c>
      <c r="B32" s="4" t="s">
        <v>2407</v>
      </c>
      <c r="C32" s="4">
        <v>2575</v>
      </c>
      <c r="D32" s="4" t="str">
        <f>=VLOOKUP(B32,[2]在校生综合信息查询!$A$264:$C$329,2,0)</f>
        <v>24q710103082</v>
      </c>
      <c r="E32" s="12">
        <v>14</v>
      </c>
      <c r="F32" s="12">
        <v>60</v>
      </c>
      <c r="G32" s="12">
        <v>15.5</v>
      </c>
      <c r="H32" s="12">
        <v>49</v>
      </c>
      <c r="I32" s="12">
        <v>52</v>
      </c>
      <c r="J32" s="12">
        <v>43</v>
      </c>
      <c r="K32" s="6">
        <v>89.5</v>
      </c>
      <c r="L32" s="6">
        <v>11</v>
      </c>
    </row>
    <row r="33" spans="1:12" ht="18.75">
      <c r="A33" s="4">
        <v>32</v>
      </c>
      <c r="B33" s="4" t="s">
        <v>2409</v>
      </c>
      <c r="C33" s="4">
        <v>2576</v>
      </c>
      <c r="D33" s="4" t="str">
        <f>=VLOOKUP(B33,[2]在校生综合信息查询!$A$264:$C$329,2,0)</f>
        <v>24q710103083</v>
      </c>
      <c r="E33" s="12">
        <v>17</v>
      </c>
      <c r="F33" s="12">
        <v>64</v>
      </c>
      <c r="G33" s="12">
        <v>64.5</v>
      </c>
      <c r="H33" s="12">
        <v>47</v>
      </c>
      <c r="I33" s="12">
        <v>64</v>
      </c>
      <c r="J33" s="12">
        <v>54</v>
      </c>
      <c r="K33" s="6">
        <v>151</v>
      </c>
      <c r="L33" s="6">
        <v>3</v>
      </c>
    </row>
    <row r="34" spans="1:12" ht="18.75">
      <c r="A34" s="4">
        <v>33</v>
      </c>
      <c r="B34" s="4" t="s">
        <v>2411</v>
      </c>
      <c r="C34" s="4">
        <v>2577</v>
      </c>
      <c r="D34" s="4" t="str">
        <f>=VLOOKUP(B34,[2]在校生综合信息查询!$A$264:$C$329,2,0)</f>
        <v>24q710103085</v>
      </c>
      <c r="E34" s="12">
        <v>14</v>
      </c>
      <c r="F34" s="12">
        <v>28</v>
      </c>
      <c r="G34" s="12">
        <v>22.5</v>
      </c>
      <c r="H34" s="12">
        <v>30</v>
      </c>
      <c r="I34" s="12">
        <v>34</v>
      </c>
      <c r="J34" s="12">
        <v>23</v>
      </c>
      <c r="K34" s="6">
        <v>54.5</v>
      </c>
      <c r="L34" s="6">
        <v>31</v>
      </c>
    </row>
    <row r="35" spans="1:12" ht="18.75">
      <c r="A35" s="4">
        <v>34</v>
      </c>
      <c r="B35" s="4" t="s">
        <v>2413</v>
      </c>
      <c r="C35" s="4">
        <v>2578</v>
      </c>
      <c r="D35" s="4" t="str">
        <f>=VLOOKUP(B35,[2]在校生综合信息查询!$A$264:$C$329,2,0)</f>
        <v>24q710103086</v>
      </c>
      <c r="E35" s="12">
        <v>27</v>
      </c>
      <c r="F35" s="12">
        <v>68</v>
      </c>
      <c r="G35" s="12">
        <v>72.5</v>
      </c>
      <c r="H35" s="12">
        <v>53</v>
      </c>
      <c r="I35" s="12">
        <v>72</v>
      </c>
      <c r="J35" s="12">
        <v>61</v>
      </c>
      <c r="K35" s="6">
        <v>167.5</v>
      </c>
      <c r="L35" s="6">
        <v>1</v>
      </c>
    </row>
    <row r="36" spans="1:12" ht="18.75">
      <c r="A36" s="4">
        <v>35</v>
      </c>
      <c r="B36" s="15" t="s">
        <v>2415</v>
      </c>
      <c r="C36" s="4">
        <v>2583</v>
      </c>
      <c r="D36" s="4" t="str">
        <f>=VLOOKUP(B36,[2]在校生综合信息查询!$A$264:$C$329,2,0)</f>
        <v>24q710103094</v>
      </c>
      <c r="E36" s="12">
        <v>20</v>
      </c>
      <c r="F36" s="12">
        <v>48</v>
      </c>
      <c r="G36" s="12">
        <v>18</v>
      </c>
      <c r="H36" s="12">
        <v>21</v>
      </c>
      <c r="I36" s="12">
        <v>41</v>
      </c>
      <c r="J36" s="12">
        <v>18</v>
      </c>
      <c r="K36">
        <v>86</v>
      </c>
      <c r="L36">
        <v>12</v>
      </c>
    </row>
    <row r="37" spans="1:12" ht="18.75">
      <c r="A37" s="4">
        <v>36</v>
      </c>
      <c r="B37" s="15" t="s">
        <v>2417</v>
      </c>
      <c r="C37" s="4">
        <v>2584</v>
      </c>
      <c r="D37" s="4" t="str">
        <f>=VLOOKUP(B37,[2]在校生综合信息查询!$A$264:$C$329,2,0)</f>
        <v>24q710103095</v>
      </c>
      <c r="E37" s="12">
        <v>0</v>
      </c>
      <c r="F37" s="12">
        <v>0</v>
      </c>
      <c r="G37" s="12">
        <v>0</v>
      </c>
      <c r="H37" s="6">
        <v>0</v>
      </c>
      <c r="I37" s="6">
        <v>0</v>
      </c>
      <c r="J37" s="6">
        <v>0</v>
      </c>
      <c r="K37">
        <v>0</v>
      </c>
      <c r="L37">
        <v>61</v>
      </c>
    </row>
    <row r="38" spans="1:12" ht="18.75">
      <c r="A38" s="4">
        <v>37</v>
      </c>
      <c r="B38" s="15" t="s">
        <v>2419</v>
      </c>
      <c r="C38" s="4">
        <v>2614</v>
      </c>
      <c r="D38" s="4" t="str">
        <f>=VLOOKUP(B38,[2]在校生综合信息查询!$A$264:$C$329,2,0)</f>
        <v>24q710103185</v>
      </c>
      <c r="E38" s="12">
        <v>35</v>
      </c>
      <c r="F38" s="12">
        <v>16</v>
      </c>
      <c r="G38" s="12">
        <v>57.5</v>
      </c>
      <c r="H38" s="6">
        <v>14</v>
      </c>
      <c r="I38" s="6">
        <v>11</v>
      </c>
      <c r="J38" s="6">
        <v>17</v>
      </c>
      <c r="K38">
        <v>108</v>
      </c>
      <c r="L38">
        <v>6</v>
      </c>
    </row>
    <row r="39" spans="1:12" ht="18.75">
      <c r="A39" s="4">
        <v>38</v>
      </c>
      <c r="B39" s="15" t="s">
        <v>2421</v>
      </c>
      <c r="C39" s="4">
        <v>2628</v>
      </c>
      <c r="D39" s="4" t="str">
        <f>=VLOOKUP(B39,[2]在校生综合信息查询!$A$264:$C$329,2,0)</f>
        <v>24q710103286153</v>
      </c>
      <c r="E39" s="12">
        <v>15</v>
      </c>
      <c r="F39" s="12">
        <v>0</v>
      </c>
      <c r="G39" s="12">
        <v>0</v>
      </c>
      <c r="H39" s="6">
        <v>31</v>
      </c>
      <c r="I39" s="6">
        <v>28</v>
      </c>
      <c r="J39" s="6">
        <v>18</v>
      </c>
      <c r="K39">
        <v>15</v>
      </c>
      <c r="L39">
        <v>59</v>
      </c>
    </row>
    <row r="40" spans="1:12" ht="18.75">
      <c r="A40" s="4">
        <v>39</v>
      </c>
      <c r="B40" s="15" t="s">
        <v>1425</v>
      </c>
      <c r="C40" s="4">
        <v>2605</v>
      </c>
      <c r="D40" s="4" t="str">
        <f>=VLOOKUP(B40,[2]在校生综合信息查询!$A$264:$C$329,2,0)</f>
        <v>24q740101046</v>
      </c>
      <c r="E40" s="12">
        <v>6</v>
      </c>
      <c r="F40" s="12">
        <v>0</v>
      </c>
      <c r="G40" s="12">
        <v>0</v>
      </c>
      <c r="H40" s="6">
        <v>0</v>
      </c>
      <c r="I40" s="6">
        <v>0</v>
      </c>
      <c r="J40" s="6">
        <v>0</v>
      </c>
      <c r="K40">
        <v>6</v>
      </c>
      <c r="L40">
        <v>60</v>
      </c>
    </row>
    <row r="41" spans="1:12" ht="18.75">
      <c r="A41" s="4">
        <v>40</v>
      </c>
      <c r="B41" s="15" t="s">
        <v>2424</v>
      </c>
      <c r="C41" s="4">
        <v>2585</v>
      </c>
      <c r="D41" s="4" t="str">
        <f>=VLOOKUP(B41,[2]在校生综合信息查询!$A$264:$C$329,2,0)</f>
        <v>24q710103098</v>
      </c>
      <c r="E41" s="12">
        <v>38</v>
      </c>
      <c r="F41" s="12">
        <v>28</v>
      </c>
      <c r="G41" s="12">
        <v>33</v>
      </c>
      <c r="H41" s="6">
        <v>37</v>
      </c>
      <c r="I41" s="6">
        <v>49</v>
      </c>
      <c r="J41" s="6">
        <v>18</v>
      </c>
      <c r="K41">
        <v>99</v>
      </c>
      <c r="L41">
        <v>9</v>
      </c>
    </row>
    <row r="42" spans="1:12" ht="18.75">
      <c r="A42" s="4">
        <v>41</v>
      </c>
      <c r="B42" s="15" t="s">
        <v>2426</v>
      </c>
      <c r="C42" s="4">
        <v>2586</v>
      </c>
      <c r="D42" s="4" t="str">
        <f>=VLOOKUP(B42,[2]在校生综合信息查询!$A$264:$C$329,2,0)</f>
        <v>24q710103099</v>
      </c>
      <c r="E42" s="12">
        <v>8</v>
      </c>
      <c r="F42" s="12">
        <v>28</v>
      </c>
      <c r="G42" s="12">
        <v>21.5</v>
      </c>
      <c r="H42" s="6">
        <v>11</v>
      </c>
      <c r="I42" s="6">
        <v>36</v>
      </c>
      <c r="J42" s="6">
        <v>18</v>
      </c>
      <c r="K42">
        <v>57.5</v>
      </c>
      <c r="L42">
        <v>34</v>
      </c>
    </row>
    <row r="43" spans="1:12" ht="18.75">
      <c r="A43" s="4">
        <v>42</v>
      </c>
      <c r="B43" s="15" t="s">
        <v>2428</v>
      </c>
      <c r="C43" s="4">
        <v>2613</v>
      </c>
      <c r="D43" s="4" t="str">
        <f>=VLOOKUP(B43,[2]在校生综合信息查询!$A$264:$C$329,2,0)</f>
        <v>24q710103328</v>
      </c>
      <c r="E43" s="12">
        <v>7</v>
      </c>
      <c r="F43" s="12">
        <v>24</v>
      </c>
      <c r="G43" s="12">
        <v>34</v>
      </c>
      <c r="H43" s="6">
        <v>18</v>
      </c>
      <c r="I43" s="6">
        <v>7</v>
      </c>
      <c r="J43" s="6">
        <v>21</v>
      </c>
      <c r="K43">
        <v>65</v>
      </c>
      <c r="L43">
        <v>29</v>
      </c>
    </row>
    <row r="44" spans="1:12" ht="18.75">
      <c r="A44" s="4">
        <v>43</v>
      </c>
      <c r="B44" s="15" t="s">
        <v>2430</v>
      </c>
      <c r="C44" s="4">
        <v>2587</v>
      </c>
      <c r="D44" s="4" t="str">
        <f>=VLOOKUP(B44,[2]在校生综合信息查询!$A$264:$C$329,2,0)</f>
        <v>24q710103101</v>
      </c>
      <c r="E44" s="12">
        <v>13</v>
      </c>
      <c r="F44" s="12">
        <v>8</v>
      </c>
      <c r="G44" s="12">
        <v>18.5</v>
      </c>
      <c r="H44" s="6">
        <v>7</v>
      </c>
      <c r="I44" s="6">
        <v>6</v>
      </c>
      <c r="J44" s="6">
        <v>19</v>
      </c>
      <c r="K44">
        <v>39.5</v>
      </c>
      <c r="L44">
        <v>51</v>
      </c>
    </row>
    <row r="45" spans="1:12" ht="18.75">
      <c r="A45" s="4">
        <v>44</v>
      </c>
      <c r="B45" s="15" t="s">
        <v>2432</v>
      </c>
      <c r="C45" s="4">
        <v>2588</v>
      </c>
      <c r="D45" s="4" t="str">
        <f>=VLOOKUP(B45,[2]在校生综合信息查询!$A$264:$C$329,2,0)</f>
        <v>24q710103102</v>
      </c>
      <c r="E45" s="12">
        <v>9</v>
      </c>
      <c r="F45" s="12">
        <v>20</v>
      </c>
      <c r="G45" s="12">
        <v>20</v>
      </c>
      <c r="H45" s="6">
        <v>18</v>
      </c>
      <c r="I45" s="6">
        <v>11</v>
      </c>
      <c r="J45" s="6">
        <v>17</v>
      </c>
      <c r="K45">
        <v>49</v>
      </c>
      <c r="L45">
        <v>39</v>
      </c>
    </row>
    <row r="46" spans="1:12" ht="18.75">
      <c r="A46" s="4">
        <v>45</v>
      </c>
      <c r="B46" s="15" t="s">
        <v>2434</v>
      </c>
      <c r="C46" s="4">
        <v>2589</v>
      </c>
      <c r="D46" s="4" t="str">
        <f>=VLOOKUP(B46,[2]在校生综合信息查询!$A$264:$C$329,2,0)</f>
        <v>24q710103103</v>
      </c>
      <c r="E46" s="12">
        <v>15</v>
      </c>
      <c r="F46" s="12">
        <v>20</v>
      </c>
      <c r="G46" s="12">
        <v>70.5</v>
      </c>
      <c r="H46" s="6">
        <v>21</v>
      </c>
      <c r="I46" s="6">
        <v>17</v>
      </c>
      <c r="J46" s="6">
        <v>14</v>
      </c>
      <c r="K46">
        <v>105.5</v>
      </c>
      <c r="L46">
        <v>7</v>
      </c>
    </row>
    <row r="47" spans="1:12" ht="18.75">
      <c r="A47" s="4">
        <v>46</v>
      </c>
      <c r="B47" s="15" t="s">
        <v>2436</v>
      </c>
      <c r="C47" s="4">
        <v>2590</v>
      </c>
      <c r="D47" s="4" t="str">
        <f>=VLOOKUP(B47,[2]在校生综合信息查询!$A$264:$C$329,2,0)</f>
        <v>24q710103105</v>
      </c>
      <c r="E47" s="12">
        <v>16</v>
      </c>
      <c r="F47" s="12">
        <v>28</v>
      </c>
      <c r="G47" s="12">
        <v>17</v>
      </c>
      <c r="H47" s="6">
        <v>22</v>
      </c>
      <c r="I47" s="6">
        <v>10</v>
      </c>
      <c r="J47" s="6">
        <v>8</v>
      </c>
      <c r="K47">
        <v>61</v>
      </c>
      <c r="L47">
        <v>32</v>
      </c>
    </row>
    <row r="48" spans="1:12" ht="18.75">
      <c r="A48" s="4">
        <v>47</v>
      </c>
      <c r="B48" s="15" t="s">
        <v>2438</v>
      </c>
      <c r="C48" s="4">
        <v>2591</v>
      </c>
      <c r="D48" s="4" t="str">
        <f>=VLOOKUP(B48,[2]在校生综合信息查询!$A$264:$C$329,2,0)</f>
        <v>24q710103106</v>
      </c>
      <c r="E48" s="12">
        <v>9</v>
      </c>
      <c r="F48" s="12">
        <v>24</v>
      </c>
      <c r="G48" s="12">
        <v>13.5</v>
      </c>
      <c r="H48" s="6">
        <v>15</v>
      </c>
      <c r="I48" s="6">
        <v>7</v>
      </c>
      <c r="J48" s="6">
        <v>19</v>
      </c>
      <c r="K48">
        <v>46.5</v>
      </c>
      <c r="L48">
        <v>43</v>
      </c>
    </row>
    <row r="49" spans="1:12" ht="18.75">
      <c r="A49" s="4">
        <v>48</v>
      </c>
      <c r="B49" s="15" t="s">
        <v>2440</v>
      </c>
      <c r="C49" s="4">
        <v>2592</v>
      </c>
      <c r="D49" s="4" t="str">
        <f>=VLOOKUP(B49,[2]在校生综合信息查询!$A$264:$C$329,2,0)</f>
        <v>24q710103107</v>
      </c>
      <c r="E49" s="12">
        <v>0</v>
      </c>
      <c r="F49" s="12">
        <v>0</v>
      </c>
      <c r="G49" s="12">
        <v>0</v>
      </c>
      <c r="H49" s="6">
        <v>0</v>
      </c>
      <c r="I49" s="6">
        <v>0</v>
      </c>
      <c r="J49" s="6">
        <v>0</v>
      </c>
      <c r="K49">
        <v>0</v>
      </c>
      <c r="L49">
        <v>61</v>
      </c>
    </row>
    <row r="50" spans="1:12" ht="18.75">
      <c r="A50" s="4">
        <v>49</v>
      </c>
      <c r="B50" s="15" t="s">
        <v>2442</v>
      </c>
      <c r="C50" s="4">
        <v>2593</v>
      </c>
      <c r="D50" s="4" t="str">
        <f>=VLOOKUP(B50,[2]在校生综合信息查询!$A$264:$C$329,2,0)</f>
        <v>24q710103109</v>
      </c>
      <c r="E50" s="12">
        <v>9</v>
      </c>
      <c r="F50" s="12">
        <v>12</v>
      </c>
      <c r="G50" s="12">
        <v>25</v>
      </c>
      <c r="H50" s="6">
        <v>15</v>
      </c>
      <c r="I50" s="6">
        <v>18</v>
      </c>
      <c r="J50" s="6">
        <v>12</v>
      </c>
      <c r="K50">
        <v>46</v>
      </c>
      <c r="L50">
        <v>44</v>
      </c>
    </row>
    <row r="51" spans="1:12" ht="18.75">
      <c r="A51" s="4">
        <v>50</v>
      </c>
      <c r="B51" s="15" t="s">
        <v>2444</v>
      </c>
      <c r="C51" s="4">
        <v>2604</v>
      </c>
      <c r="D51" s="4" t="str">
        <f>=VLOOKUP(B51,[2]在校生综合信息查询!$A$264:$C$329,2,0)</f>
        <v>24q710103334</v>
      </c>
      <c r="E51" s="12">
        <v>13</v>
      </c>
      <c r="F51" s="12">
        <v>16</v>
      </c>
      <c r="G51" s="12">
        <v>13</v>
      </c>
      <c r="H51" s="6">
        <v>18</v>
      </c>
      <c r="I51" s="6">
        <v>22</v>
      </c>
      <c r="J51" s="6">
        <v>21</v>
      </c>
      <c r="K51">
        <v>42</v>
      </c>
      <c r="L51">
        <v>48</v>
      </c>
    </row>
    <row r="52" spans="1:12" ht="18.75">
      <c r="A52" s="4">
        <v>51</v>
      </c>
      <c r="B52" s="15" t="s">
        <v>2446</v>
      </c>
      <c r="C52" s="4">
        <v>2594</v>
      </c>
      <c r="D52" s="4" t="str">
        <f>=VLOOKUP(B52,[2]在校生综合信息查询!$A$264:$C$329,2,0)</f>
        <v>24q710103110</v>
      </c>
      <c r="E52" s="12">
        <v>0</v>
      </c>
      <c r="F52" s="12">
        <v>0</v>
      </c>
      <c r="G52" s="12">
        <v>0</v>
      </c>
      <c r="H52" s="6">
        <v>0</v>
      </c>
      <c r="I52" s="6">
        <v>0</v>
      </c>
      <c r="J52" s="6">
        <v>0</v>
      </c>
      <c r="K52">
        <v>0</v>
      </c>
      <c r="L52">
        <v>61</v>
      </c>
    </row>
    <row r="53" spans="1:12" ht="18.75">
      <c r="A53" s="4">
        <v>52</v>
      </c>
      <c r="B53" s="15" t="s">
        <v>2448</v>
      </c>
      <c r="C53" s="4">
        <v>2595</v>
      </c>
      <c r="D53" s="4" t="str">
        <f>=VLOOKUP(B53,[2]在校生综合信息查询!$A$264:$C$329,2,0)</f>
        <v>24q710103112</v>
      </c>
      <c r="E53" s="12">
        <v>44</v>
      </c>
      <c r="F53" s="12">
        <v>24</v>
      </c>
      <c r="G53" s="12">
        <v>16</v>
      </c>
      <c r="H53" s="6">
        <v>26</v>
      </c>
      <c r="I53" s="6">
        <v>11</v>
      </c>
      <c r="J53" s="6">
        <v>25</v>
      </c>
      <c r="K53">
        <v>84</v>
      </c>
      <c r="L53">
        <v>14</v>
      </c>
    </row>
    <row r="54" spans="1:12" ht="18.75">
      <c r="A54" s="4">
        <v>53</v>
      </c>
      <c r="B54" s="15" t="s">
        <v>2450</v>
      </c>
      <c r="C54" s="4">
        <v>2596</v>
      </c>
      <c r="D54" s="4" t="str">
        <f>=VLOOKUP(B54,[2]在校生综合信息查询!$A$264:$C$329,2,0)</f>
        <v>24q710103113</v>
      </c>
      <c r="E54" s="12">
        <v>9</v>
      </c>
      <c r="F54" s="12">
        <v>24</v>
      </c>
      <c r="G54" s="12">
        <v>33</v>
      </c>
      <c r="H54" s="6">
        <v>51</v>
      </c>
      <c r="I54" s="6">
        <v>68</v>
      </c>
      <c r="J54" s="6">
        <v>41</v>
      </c>
      <c r="K54">
        <v>66</v>
      </c>
      <c r="L54">
        <v>28</v>
      </c>
    </row>
    <row r="55" spans="1:12" ht="18.75">
      <c r="A55" s="4">
        <v>54</v>
      </c>
      <c r="B55" s="15" t="s">
        <v>2452</v>
      </c>
      <c r="C55" s="4">
        <v>2597</v>
      </c>
      <c r="D55" s="4" t="str">
        <f>=VLOOKUP(B55,[2]在校生综合信息查询!$A$264:$C$329,2,0)</f>
        <v>24q710103114</v>
      </c>
      <c r="E55" s="12">
        <v>40</v>
      </c>
      <c r="F55" s="12">
        <v>16</v>
      </c>
      <c r="G55" s="12">
        <v>19</v>
      </c>
      <c r="H55" s="6">
        <v>27</v>
      </c>
      <c r="I55" s="6">
        <v>34</v>
      </c>
      <c r="J55" s="6">
        <v>36</v>
      </c>
      <c r="K55">
        <v>75</v>
      </c>
      <c r="L55">
        <v>20</v>
      </c>
    </row>
    <row r="56" spans="1:12" ht="18.75">
      <c r="A56" s="4">
        <v>55</v>
      </c>
      <c r="B56" s="15" t="s">
        <v>2454</v>
      </c>
      <c r="C56" s="4">
        <v>2598</v>
      </c>
      <c r="D56" s="4" t="str">
        <f>=VLOOKUP(B56,[2]在校生综合信息查询!$A$264:$C$329,2,0)</f>
        <v>24q710103115</v>
      </c>
      <c r="E56" s="12">
        <v>0</v>
      </c>
      <c r="F56" s="12">
        <v>16</v>
      </c>
      <c r="G56" s="12">
        <v>24.5</v>
      </c>
      <c r="H56" s="6">
        <v>4</v>
      </c>
      <c r="I56" s="6">
        <v>0</v>
      </c>
      <c r="J56" s="6">
        <v>0</v>
      </c>
      <c r="K56">
        <v>40.5</v>
      </c>
      <c r="L56">
        <v>50</v>
      </c>
    </row>
    <row r="57" spans="1:12" ht="18.75">
      <c r="A57" s="4">
        <v>56</v>
      </c>
      <c r="B57" s="15" t="s">
        <v>2456</v>
      </c>
      <c r="C57" s="4">
        <v>2630</v>
      </c>
      <c r="D57" s="4" t="str">
        <f>=VLOOKUP(B57,[2]在校生综合信息查询!$A$264:$C$329,2,0)</f>
        <v>24q710103190</v>
      </c>
      <c r="E57" s="12">
        <v>11</v>
      </c>
      <c r="F57" s="12">
        <v>12</v>
      </c>
      <c r="G57" s="12">
        <v>22</v>
      </c>
      <c r="H57" s="6">
        <v>4</v>
      </c>
      <c r="I57" s="6">
        <v>34</v>
      </c>
      <c r="J57" s="6">
        <v>14</v>
      </c>
      <c r="K57">
        <v>45</v>
      </c>
      <c r="L57">
        <v>45</v>
      </c>
    </row>
    <row r="58" spans="1:12" ht="18.75">
      <c r="A58" s="4">
        <v>57</v>
      </c>
      <c r="B58" s="15" t="s">
        <v>2458</v>
      </c>
      <c r="C58" s="4">
        <v>2599</v>
      </c>
      <c r="D58" s="4" t="str">
        <f>=VLOOKUP(B58,[2]在校生综合信息查询!$A$264:$C$329,2,0)</f>
        <v>24q710103116</v>
      </c>
      <c r="E58" s="12">
        <v>6</v>
      </c>
      <c r="F58" s="12">
        <v>16</v>
      </c>
      <c r="G58" s="12">
        <v>16.5</v>
      </c>
      <c r="H58" s="6">
        <v>14</v>
      </c>
      <c r="I58" s="6">
        <v>10</v>
      </c>
      <c r="J58" s="6">
        <v>20</v>
      </c>
      <c r="K58">
        <v>38.5</v>
      </c>
      <c r="L58">
        <v>52</v>
      </c>
    </row>
    <row r="59" spans="1:12" ht="18.75">
      <c r="A59" s="4">
        <v>58</v>
      </c>
      <c r="B59" s="15" t="s">
        <v>2460</v>
      </c>
      <c r="C59" s="4">
        <v>2600</v>
      </c>
      <c r="D59" s="4" t="str">
        <f>=VLOOKUP(B59,[2]在校生综合信息查询!$A$264:$C$329,2,0)</f>
        <v>24q710103118</v>
      </c>
      <c r="E59" s="12">
        <v>6</v>
      </c>
      <c r="F59" s="12">
        <v>20</v>
      </c>
      <c r="G59" s="12">
        <v>22</v>
      </c>
      <c r="H59" s="6">
        <v>15</v>
      </c>
      <c r="I59" s="6">
        <v>14</v>
      </c>
      <c r="J59" s="6">
        <v>8</v>
      </c>
      <c r="K59">
        <v>48</v>
      </c>
      <c r="L59">
        <v>40</v>
      </c>
    </row>
    <row r="60" spans="2:12">
      <c r="B60" s="8" t="s">
        <v>2462</v>
      </c>
      <c r="E60" s="14">
        <v>27</v>
      </c>
      <c r="F60" s="14">
        <v>32</v>
      </c>
      <c r="G60" s="14">
        <v>16</v>
      </c>
      <c r="H60">
        <v>19</v>
      </c>
      <c r="I60">
        <v>26</v>
      </c>
      <c r="J60">
        <v>17</v>
      </c>
      <c r="K60">
        <v>75</v>
      </c>
      <c r="L60">
        <v>20</v>
      </c>
    </row>
    <row r="61" spans="2:12">
      <c r="B61" s="8" t="s">
        <v>2463</v>
      </c>
      <c r="E61" s="14">
        <v>21</v>
      </c>
      <c r="F61" s="14">
        <v>12</v>
      </c>
      <c r="G61" s="14">
        <v>17.5</v>
      </c>
      <c r="H61">
        <v>22</v>
      </c>
      <c r="I61">
        <v>14</v>
      </c>
      <c r="J61">
        <v>18</v>
      </c>
      <c r="K61">
        <v>50.5</v>
      </c>
      <c r="L61">
        <v>37</v>
      </c>
    </row>
    <row r="62" spans="2:12">
      <c r="B62" s="8" t="s">
        <v>2464</v>
      </c>
      <c r="E62" s="14">
        <v>22</v>
      </c>
      <c r="F62" s="14">
        <v>16</v>
      </c>
      <c r="G62" s="14">
        <v>43.5</v>
      </c>
      <c r="H62">
        <v>26</v>
      </c>
      <c r="I62">
        <v>39</v>
      </c>
      <c r="J62">
        <v>23</v>
      </c>
      <c r="K62">
        <v>81.5</v>
      </c>
      <c r="L62">
        <v>16</v>
      </c>
    </row>
    <row r="63" spans="2:12">
      <c r="B63" s="8" t="s">
        <v>2465</v>
      </c>
      <c r="E63" s="14">
        <v>26</v>
      </c>
      <c r="F63" s="14">
        <v>28</v>
      </c>
      <c r="G63" s="14">
        <v>15</v>
      </c>
      <c r="H63">
        <v>22</v>
      </c>
      <c r="I63">
        <v>32</v>
      </c>
      <c r="J63">
        <v>24</v>
      </c>
      <c r="K63">
        <v>69</v>
      </c>
      <c r="L63">
        <v>25</v>
      </c>
    </row>
    <row r="64" spans="2:12">
      <c r="B64" s="8" t="s">
        <v>2466</v>
      </c>
      <c r="E64" s="14">
        <v>12</v>
      </c>
      <c r="F64" s="14">
        <v>16</v>
      </c>
      <c r="G64" s="14">
        <v>14</v>
      </c>
      <c r="H64">
        <v>10</v>
      </c>
      <c r="I64">
        <v>18</v>
      </c>
      <c r="J64">
        <v>17</v>
      </c>
      <c r="K64">
        <v>42</v>
      </c>
      <c r="L64">
        <v>48</v>
      </c>
    </row>
    <row r="65" spans="2:12">
      <c r="B65" s="8" t="s">
        <v>2467</v>
      </c>
      <c r="E65" s="14">
        <v>35</v>
      </c>
      <c r="F65" s="14">
        <v>20</v>
      </c>
      <c r="G65" s="14">
        <v>20</v>
      </c>
      <c r="H65">
        <v>8</v>
      </c>
      <c r="I65">
        <v>14</v>
      </c>
      <c r="J65">
        <v>15</v>
      </c>
      <c r="K65">
        <v>75</v>
      </c>
      <c r="L65">
        <v>20</v>
      </c>
    </row>
    <row r="66" spans="2:12">
      <c r="B66" s="8" t="s">
        <v>2468</v>
      </c>
      <c r="E66" s="14">
        <v>41</v>
      </c>
      <c r="F66" s="14">
        <v>26</v>
      </c>
      <c r="G66" s="14">
        <v>36</v>
      </c>
      <c r="H66">
        <v>37</v>
      </c>
      <c r="I66">
        <v>58</v>
      </c>
      <c r="J66">
        <v>25</v>
      </c>
      <c r="K66">
        <v>103</v>
      </c>
      <c r="L66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/>
  <dimension ref="L39"/>
  <sheetViews>
    <sheetView showGridLines="1" workbookViewId="0">
      <pane ySplit="1" topLeftCell="A2" state="frozen"/>
    </sheetView>
  </sheetViews>
  <sheetFormatPr defaultColWidth="8.75" defaultRowHeight="14.25"/>
  <cols>
    <col min="1" max="1" width="8.75" style="122"/>
    <col min="2" max="2" width="9.07031" style="123" customWidth="1"/>
    <col min="3" max="3" width="0" style="123" hidden="1" customWidth="1"/>
    <col min="4" max="4" width="17.375" style="123" customWidth="1"/>
    <col min="5" max="7" width="8.75" style="123"/>
    <col min="8" max="8" width="28.25" customWidth="1"/>
    <col min="9" max="9" width="29" customWidth="1"/>
    <col min="10" max="10" width="22.6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143</v>
      </c>
      <c r="I1" s="4" t="s">
        <v>144</v>
      </c>
      <c r="J1" s="4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2469</v>
      </c>
      <c r="C2" s="4">
        <v>2531</v>
      </c>
      <c r="D2" s="4" t="str">
        <f>=VLOOKUP(B2,[2]在校生综合信息查询!$A$330:$C$367,2,0)</f>
        <v>24q710103119</v>
      </c>
      <c r="E2" s="7">
        <v>56</v>
      </c>
      <c r="F2" s="7">
        <v>59</v>
      </c>
      <c r="G2" s="7">
        <v>27.5</v>
      </c>
      <c r="H2" s="12">
        <v>75</v>
      </c>
      <c r="I2" s="12">
        <v>29</v>
      </c>
      <c r="J2" s="12">
        <v>32</v>
      </c>
      <c r="K2" s="5">
        <f>=SUM(E2:J2)</f>
        <v>278.5</v>
      </c>
      <c r="L2" s="5" t="s"/>
    </row>
    <row r="3" spans="1:12" ht="18.75">
      <c r="A3" s="4">
        <v>2</v>
      </c>
      <c r="B3" s="4" t="s">
        <v>2471</v>
      </c>
      <c r="C3" s="4">
        <v>2532</v>
      </c>
      <c r="D3" s="4" t="str">
        <f>=VLOOKUP(B3,[2]在校生综合信息查询!$A$330:$C$367,2,0)</f>
        <v>24q710103122</v>
      </c>
      <c r="E3" s="7">
        <v>75</v>
      </c>
      <c r="F3" s="7">
        <v>26</v>
      </c>
      <c r="G3" s="7">
        <v>19</v>
      </c>
      <c r="H3" s="12">
        <v>37</v>
      </c>
      <c r="I3" s="12">
        <v>19</v>
      </c>
      <c r="J3" s="12">
        <v>20</v>
      </c>
      <c r="K3" s="5">
        <f>=SUM(E3:J3)</f>
        <v>196</v>
      </c>
      <c r="L3" s="5" t="s"/>
    </row>
    <row r="4" spans="1:12" ht="18.75">
      <c r="A4" s="4">
        <v>3</v>
      </c>
      <c r="B4" s="4" t="s">
        <v>2473</v>
      </c>
      <c r="C4" s="4">
        <v>2533</v>
      </c>
      <c r="D4" s="4" t="str">
        <f>=VLOOKUP(B4,[2]在校生综合信息查询!$A$330:$C$367,2,0)</f>
        <v>24q710103123</v>
      </c>
      <c r="E4" s="7">
        <v>68</v>
      </c>
      <c r="F4" s="7">
        <v>54</v>
      </c>
      <c r="G4" s="7">
        <v>33</v>
      </c>
      <c r="H4" s="12">
        <v>50</v>
      </c>
      <c r="I4" s="12">
        <v>62</v>
      </c>
      <c r="J4" s="12">
        <v>52</v>
      </c>
      <c r="K4" s="5">
        <f>=SUM(E4:J4)</f>
        <v>319</v>
      </c>
      <c r="L4" s="5" t="s"/>
    </row>
    <row r="5" spans="1:12" ht="18.75">
      <c r="A5" s="4">
        <v>4</v>
      </c>
      <c r="B5" s="4" t="s">
        <v>2475</v>
      </c>
      <c r="C5" s="4">
        <v>2534</v>
      </c>
      <c r="D5" s="4" t="str">
        <f>=VLOOKUP(B5,[2]在校生综合信息查询!$A$330:$C$367,2,0)</f>
        <v>24q710103126</v>
      </c>
      <c r="E5" s="7">
        <v>73</v>
      </c>
      <c r="F5" s="7">
        <v>57</v>
      </c>
      <c r="G5" s="7">
        <v>42.5</v>
      </c>
      <c r="H5" s="12">
        <v>62</v>
      </c>
      <c r="I5" s="12">
        <v>64</v>
      </c>
      <c r="J5" s="12">
        <v>31</v>
      </c>
      <c r="K5" s="5">
        <f>=SUM(E5:J5)</f>
        <v>329.5</v>
      </c>
      <c r="L5" s="5" t="s"/>
    </row>
    <row r="6" spans="1:12" ht="18.75">
      <c r="A6" s="4">
        <v>5</v>
      </c>
      <c r="B6" s="4" t="s">
        <v>2477</v>
      </c>
      <c r="C6" s="4">
        <v>2535</v>
      </c>
      <c r="D6" s="4" t="str">
        <f>=VLOOKUP(B6,[2]在校生综合信息查询!$A$330:$C$367,2,0)</f>
        <v>24q710103128</v>
      </c>
      <c r="E6" s="7">
        <v>55</v>
      </c>
      <c r="F6" s="7">
        <v>70</v>
      </c>
      <c r="G6" s="7">
        <v>72.5</v>
      </c>
      <c r="H6" s="12">
        <v>68</v>
      </c>
      <c r="I6" s="12">
        <v>62</v>
      </c>
      <c r="J6" s="12">
        <v>43</v>
      </c>
      <c r="K6" s="5">
        <f>=SUM(E6:J6)</f>
        <v>370.5</v>
      </c>
      <c r="L6" s="5" t="s"/>
    </row>
    <row r="7" spans="1:12" ht="18.75">
      <c r="A7" s="4">
        <v>6</v>
      </c>
      <c r="B7" s="4" t="s">
        <v>2479</v>
      </c>
      <c r="C7" s="4">
        <v>2536</v>
      </c>
      <c r="D7" s="4" t="str">
        <f>=VLOOKUP(B7,[2]在校生综合信息查询!$A$330:$C$367,2,0)</f>
        <v>24q710103133</v>
      </c>
      <c r="E7" s="7">
        <v>48</v>
      </c>
      <c r="F7" s="7">
        <v>61</v>
      </c>
      <c r="G7" s="7">
        <v>31</v>
      </c>
      <c r="H7" s="12">
        <v>62</v>
      </c>
      <c r="I7" s="12">
        <v>30</v>
      </c>
      <c r="J7" s="12">
        <v>28</v>
      </c>
      <c r="K7" s="5">
        <f>=SUM(E7:J7)</f>
        <v>260</v>
      </c>
      <c r="L7" s="5" t="s"/>
    </row>
    <row r="8" spans="1:12" ht="18.75">
      <c r="A8" s="4">
        <v>7</v>
      </c>
      <c r="B8" s="4" t="s">
        <v>2481</v>
      </c>
      <c r="C8" s="4">
        <v>2537</v>
      </c>
      <c r="D8" s="4" t="str">
        <f>=VLOOKUP(B8,[2]在校生综合信息查询!$A$330:$C$367,2,0)</f>
        <v>24q710103134</v>
      </c>
      <c r="E8" s="7">
        <v>58</v>
      </c>
      <c r="F8" s="7">
        <v>22</v>
      </c>
      <c r="G8" s="7">
        <v>47.5</v>
      </c>
      <c r="H8" s="12">
        <v>54</v>
      </c>
      <c r="I8" s="12">
        <v>49</v>
      </c>
      <c r="J8" s="12">
        <v>20</v>
      </c>
      <c r="K8" s="5">
        <f>=SUM(E8:J8)</f>
        <v>250.5</v>
      </c>
      <c r="L8" s="5" t="s"/>
    </row>
    <row r="9" spans="1:12" ht="18.75">
      <c r="A9" s="4">
        <v>8</v>
      </c>
      <c r="B9" s="4" t="s">
        <v>2483</v>
      </c>
      <c r="C9" s="4">
        <v>2538</v>
      </c>
      <c r="D9" s="4" t="str">
        <f>=VLOOKUP(B9,[2]在校生综合信息查询!$A$330:$C$367,2,0)</f>
        <v>24q710103139</v>
      </c>
      <c r="E9" s="7">
        <v>70</v>
      </c>
      <c r="F9" s="7">
        <v>23</v>
      </c>
      <c r="G9" s="7">
        <v>67</v>
      </c>
      <c r="H9" s="12">
        <v>58</v>
      </c>
      <c r="I9" s="12">
        <v>26</v>
      </c>
      <c r="J9" s="12">
        <v>24</v>
      </c>
      <c r="K9" s="5">
        <f>=SUM(E9:J9)</f>
        <v>268</v>
      </c>
      <c r="L9" s="5" t="s"/>
    </row>
    <row r="10" spans="1:12" ht="18.75">
      <c r="A10" s="4">
        <v>9</v>
      </c>
      <c r="B10" s="4" t="s">
        <v>2485</v>
      </c>
      <c r="C10" s="4">
        <v>2539</v>
      </c>
      <c r="D10" s="4" t="str">
        <f>=VLOOKUP(B10,[2]在校生综合信息查询!$A$330:$C$367,2,0)</f>
        <v>24q710103140</v>
      </c>
      <c r="E10" s="7">
        <v>63</v>
      </c>
      <c r="F10" s="7">
        <v>99</v>
      </c>
      <c r="G10" s="7">
        <v>66</v>
      </c>
      <c r="H10" s="12">
        <v>49</v>
      </c>
      <c r="I10" s="12">
        <v>127</v>
      </c>
      <c r="J10" s="12">
        <v>83</v>
      </c>
      <c r="K10" s="5">
        <f>=SUM(E10:J10)</f>
        <v>487</v>
      </c>
      <c r="L10" s="5" t="s"/>
    </row>
    <row r="11" spans="1:12" ht="18.75">
      <c r="A11" s="4">
        <v>10</v>
      </c>
      <c r="B11" s="4" t="s">
        <v>2487</v>
      </c>
      <c r="C11" s="4">
        <v>2540</v>
      </c>
      <c r="D11" s="4" t="str">
        <f>=VLOOKUP(B11,[2]在校生综合信息查询!$A$330:$C$367,2,0)</f>
        <v>24q710103144</v>
      </c>
      <c r="E11" s="7">
        <v>35</v>
      </c>
      <c r="F11" s="7">
        <v>95</v>
      </c>
      <c r="G11" s="85">
        <v>38</v>
      </c>
      <c r="H11" s="12">
        <v>71</v>
      </c>
      <c r="I11" s="12">
        <v>58</v>
      </c>
      <c r="J11" s="12">
        <v>54</v>
      </c>
      <c r="K11" s="5">
        <f>=SUM(E11:J11)</f>
        <v>351</v>
      </c>
      <c r="L11" s="5" t="s"/>
    </row>
    <row r="12" spans="1:12" ht="18.75">
      <c r="A12" s="4">
        <v>11</v>
      </c>
      <c r="B12" s="4" t="s">
        <v>2489</v>
      </c>
      <c r="C12" s="4">
        <v>2541</v>
      </c>
      <c r="D12" s="4" t="str">
        <f>=VLOOKUP(B12,[2]在校生综合信息查询!$A$330:$C$367,2,0)</f>
        <v>24q710103145</v>
      </c>
      <c r="E12" s="7">
        <v>60</v>
      </c>
      <c r="F12" s="7">
        <v>101</v>
      </c>
      <c r="G12" s="85">
        <v>59</v>
      </c>
      <c r="H12" s="12">
        <v>75</v>
      </c>
      <c r="I12" s="12">
        <v>101</v>
      </c>
      <c r="J12" s="12">
        <v>47</v>
      </c>
      <c r="K12" s="5">
        <f>=SUM(E12:J12)</f>
        <v>443</v>
      </c>
      <c r="L12" s="5" t="s"/>
    </row>
    <row r="13" spans="1:12" ht="18.75">
      <c r="A13" s="4">
        <v>12</v>
      </c>
      <c r="B13" s="4" t="s">
        <v>2491</v>
      </c>
      <c r="C13" s="4">
        <v>2542</v>
      </c>
      <c r="D13" s="4" t="str">
        <f>=VLOOKUP(B13,[2]在校生综合信息查询!$A$330:$C$367,2,0)</f>
        <v>24q710103147</v>
      </c>
      <c r="E13" s="7">
        <v>61</v>
      </c>
      <c r="F13" s="7">
        <v>30</v>
      </c>
      <c r="G13" s="85">
        <v>85</v>
      </c>
      <c r="H13" s="12">
        <v>54</v>
      </c>
      <c r="I13" s="12">
        <v>37</v>
      </c>
      <c r="J13" s="12">
        <v>19</v>
      </c>
      <c r="K13" s="5">
        <f>=SUM(E13:J13)</f>
        <v>286</v>
      </c>
      <c r="L13" s="5" t="s"/>
    </row>
    <row r="14" spans="1:12" ht="18.75">
      <c r="A14" s="4">
        <v>13</v>
      </c>
      <c r="B14" s="4" t="s">
        <v>2493</v>
      </c>
      <c r="C14" s="4">
        <v>2543</v>
      </c>
      <c r="D14" s="4" t="str">
        <f>=VLOOKUP(B14,[2]在校生综合信息查询!$A$330:$C$367,2,0)</f>
        <v>24q710103149</v>
      </c>
      <c r="E14" s="7">
        <v>57</v>
      </c>
      <c r="F14" s="7">
        <v>96</v>
      </c>
      <c r="G14" s="85">
        <v>47</v>
      </c>
      <c r="H14" s="12">
        <v>66</v>
      </c>
      <c r="I14" s="12">
        <v>67</v>
      </c>
      <c r="J14" s="12">
        <v>47</v>
      </c>
      <c r="K14" s="5">
        <f>=SUM(E14:J14)</f>
        <v>380</v>
      </c>
      <c r="L14" s="5" t="s"/>
    </row>
    <row r="15" spans="1:12" ht="18.75">
      <c r="A15" s="4">
        <v>14</v>
      </c>
      <c r="B15" s="4" t="s">
        <v>2495</v>
      </c>
      <c r="C15" s="4">
        <v>2544</v>
      </c>
      <c r="D15" s="4" t="str">
        <f>=VLOOKUP(B15,[2]在校生综合信息查询!$A$330:$C$367,2,0)</f>
        <v>24q710103152</v>
      </c>
      <c r="E15" s="7">
        <v>65</v>
      </c>
      <c r="F15" s="7">
        <v>20</v>
      </c>
      <c r="G15" s="85">
        <v>52.5</v>
      </c>
      <c r="H15" s="12">
        <v>56</v>
      </c>
      <c r="I15" s="12">
        <v>18</v>
      </c>
      <c r="J15" s="12">
        <v>20</v>
      </c>
      <c r="K15" s="5">
        <f>=SUM(E15:J15)</f>
        <v>231.5</v>
      </c>
      <c r="L15" s="5" t="s"/>
    </row>
    <row r="16" spans="1:12" ht="18.75">
      <c r="A16" s="4">
        <v>15</v>
      </c>
      <c r="B16" s="4" t="s">
        <v>2497</v>
      </c>
      <c r="C16" s="4">
        <v>2545</v>
      </c>
      <c r="D16" s="4" t="str">
        <f>=VLOOKUP(B16,[2]在校生综合信息查询!$A$330:$C$367,2,0)</f>
        <v>24q710103153</v>
      </c>
      <c r="E16" s="7">
        <v>59</v>
      </c>
      <c r="F16" s="7">
        <v>9</v>
      </c>
      <c r="G16" s="85">
        <v>44</v>
      </c>
      <c r="H16" s="12">
        <v>67</v>
      </c>
      <c r="I16" s="12">
        <v>15</v>
      </c>
      <c r="J16" s="12">
        <v>22</v>
      </c>
      <c r="K16" s="5">
        <f>=SUM(E16:J16)</f>
        <v>216</v>
      </c>
      <c r="L16" s="5" t="s"/>
    </row>
    <row r="17" spans="1:12" ht="18.75">
      <c r="A17" s="4">
        <v>16</v>
      </c>
      <c r="B17" s="4" t="s">
        <v>2499</v>
      </c>
      <c r="C17" s="4">
        <v>2546</v>
      </c>
      <c r="D17" s="4" t="str">
        <f>=VLOOKUP(B17,[2]在校生综合信息查询!$A$330:$C$367,2,0)</f>
        <v>24q710103155</v>
      </c>
      <c r="E17" s="7">
        <v>55</v>
      </c>
      <c r="F17" s="7">
        <v>50</v>
      </c>
      <c r="G17" s="85">
        <v>44.5</v>
      </c>
      <c r="H17" s="12">
        <v>73</v>
      </c>
      <c r="I17" s="12">
        <v>41</v>
      </c>
      <c r="J17" s="12">
        <v>33</v>
      </c>
      <c r="K17" s="5">
        <f>=SUM(E17:J17)</f>
        <v>296.5</v>
      </c>
      <c r="L17" s="5" t="s"/>
    </row>
    <row r="18" spans="1:12" ht="18.75">
      <c r="A18" s="4">
        <v>17</v>
      </c>
      <c r="B18" s="4" t="s">
        <v>2501</v>
      </c>
      <c r="C18" s="4">
        <v>2547</v>
      </c>
      <c r="D18" s="4" t="str">
        <f>=VLOOKUP(B18,[2]在校生综合信息查询!$A$330:$C$367,2,0)</f>
        <v>24q710103157</v>
      </c>
      <c r="E18" s="7">
        <v>65</v>
      </c>
      <c r="F18" s="7">
        <v>60</v>
      </c>
      <c r="G18" s="7">
        <v>43.5</v>
      </c>
      <c r="H18" s="12">
        <v>59</v>
      </c>
      <c r="I18" s="12">
        <v>46</v>
      </c>
      <c r="J18" s="12">
        <v>39</v>
      </c>
      <c r="K18" s="5">
        <f>=SUM(E18:J18)</f>
        <v>312.5</v>
      </c>
      <c r="L18" s="5" t="s"/>
    </row>
    <row r="19" spans="1:12" ht="18.75">
      <c r="A19" s="4">
        <v>18</v>
      </c>
      <c r="B19" s="4" t="s">
        <v>2503</v>
      </c>
      <c r="C19" s="4">
        <v>2548</v>
      </c>
      <c r="D19" s="4" t="str">
        <f>=VLOOKUP(B19,[2]在校生综合信息查询!$A$330:$C$367,2,0)</f>
        <v>24q710103159</v>
      </c>
      <c r="E19" s="7">
        <v>59</v>
      </c>
      <c r="F19" s="7">
        <v>40</v>
      </c>
      <c r="G19" s="7">
        <v>45</v>
      </c>
      <c r="H19" s="12">
        <v>36</v>
      </c>
      <c r="I19" s="12">
        <v>37</v>
      </c>
      <c r="J19" s="12">
        <v>20</v>
      </c>
      <c r="K19" s="5">
        <f>=SUM(E19:J19)</f>
        <v>237</v>
      </c>
      <c r="L19" s="5" t="s"/>
    </row>
    <row r="20" spans="1:12" ht="18.75">
      <c r="A20" s="4">
        <v>19</v>
      </c>
      <c r="B20" s="4" t="s">
        <v>2505</v>
      </c>
      <c r="C20" s="4">
        <v>2549</v>
      </c>
      <c r="D20" s="4" t="str">
        <f>=VLOOKUP(B20,[2]在校生综合信息查询!$A$330:$C$367,2,0)</f>
        <v>24q710103160</v>
      </c>
      <c r="E20" s="7">
        <v>55</v>
      </c>
      <c r="F20" s="7">
        <v>66</v>
      </c>
      <c r="G20" s="7">
        <v>50</v>
      </c>
      <c r="H20" s="12">
        <v>76</v>
      </c>
      <c r="I20" s="12">
        <v>66</v>
      </c>
      <c r="J20" s="12">
        <v>36</v>
      </c>
      <c r="K20" s="5">
        <f>=SUM(E20:J20)</f>
        <v>349</v>
      </c>
      <c r="L20" s="5" t="s"/>
    </row>
    <row r="21" spans="1:12" ht="18.75">
      <c r="A21" s="4">
        <v>20</v>
      </c>
      <c r="B21" s="4" t="s">
        <v>2507</v>
      </c>
      <c r="C21" s="4">
        <v>2550</v>
      </c>
      <c r="D21" s="4" t="str">
        <f>=VLOOKUP(B21,[2]在校生综合信息查询!$A$330:$C$367,2,0)</f>
        <v>24q710103161</v>
      </c>
      <c r="E21" s="7">
        <v>28</v>
      </c>
      <c r="F21" s="7">
        <v>103</v>
      </c>
      <c r="G21" s="7">
        <v>33</v>
      </c>
      <c r="H21" s="12">
        <v>61</v>
      </c>
      <c r="I21" s="12">
        <v>56</v>
      </c>
      <c r="J21" s="12">
        <v>24</v>
      </c>
      <c r="K21" s="5">
        <f>=SUM(E21:J21)</f>
        <v>305</v>
      </c>
      <c r="L21" s="5" t="s"/>
    </row>
    <row r="22" spans="1:12" ht="18.75">
      <c r="A22" s="4">
        <v>21</v>
      </c>
      <c r="B22" s="4" t="s">
        <v>2509</v>
      </c>
      <c r="C22" s="4">
        <v>2551</v>
      </c>
      <c r="D22" s="4" t="str">
        <f>=VLOOKUP(B22,[2]在校生综合信息查询!$A$330:$C$367,2,0)</f>
        <v>24q710103162</v>
      </c>
      <c r="E22" s="7">
        <v>74</v>
      </c>
      <c r="F22" s="7">
        <v>70</v>
      </c>
      <c r="G22" s="7">
        <v>59.5</v>
      </c>
      <c r="H22" s="12">
        <v>75</v>
      </c>
      <c r="I22" s="12">
        <v>68</v>
      </c>
      <c r="J22" s="12">
        <v>36</v>
      </c>
      <c r="K22" s="5">
        <f>=SUM(E22:J22)</f>
        <v>382.5</v>
      </c>
      <c r="L22" s="5" t="s"/>
    </row>
    <row r="23" spans="1:12" ht="18.75">
      <c r="A23" s="4">
        <v>22</v>
      </c>
      <c r="B23" s="4" t="s">
        <v>2511</v>
      </c>
      <c r="C23" s="4">
        <v>2552</v>
      </c>
      <c r="D23" s="4" t="str">
        <f>=VLOOKUP(B23,[2]在校生综合信息查询!$A$330:$C$367,2,0)</f>
        <v>24q710103165</v>
      </c>
      <c r="E23" s="7">
        <v>47</v>
      </c>
      <c r="F23" s="7">
        <v>73</v>
      </c>
      <c r="G23" s="7">
        <v>50</v>
      </c>
      <c r="H23" s="12">
        <v>63</v>
      </c>
      <c r="I23" s="12">
        <v>30</v>
      </c>
      <c r="J23" s="12">
        <v>27</v>
      </c>
      <c r="K23" s="5">
        <f>=SUM(E23:J23)</f>
        <v>290</v>
      </c>
      <c r="L23" s="5" t="s"/>
    </row>
    <row r="24" spans="1:12" ht="18.75">
      <c r="A24" s="4">
        <v>23</v>
      </c>
      <c r="B24" s="4" t="s">
        <v>2513</v>
      </c>
      <c r="C24" s="4">
        <v>2553</v>
      </c>
      <c r="D24" s="4" t="str">
        <f>=VLOOKUP(B24,[2]在校生综合信息查询!$A$330:$C$367,2,0)</f>
        <v>24q710103166</v>
      </c>
      <c r="E24" s="7">
        <v>55</v>
      </c>
      <c r="F24" s="7">
        <v>49</v>
      </c>
      <c r="G24" s="7">
        <v>44</v>
      </c>
      <c r="H24" s="12">
        <v>27</v>
      </c>
      <c r="I24" s="12">
        <v>23</v>
      </c>
      <c r="J24" s="12">
        <v>30</v>
      </c>
      <c r="K24" s="5">
        <f>=SUM(E24:J24)</f>
        <v>228</v>
      </c>
      <c r="L24" s="5" t="s"/>
    </row>
    <row r="25" spans="1:12" ht="18.75">
      <c r="A25" s="4">
        <v>24</v>
      </c>
      <c r="B25" s="4" t="s">
        <v>2515</v>
      </c>
      <c r="C25" s="4">
        <v>2554</v>
      </c>
      <c r="D25" s="4" t="str">
        <f>=VLOOKUP(B25,[2]在校生综合信息查询!$A$330:$C$367,2,0)</f>
        <v>24q710103167</v>
      </c>
      <c r="E25" s="7">
        <v>46</v>
      </c>
      <c r="F25" s="7">
        <v>82</v>
      </c>
      <c r="G25" s="7">
        <v>35</v>
      </c>
      <c r="H25" s="12">
        <v>38</v>
      </c>
      <c r="I25" s="12">
        <v>25</v>
      </c>
      <c r="J25" s="12">
        <v>11</v>
      </c>
      <c r="K25" s="5">
        <f>=SUM(E25:J25)</f>
        <v>237</v>
      </c>
      <c r="L25" s="5" t="s"/>
    </row>
    <row r="26" spans="1:12" ht="18.75">
      <c r="A26" s="4">
        <v>25</v>
      </c>
      <c r="B26" s="4" t="s">
        <v>2517</v>
      </c>
      <c r="C26" s="4">
        <v>2555</v>
      </c>
      <c r="D26" s="4" t="str">
        <f>=VLOOKUP(B26,[2]在校生综合信息查询!$A$330:$C$367,2,0)</f>
        <v>24q710103170</v>
      </c>
      <c r="E26" s="7">
        <v>71</v>
      </c>
      <c r="F26" s="7">
        <v>96</v>
      </c>
      <c r="G26" s="7">
        <v>43</v>
      </c>
      <c r="H26" s="12">
        <v>48</v>
      </c>
      <c r="I26" s="12">
        <v>60</v>
      </c>
      <c r="J26" s="12">
        <v>36</v>
      </c>
      <c r="K26" s="5">
        <f>=SUM(E26:J26)</f>
        <v>354</v>
      </c>
      <c r="L26" s="5" t="s"/>
    </row>
    <row r="27" spans="1:12" ht="18.75">
      <c r="A27" s="4">
        <v>26</v>
      </c>
      <c r="B27" s="4" t="s">
        <v>2519</v>
      </c>
      <c r="C27" s="4">
        <v>2556</v>
      </c>
      <c r="D27" s="4" t="str">
        <f>=VLOOKUP(B27,[2]在校生综合信息查询!$A$330:$C$367,2,0)</f>
        <v>24q710103171</v>
      </c>
      <c r="E27" s="7">
        <v>68</v>
      </c>
      <c r="F27" s="7">
        <v>58</v>
      </c>
      <c r="G27" s="7">
        <v>72.5</v>
      </c>
      <c r="H27" s="12">
        <v>59</v>
      </c>
      <c r="I27" s="12">
        <v>19</v>
      </c>
      <c r="J27" s="12">
        <v>20</v>
      </c>
      <c r="K27" s="5">
        <f>=SUM(E27:J27)</f>
        <v>296.5</v>
      </c>
      <c r="L27" s="5" t="s"/>
    </row>
    <row r="28" spans="1:12" ht="18.75">
      <c r="A28" s="4">
        <v>27</v>
      </c>
      <c r="B28" s="4" t="s">
        <v>2521</v>
      </c>
      <c r="C28" s="4">
        <v>2557</v>
      </c>
      <c r="D28" s="4" t="str">
        <f>=VLOOKUP(B28,[2]在校生综合信息查询!$A$330:$C$367,2,0)</f>
        <v>24q710103173</v>
      </c>
      <c r="E28" s="7">
        <v>62</v>
      </c>
      <c r="F28" s="7">
        <v>95</v>
      </c>
      <c r="G28" s="7">
        <v>41</v>
      </c>
      <c r="H28" s="12">
        <v>75</v>
      </c>
      <c r="I28" s="12">
        <v>49</v>
      </c>
      <c r="J28" s="12">
        <v>26</v>
      </c>
      <c r="K28" s="5">
        <f>=SUM(E28:J28)</f>
        <v>348</v>
      </c>
      <c r="L28" s="5" t="s"/>
    </row>
    <row r="29" spans="1:12" ht="18.75">
      <c r="A29" s="4">
        <v>28</v>
      </c>
      <c r="B29" s="4" t="s">
        <v>2523</v>
      </c>
      <c r="C29" s="4">
        <v>2558</v>
      </c>
      <c r="D29" s="4" t="str">
        <f>=VLOOKUP(B29,[2]在校生综合信息查询!$A$330:$C$367,2,0)</f>
        <v>24q710103174</v>
      </c>
      <c r="E29" s="7">
        <v>56</v>
      </c>
      <c r="F29" s="7">
        <v>112</v>
      </c>
      <c r="G29" s="7">
        <v>68.2</v>
      </c>
      <c r="H29" s="12">
        <v>70</v>
      </c>
      <c r="I29" s="12">
        <v>57</v>
      </c>
      <c r="J29" s="12">
        <v>22</v>
      </c>
      <c r="K29" s="5">
        <f>=SUM(E29:J29)</f>
        <v>385.2</v>
      </c>
      <c r="L29" s="5" t="s"/>
    </row>
    <row r="30" spans="1:12" ht="18.75">
      <c r="A30" s="4">
        <v>29</v>
      </c>
      <c r="B30" s="4" t="s">
        <v>2525</v>
      </c>
      <c r="C30" s="4">
        <v>2567</v>
      </c>
      <c r="D30" s="4" t="str">
        <f>=VLOOKUP(B30,[2]在校生综合信息查询!$A$330:$C$367,2,0)</f>
        <v>24q7101033110</v>
      </c>
      <c r="E30" s="7">
        <v>54</v>
      </c>
      <c r="F30" s="7">
        <v>98</v>
      </c>
      <c r="G30" s="7">
        <v>69</v>
      </c>
      <c r="H30" s="12">
        <v>42</v>
      </c>
      <c r="I30" s="12">
        <v>52</v>
      </c>
      <c r="J30" s="12">
        <v>35</v>
      </c>
      <c r="K30" s="5">
        <f>=SUM(E30:J30)</f>
        <v>350</v>
      </c>
      <c r="L30" s="5" t="s"/>
    </row>
    <row r="31" spans="1:12" ht="18.75">
      <c r="A31" s="4">
        <v>30</v>
      </c>
      <c r="B31" s="4" t="s">
        <v>2527</v>
      </c>
      <c r="C31" s="4">
        <v>2559</v>
      </c>
      <c r="D31" s="4" t="str">
        <f>=VLOOKUP(B31,[2]在校生综合信息查询!$A$330:$C$367,2,0)</f>
        <v>24q710103178</v>
      </c>
      <c r="E31" s="7">
        <v>42</v>
      </c>
      <c r="F31" s="7" t="s">
        <v>2529</v>
      </c>
      <c r="G31" s="7">
        <v>36.5</v>
      </c>
      <c r="H31" s="12">
        <v>33</v>
      </c>
      <c r="I31" s="12">
        <v>50</v>
      </c>
      <c r="J31" s="12">
        <v>23</v>
      </c>
      <c r="K31" s="5">
        <f>=SUM(E31:J31)</f>
        <v>184.5</v>
      </c>
      <c r="L31" s="5" t="s"/>
    </row>
    <row r="32" spans="1:12" ht="18.75">
      <c r="A32" s="4">
        <v>31</v>
      </c>
      <c r="B32" s="4" t="s">
        <v>2530</v>
      </c>
      <c r="C32" s="4">
        <v>2560</v>
      </c>
      <c r="D32" s="4" t="str">
        <f>=VLOOKUP(B32,[2]在校生综合信息查询!$A$330:$C$367,2,0)</f>
        <v>24q710103181</v>
      </c>
      <c r="E32" s="7">
        <v>44</v>
      </c>
      <c r="F32" s="7">
        <v>66</v>
      </c>
      <c r="G32" s="7">
        <v>31</v>
      </c>
      <c r="H32" s="12">
        <v>59</v>
      </c>
      <c r="I32" s="12">
        <v>31</v>
      </c>
      <c r="J32" s="12">
        <v>17</v>
      </c>
      <c r="K32" s="5">
        <f>=SUM(E32:J32)</f>
        <v>248</v>
      </c>
      <c r="L32" s="5" t="s"/>
    </row>
    <row r="33" spans="1:12" ht="18.75">
      <c r="A33" s="4">
        <v>32</v>
      </c>
      <c r="B33" s="4" t="s">
        <v>2532</v>
      </c>
      <c r="C33" s="4">
        <v>2565</v>
      </c>
      <c r="D33" s="4" t="str">
        <f>=VLOOKUP(B33,[2]在校生综合信息查询!$A$330:$C$367,2,0)</f>
        <v>710103176</v>
      </c>
      <c r="E33" s="7">
        <v>43</v>
      </c>
      <c r="F33" s="7" t="s">
        <v>2529</v>
      </c>
      <c r="G33" s="7">
        <v>38</v>
      </c>
      <c r="H33" s="12">
        <v>71</v>
      </c>
      <c r="I33" s="12">
        <v>88</v>
      </c>
      <c r="J33" s="12">
        <v>51</v>
      </c>
      <c r="K33" s="5">
        <f>=SUM(E33:J33)</f>
        <v>291</v>
      </c>
      <c r="L33" s="5" t="s"/>
    </row>
    <row r="34" spans="1:12" ht="18.75">
      <c r="A34" s="4">
        <v>33</v>
      </c>
      <c r="B34" s="4" t="s">
        <v>2534</v>
      </c>
      <c r="C34" s="4">
        <v>2561</v>
      </c>
      <c r="D34" s="4" t="str">
        <f>=VLOOKUP(B34,[2]在校生综合信息查询!$A$330:$C$367,2,0)</f>
        <v>24q710103182</v>
      </c>
      <c r="E34" s="7">
        <v>44</v>
      </c>
      <c r="F34" s="7">
        <v>112</v>
      </c>
      <c r="G34" s="7">
        <v>55.5</v>
      </c>
      <c r="H34" s="12">
        <v>84</v>
      </c>
      <c r="I34" s="12">
        <v>116</v>
      </c>
      <c r="J34" s="12">
        <v>54</v>
      </c>
      <c r="K34" s="5">
        <f>=SUM(E34:J34)</f>
        <v>465.5</v>
      </c>
      <c r="L34" s="5" t="s"/>
    </row>
    <row r="35" spans="1:12" ht="18.75">
      <c r="A35" s="4">
        <v>34</v>
      </c>
      <c r="B35" s="4" t="s">
        <v>2536</v>
      </c>
      <c r="C35" s="4">
        <v>2566</v>
      </c>
      <c r="D35" s="4" t="str">
        <f>=VLOOKUP(B35,[2]在校生综合信息查询!$A$330:$C$367,2,0)</f>
        <v>710103207</v>
      </c>
      <c r="E35" s="7">
        <v>57</v>
      </c>
      <c r="F35" s="7">
        <v>76</v>
      </c>
      <c r="G35" s="7">
        <v>54</v>
      </c>
      <c r="H35" s="12">
        <v>53</v>
      </c>
      <c r="I35" s="12">
        <v>53</v>
      </c>
      <c r="J35" s="12">
        <v>32</v>
      </c>
      <c r="K35" s="5">
        <f>=SUM(E35:J35)</f>
        <v>325</v>
      </c>
      <c r="L35" s="5" t="s"/>
    </row>
    <row r="36" spans="1:12" ht="18.75">
      <c r="A36" s="4">
        <v>35</v>
      </c>
      <c r="B36" s="4" t="s">
        <v>2538</v>
      </c>
      <c r="C36" s="4" t="s"/>
      <c r="D36" s="4" t="str">
        <f>=VLOOKUP(B36,[2]在校生综合信息查询!$A$330:$C$367,2,0)</f>
        <v>24q710103186</v>
      </c>
      <c r="E36" s="7">
        <v>46</v>
      </c>
      <c r="F36" s="7">
        <v>40</v>
      </c>
      <c r="G36" s="7">
        <v>25</v>
      </c>
      <c r="H36" s="12">
        <v>62</v>
      </c>
      <c r="I36" s="12">
        <v>29</v>
      </c>
      <c r="J36" s="12">
        <v>25</v>
      </c>
      <c r="K36" s="5">
        <f>=SUM(E36:J36)</f>
        <v>227</v>
      </c>
      <c r="L36" s="4" t="s"/>
    </row>
    <row r="37" spans="1:12" ht="18.75">
      <c r="A37" s="4">
        <v>36</v>
      </c>
      <c r="B37" s="4" t="s">
        <v>2540</v>
      </c>
      <c r="C37" s="4" t="s"/>
      <c r="D37" s="4" t="str">
        <f>=VLOOKUP(B37,[2]在校生综合信息查询!$A$330:$C$367,2,0)</f>
        <v>24q710103187</v>
      </c>
      <c r="E37" s="7">
        <v>67</v>
      </c>
      <c r="F37" s="7">
        <v>41</v>
      </c>
      <c r="G37" s="7">
        <v>73</v>
      </c>
      <c r="H37" s="12">
        <v>46</v>
      </c>
      <c r="I37" s="12">
        <v>45</v>
      </c>
      <c r="J37" s="12">
        <v>28</v>
      </c>
      <c r="K37" s="5">
        <f>=SUM(E37:J37)</f>
        <v>300</v>
      </c>
      <c r="L37" s="4" t="s"/>
    </row>
    <row r="38" spans="1:12" ht="18.75">
      <c r="A38" s="4">
        <v>37</v>
      </c>
      <c r="B38" s="4" t="s">
        <v>2542</v>
      </c>
      <c r="C38" s="4" t="s"/>
      <c r="D38" s="4" t="str">
        <f>=VLOOKUP(B38,[2]在校生综合信息查询!$A$330:$C$367,2,0)</f>
        <v>24q710103191</v>
      </c>
      <c r="E38" s="7">
        <v>64</v>
      </c>
      <c r="F38" s="7">
        <v>28</v>
      </c>
      <c r="G38" s="7">
        <v>50.5</v>
      </c>
      <c r="H38" s="12">
        <v>32</v>
      </c>
      <c r="I38" s="12">
        <v>72</v>
      </c>
      <c r="J38" s="12">
        <v>26</v>
      </c>
      <c r="K38" s="5">
        <f>=SUM(E38:J38)</f>
        <v>272.5</v>
      </c>
      <c r="L38" s="4" t="s"/>
    </row>
    <row r="39" spans="1:12">
      <c r="A39" s="86">
        <v>38</v>
      </c>
      <c r="B39" s="87" t="s">
        <v>2380</v>
      </c>
      <c r="D39" s="88" t="s"/>
      <c r="E39" s="88" t="s"/>
      <c r="F39" s="88" t="s"/>
      <c r="G39" s="89">
        <v>27</v>
      </c>
      <c r="H39" s="86">
        <v>31</v>
      </c>
      <c r="I39" s="86">
        <v>30</v>
      </c>
      <c r="J39" s="86">
        <v>0</v>
      </c>
      <c r="K39" s="19">
        <f>=SUM(E39:J39)</f>
        <v>88</v>
      </c>
      <c r="L39" s="86" t="s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/>
  <dimension ref="L40"/>
  <sheetViews>
    <sheetView showGridLines="1" workbookViewId="0">
      <pane ySplit="1" topLeftCell="A2" state="frozen"/>
    </sheetView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17.375" style="123" customWidth="1"/>
    <col min="5" max="7" width="8.75" style="123"/>
    <col min="8" max="8" width="28.25" customWidth="1"/>
    <col min="9" max="9" width="29" customWidth="1"/>
    <col min="10" max="10" width="22.625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143</v>
      </c>
      <c r="I1" s="4" t="s">
        <v>144</v>
      </c>
      <c r="J1" s="4" t="s">
        <v>145</v>
      </c>
      <c r="K1" s="5" t="s">
        <v>11</v>
      </c>
      <c r="L1" s="5" t="s">
        <v>12</v>
      </c>
    </row>
    <row r="2" spans="1:12" ht="18.75">
      <c r="A2" s="4">
        <v>1</v>
      </c>
      <c r="B2" s="4" t="s">
        <v>2544</v>
      </c>
      <c r="C2" s="4">
        <v>2492</v>
      </c>
      <c r="D2" s="4" t="str">
        <f>=VLOOKUP(B2,[2]在校生综合信息查询!$A$368:$C$406,2,0)</f>
        <v>24q710103281</v>
      </c>
      <c r="E2" s="7">
        <v>72</v>
      </c>
      <c r="F2" s="7">
        <v>28</v>
      </c>
      <c r="G2" s="7">
        <v>57</v>
      </c>
      <c r="H2" s="12">
        <v>34</v>
      </c>
      <c r="I2" s="12">
        <v>29</v>
      </c>
      <c r="J2" s="12">
        <v>12</v>
      </c>
      <c r="K2" s="5">
        <f>=SUM(E2:J2)</f>
        <v>232</v>
      </c>
      <c r="L2" s="5" t="s"/>
    </row>
    <row r="3" spans="1:12" ht="18.75">
      <c r="A3" s="4">
        <v>2</v>
      </c>
      <c r="B3" s="4" t="s">
        <v>2546</v>
      </c>
      <c r="C3" s="4">
        <v>2529</v>
      </c>
      <c r="D3" s="4" t="str">
        <f>=VLOOKUP(B3,[2]在校生综合信息查询!$A$368:$C$406,2,0)</f>
        <v>24q71010328620</v>
      </c>
      <c r="E3" s="7">
        <v>60</v>
      </c>
      <c r="F3" s="7">
        <v>82</v>
      </c>
      <c r="G3" s="7">
        <v>57.5</v>
      </c>
      <c r="H3" s="12">
        <v>52</v>
      </c>
      <c r="I3" s="12">
        <v>72</v>
      </c>
      <c r="J3" s="12">
        <v>41</v>
      </c>
      <c r="K3" s="5">
        <f>=SUM(E3:J3)</f>
        <v>364.5</v>
      </c>
      <c r="L3" s="5" t="s"/>
    </row>
    <row r="4" spans="1:12" ht="18.75">
      <c r="A4" s="4">
        <v>3</v>
      </c>
      <c r="B4" s="4" t="s">
        <v>2548</v>
      </c>
      <c r="C4" s="4">
        <v>2530</v>
      </c>
      <c r="D4" s="4" t="str">
        <f>=VLOOKUP(B4,[2]在校生综合信息查询!$A$368:$C$406,2,0)</f>
        <v>24q7101031261</v>
      </c>
      <c r="E4" s="7">
        <v>75</v>
      </c>
      <c r="F4" s="7">
        <v>97</v>
      </c>
      <c r="G4" s="7">
        <v>81</v>
      </c>
      <c r="H4" s="12">
        <v>57</v>
      </c>
      <c r="I4" s="12">
        <v>57</v>
      </c>
      <c r="J4" s="12">
        <v>32</v>
      </c>
      <c r="K4" s="5">
        <f>=SUM(E4:J4)</f>
        <v>399</v>
      </c>
      <c r="L4" s="5" t="s"/>
    </row>
    <row r="5" spans="1:12" ht="18.75">
      <c r="A5" s="4">
        <v>4</v>
      </c>
      <c r="B5" s="4" t="s">
        <v>2550</v>
      </c>
      <c r="C5" s="4">
        <v>2493</v>
      </c>
      <c r="D5" s="4" t="str">
        <f>=VLOOKUP(B5,[2]在校生综合信息查询!$A$368:$C$406,2,0)</f>
        <v>24q710103285</v>
      </c>
      <c r="E5" s="7">
        <v>56</v>
      </c>
      <c r="F5" s="7">
        <v>30</v>
      </c>
      <c r="G5" s="7">
        <v>64.5</v>
      </c>
      <c r="H5" s="12">
        <v>55</v>
      </c>
      <c r="I5" s="12">
        <v>23</v>
      </c>
      <c r="J5" s="12">
        <v>14</v>
      </c>
      <c r="K5" s="5">
        <f>=SUM(E5:J5)</f>
        <v>242.5</v>
      </c>
      <c r="L5" s="5" t="s"/>
    </row>
    <row r="6" spans="1:12" ht="18.75">
      <c r="A6" s="4">
        <v>5</v>
      </c>
      <c r="B6" s="4" t="s">
        <v>2552</v>
      </c>
      <c r="C6" s="4">
        <v>2494</v>
      </c>
      <c r="D6" s="4" t="str">
        <f>=VLOOKUP(B6,[2]在校生综合信息查询!$A$368:$C$406,2,0)</f>
        <v>24q710103286</v>
      </c>
      <c r="E6" s="7">
        <v>57</v>
      </c>
      <c r="F6" s="7">
        <v>38</v>
      </c>
      <c r="G6" s="7">
        <v>36</v>
      </c>
      <c r="H6" s="12">
        <v>39</v>
      </c>
      <c r="I6" s="12">
        <v>29</v>
      </c>
      <c r="J6" s="12">
        <v>18</v>
      </c>
      <c r="K6" s="5">
        <f>=SUM(E6:J6)</f>
        <v>217</v>
      </c>
      <c r="L6" s="5" t="s"/>
    </row>
    <row r="7" spans="1:12" ht="18.75">
      <c r="A7" s="4">
        <v>6</v>
      </c>
      <c r="B7" s="4" t="s">
        <v>2554</v>
      </c>
      <c r="C7" s="4">
        <v>2495</v>
      </c>
      <c r="D7" s="4" t="str">
        <f>=VLOOKUP(B7,[2]在校生综合信息查询!$A$368:$C$406,2,0)</f>
        <v>24q710103287</v>
      </c>
      <c r="E7" s="7">
        <v>72</v>
      </c>
      <c r="F7" s="7">
        <v>82</v>
      </c>
      <c r="G7" s="7">
        <v>29</v>
      </c>
      <c r="H7" s="12">
        <v>57</v>
      </c>
      <c r="I7" s="12">
        <v>23</v>
      </c>
      <c r="J7" s="12">
        <v>17</v>
      </c>
      <c r="K7" s="5">
        <f>=SUM(E7:J7)</f>
        <v>280</v>
      </c>
      <c r="L7" s="5" t="s"/>
    </row>
    <row r="8" spans="1:12" ht="18.75">
      <c r="A8" s="4">
        <v>7</v>
      </c>
      <c r="B8" s="4" t="s">
        <v>2556</v>
      </c>
      <c r="C8" s="4">
        <v>2496</v>
      </c>
      <c r="D8" s="4" t="str">
        <f>=VLOOKUP(B8,[2]在校生综合信息查询!$A$368:$C$406,2,0)</f>
        <v>24q710103289</v>
      </c>
      <c r="E8" s="7">
        <v>66</v>
      </c>
      <c r="F8" s="7">
        <v>51</v>
      </c>
      <c r="G8" s="7">
        <v>49</v>
      </c>
      <c r="H8" s="12">
        <v>42</v>
      </c>
      <c r="I8" s="12">
        <v>41</v>
      </c>
      <c r="J8" s="12">
        <v>30</v>
      </c>
      <c r="K8" s="5">
        <f>=SUM(E8:J8)</f>
        <v>279</v>
      </c>
      <c r="L8" s="5" t="s"/>
    </row>
    <row r="9" spans="1:12" ht="18.75">
      <c r="A9" s="4">
        <v>8</v>
      </c>
      <c r="B9" s="4" t="s">
        <v>2558</v>
      </c>
      <c r="C9" s="4">
        <v>2497</v>
      </c>
      <c r="D9" s="4" t="str">
        <f>=VLOOKUP(B9,[2]在校生综合信息查询!$A$368:$C$406,2,0)</f>
        <v>24q710103290</v>
      </c>
      <c r="E9" s="7">
        <v>67</v>
      </c>
      <c r="F9" s="7">
        <v>61</v>
      </c>
      <c r="G9" s="7">
        <v>61</v>
      </c>
      <c r="H9" s="12">
        <v>34</v>
      </c>
      <c r="I9" s="12">
        <v>34</v>
      </c>
      <c r="J9" s="12">
        <v>21</v>
      </c>
      <c r="K9" s="5">
        <f>=SUM(E9:J9)</f>
        <v>278</v>
      </c>
      <c r="L9" s="5" t="s"/>
    </row>
    <row r="10" spans="1:12" ht="18.75">
      <c r="A10" s="4">
        <v>9</v>
      </c>
      <c r="B10" s="4" t="s">
        <v>2560</v>
      </c>
      <c r="C10" s="4">
        <v>2498</v>
      </c>
      <c r="D10" s="4" t="str">
        <f>=VLOOKUP(B10,[2]在校生综合信息查询!$A$368:$C$406,2,0)</f>
        <v>24q710103293</v>
      </c>
      <c r="E10" s="7">
        <v>68</v>
      </c>
      <c r="F10" s="7">
        <v>36</v>
      </c>
      <c r="G10" s="7">
        <v>46</v>
      </c>
      <c r="H10" s="12">
        <v>50</v>
      </c>
      <c r="I10" s="12">
        <v>31</v>
      </c>
      <c r="J10" s="12">
        <v>26</v>
      </c>
      <c r="K10" s="5">
        <f>=SUM(E10:J10)</f>
        <v>257</v>
      </c>
      <c r="L10" s="5" t="s"/>
    </row>
    <row r="11" spans="1:12" ht="18.75">
      <c r="A11" s="4">
        <v>10</v>
      </c>
      <c r="B11" s="4" t="s">
        <v>2562</v>
      </c>
      <c r="C11" s="4">
        <v>2499</v>
      </c>
      <c r="D11" s="4" t="str">
        <f>=VLOOKUP(B11,[2]在校生综合信息查询!$A$368:$C$406,2,0)</f>
        <v>24q710103294</v>
      </c>
      <c r="E11" s="7">
        <v>67</v>
      </c>
      <c r="F11" s="7">
        <v>108</v>
      </c>
      <c r="G11" s="7">
        <v>33.5</v>
      </c>
      <c r="H11" s="12">
        <v>35</v>
      </c>
      <c r="I11" s="12">
        <v>39</v>
      </c>
      <c r="J11" s="12">
        <v>65</v>
      </c>
      <c r="K11" s="5">
        <f>=SUM(E11:J11)</f>
        <v>347.5</v>
      </c>
      <c r="L11" s="5" t="s"/>
    </row>
    <row r="12" spans="1:12" ht="18.75">
      <c r="A12" s="4">
        <v>11</v>
      </c>
      <c r="B12" s="4" t="s">
        <v>2564</v>
      </c>
      <c r="C12" s="4">
        <v>2500</v>
      </c>
      <c r="D12" s="4" t="str">
        <f>=VLOOKUP(B12,[2]在校生综合信息查询!$A$368:$C$406,2,0)</f>
        <v>24q710103295</v>
      </c>
      <c r="E12" s="7">
        <v>69</v>
      </c>
      <c r="F12" s="7">
        <v>82</v>
      </c>
      <c r="G12" s="7">
        <v>31.5</v>
      </c>
      <c r="H12" s="12">
        <v>52</v>
      </c>
      <c r="I12" s="12">
        <v>69</v>
      </c>
      <c r="J12" s="12">
        <v>25</v>
      </c>
      <c r="K12" s="5">
        <f>=SUM(E12:J12)</f>
        <v>328.5</v>
      </c>
      <c r="L12" s="5" t="s"/>
    </row>
    <row r="13" spans="1:12" ht="18.75">
      <c r="A13" s="4">
        <v>12</v>
      </c>
      <c r="B13" s="4" t="s">
        <v>2566</v>
      </c>
      <c r="C13" s="4">
        <v>2501</v>
      </c>
      <c r="D13" s="4" t="str">
        <f>=VLOOKUP(B13,[2]在校生综合信息查询!$A$368:$C$406,2,0)</f>
        <v>24q710103296</v>
      </c>
      <c r="E13" s="7">
        <v>39</v>
      </c>
      <c r="F13" s="7">
        <v>52</v>
      </c>
      <c r="G13" s="7">
        <v>46</v>
      </c>
      <c r="H13" s="12">
        <v>27</v>
      </c>
      <c r="I13" s="12">
        <v>28</v>
      </c>
      <c r="J13" s="12">
        <v>17</v>
      </c>
      <c r="K13" s="5">
        <f>=SUM(E13:J13)</f>
        <v>209</v>
      </c>
      <c r="L13" s="5" t="s"/>
    </row>
    <row r="14" spans="1:12" ht="18.75">
      <c r="A14" s="4">
        <v>13</v>
      </c>
      <c r="B14" s="4" t="s">
        <v>2568</v>
      </c>
      <c r="C14" s="4">
        <v>2502</v>
      </c>
      <c r="D14" s="4" t="str">
        <f>=VLOOKUP(B14,[2]在校生综合信息查询!$A$368:$C$406,2,0)</f>
        <v>24q710103298</v>
      </c>
      <c r="E14" s="7">
        <v>47</v>
      </c>
      <c r="F14" s="7">
        <v>73</v>
      </c>
      <c r="G14" s="7">
        <v>32</v>
      </c>
      <c r="H14" s="12">
        <v>51</v>
      </c>
      <c r="I14" s="12">
        <v>32</v>
      </c>
      <c r="J14" s="12">
        <v>26</v>
      </c>
      <c r="K14" s="5">
        <f>=SUM(E14:J14)</f>
        <v>261</v>
      </c>
      <c r="L14" s="5" t="s"/>
    </row>
    <row r="15" spans="1:12" ht="18.75">
      <c r="A15" s="4">
        <v>14</v>
      </c>
      <c r="B15" s="4" t="s">
        <v>2570</v>
      </c>
      <c r="C15" s="4">
        <v>2503</v>
      </c>
      <c r="D15" s="4" t="str">
        <f>=VLOOKUP(B15,[2]在校生综合信息查询!$A$368:$C$406,2,0)</f>
        <v>24q710103299</v>
      </c>
      <c r="E15" s="7">
        <v>70</v>
      </c>
      <c r="F15" s="7">
        <v>92</v>
      </c>
      <c r="G15" s="7">
        <v>71.5</v>
      </c>
      <c r="H15" s="12">
        <v>62</v>
      </c>
      <c r="I15" s="12">
        <v>39</v>
      </c>
      <c r="J15" s="12">
        <v>44</v>
      </c>
      <c r="K15" s="5">
        <f>=SUM(E15:J15)</f>
        <v>378.5</v>
      </c>
      <c r="L15" s="5" t="s"/>
    </row>
    <row r="16" spans="1:12" ht="18.75">
      <c r="A16" s="4">
        <v>15</v>
      </c>
      <c r="B16" s="4" t="s">
        <v>2572</v>
      </c>
      <c r="C16" s="4">
        <v>2504</v>
      </c>
      <c r="D16" s="4" t="str">
        <f>=VLOOKUP(B16,[2]在校生综合信息查询!$A$368:$C$406,2,0)</f>
        <v>24q710103300</v>
      </c>
      <c r="E16" s="7">
        <v>71</v>
      </c>
      <c r="F16" s="7">
        <v>81</v>
      </c>
      <c r="G16" s="7">
        <v>46</v>
      </c>
      <c r="H16" s="12">
        <v>66</v>
      </c>
      <c r="I16" s="12">
        <v>26</v>
      </c>
      <c r="J16" s="12">
        <v>10</v>
      </c>
      <c r="K16" s="5">
        <f>=SUM(E16:J16)</f>
        <v>300</v>
      </c>
      <c r="L16" s="5" t="s"/>
    </row>
    <row r="17" spans="1:12" ht="18.75">
      <c r="A17" s="4">
        <v>16</v>
      </c>
      <c r="B17" s="4" t="s">
        <v>2574</v>
      </c>
      <c r="C17" s="4">
        <v>2505</v>
      </c>
      <c r="D17" s="4" t="str">
        <f>=VLOOKUP(B17,[2]在校生综合信息查询!$A$368:$C$406,2,0)</f>
        <v>24q710103301</v>
      </c>
      <c r="E17" s="7">
        <v>69</v>
      </c>
      <c r="F17" s="7">
        <v>96</v>
      </c>
      <c r="G17" s="7">
        <v>28.5</v>
      </c>
      <c r="H17" s="12">
        <v>55</v>
      </c>
      <c r="I17" s="12">
        <v>33</v>
      </c>
      <c r="J17" s="12">
        <v>27</v>
      </c>
      <c r="K17" s="5">
        <f>=SUM(E17:J17)</f>
        <v>308.5</v>
      </c>
      <c r="L17" s="5" t="s"/>
    </row>
    <row r="18" spans="1:12" ht="18.75">
      <c r="A18" s="4">
        <v>17</v>
      </c>
      <c r="B18" s="4" t="s">
        <v>2576</v>
      </c>
      <c r="C18" s="4">
        <v>2506</v>
      </c>
      <c r="D18" s="4" t="str">
        <f>=VLOOKUP(B18,[2]在校生综合信息查询!$A$368:$C$406,2,0)</f>
        <v>24q710103303</v>
      </c>
      <c r="E18" s="7">
        <v>63</v>
      </c>
      <c r="F18" s="7">
        <v>59</v>
      </c>
      <c r="G18" s="7">
        <v>42.5</v>
      </c>
      <c r="H18" s="12">
        <v>58</v>
      </c>
      <c r="I18" s="12">
        <v>50</v>
      </c>
      <c r="J18" s="12">
        <v>23</v>
      </c>
      <c r="K18" s="5">
        <f>=SUM(E18:J18)</f>
        <v>295.5</v>
      </c>
      <c r="L18" s="5" t="s"/>
    </row>
    <row r="19" spans="1:12" ht="18.75">
      <c r="A19" s="4">
        <v>18</v>
      </c>
      <c r="B19" s="4" t="s">
        <v>2578</v>
      </c>
      <c r="C19" s="4">
        <v>2507</v>
      </c>
      <c r="D19" s="4" t="str">
        <f>=VLOOKUP(B19,[2]在校生综合信息查询!$A$368:$C$406,2,0)</f>
        <v>24q710103305</v>
      </c>
      <c r="E19" s="7">
        <v>60</v>
      </c>
      <c r="F19" s="7">
        <v>72</v>
      </c>
      <c r="G19" s="7">
        <v>18.5</v>
      </c>
      <c r="H19" s="12">
        <v>39</v>
      </c>
      <c r="I19" s="12">
        <v>28</v>
      </c>
      <c r="J19" s="12">
        <v>17</v>
      </c>
      <c r="K19" s="5">
        <f>=SUM(E19:J19)</f>
        <v>234.5</v>
      </c>
      <c r="L19" s="5" t="s"/>
    </row>
    <row r="20" spans="1:12" ht="18.75">
      <c r="A20" s="4">
        <v>19</v>
      </c>
      <c r="B20" s="4" t="s">
        <v>2580</v>
      </c>
      <c r="C20" s="4">
        <v>2508</v>
      </c>
      <c r="D20" s="4" t="str">
        <f>=VLOOKUP(B20,[2]在校生综合信息查询!$A$368:$C$406,2,0)</f>
        <v>24q710103308</v>
      </c>
      <c r="E20" s="7">
        <v>78</v>
      </c>
      <c r="F20" s="7">
        <v>62</v>
      </c>
      <c r="G20" s="7">
        <v>79</v>
      </c>
      <c r="H20" s="12">
        <v>48</v>
      </c>
      <c r="I20" s="12">
        <v>45</v>
      </c>
      <c r="J20" s="12">
        <v>30</v>
      </c>
      <c r="K20" s="5">
        <f>=SUM(E20:J20)</f>
        <v>342</v>
      </c>
      <c r="L20" s="5" t="s"/>
    </row>
    <row r="21" spans="1:12" ht="18.75">
      <c r="A21" s="4">
        <v>20</v>
      </c>
      <c r="B21" s="4" t="s">
        <v>2582</v>
      </c>
      <c r="C21" s="4">
        <v>2509</v>
      </c>
      <c r="D21" s="4" t="str">
        <f>=VLOOKUP(B21,[2]在校生综合信息查询!$A$368:$C$406,2,0)</f>
        <v>24q710103309</v>
      </c>
      <c r="E21" s="7">
        <v>74</v>
      </c>
      <c r="F21" s="7">
        <v>42</v>
      </c>
      <c r="G21" s="7">
        <v>57.5</v>
      </c>
      <c r="H21" s="12">
        <v>39</v>
      </c>
      <c r="I21" s="12">
        <v>41</v>
      </c>
      <c r="J21" s="12">
        <v>30</v>
      </c>
      <c r="K21" s="5">
        <f>=SUM(E21:J21)</f>
        <v>283.5</v>
      </c>
      <c r="L21" s="5" t="s"/>
    </row>
    <row r="22" spans="1:12" ht="18.75">
      <c r="A22" s="4">
        <v>21</v>
      </c>
      <c r="B22" s="4" t="s">
        <v>2584</v>
      </c>
      <c r="C22" s="4">
        <v>2510</v>
      </c>
      <c r="D22" s="4" t="str">
        <f>=VLOOKUP(B22,[2]在校生综合信息查询!$A$368:$C$406,2,0)</f>
        <v>24q710103312</v>
      </c>
      <c r="E22" s="7">
        <v>66</v>
      </c>
      <c r="F22" s="7">
        <v>101</v>
      </c>
      <c r="G22" s="7">
        <v>45.5</v>
      </c>
      <c r="H22" s="12">
        <v>46</v>
      </c>
      <c r="I22" s="12">
        <v>95</v>
      </c>
      <c r="J22" s="12">
        <v>49</v>
      </c>
      <c r="K22" s="5">
        <f>=SUM(E22:J22)</f>
        <v>402.5</v>
      </c>
      <c r="L22" s="5" t="s"/>
    </row>
    <row r="23" spans="1:12" ht="18.75">
      <c r="A23" s="4">
        <v>22</v>
      </c>
      <c r="B23" s="4" t="s">
        <v>2586</v>
      </c>
      <c r="C23" s="4">
        <v>2511</v>
      </c>
      <c r="D23" s="4" t="str">
        <f>=VLOOKUP(B23,[2]在校生综合信息查询!$A$368:$C$406,2,0)</f>
        <v>24q710103314</v>
      </c>
      <c r="E23" s="7">
        <v>58</v>
      </c>
      <c r="F23" s="7">
        <v>97</v>
      </c>
      <c r="G23" s="7">
        <v>38</v>
      </c>
      <c r="H23" s="12">
        <v>72</v>
      </c>
      <c r="I23" s="12">
        <v>63</v>
      </c>
      <c r="J23" s="12">
        <v>38</v>
      </c>
      <c r="K23" s="5">
        <f>=SUM(E23:J23)</f>
        <v>366</v>
      </c>
      <c r="L23" s="5" t="s"/>
    </row>
    <row r="24" spans="1:12" ht="18.75">
      <c r="A24" s="4">
        <v>23</v>
      </c>
      <c r="B24" s="4" t="s">
        <v>2588</v>
      </c>
      <c r="C24" s="4">
        <v>2512</v>
      </c>
      <c r="D24" s="4" t="str">
        <f>=VLOOKUP(B24,[2]在校生综合信息查询!$A$368:$C$406,2,0)</f>
        <v>24q710103316</v>
      </c>
      <c r="E24" s="7">
        <v>65</v>
      </c>
      <c r="F24" s="7">
        <v>40</v>
      </c>
      <c r="G24" s="7">
        <v>33</v>
      </c>
      <c r="H24" s="12">
        <v>41</v>
      </c>
      <c r="I24" s="12">
        <v>19</v>
      </c>
      <c r="J24" s="12">
        <v>32</v>
      </c>
      <c r="K24" s="5">
        <f>=SUM(E24:J24)</f>
        <v>230</v>
      </c>
      <c r="L24" s="5" t="s"/>
    </row>
    <row r="25" spans="1:12" ht="18.75">
      <c r="A25" s="4">
        <v>24</v>
      </c>
      <c r="B25" s="4" t="s">
        <v>2590</v>
      </c>
      <c r="C25" s="4">
        <v>2513</v>
      </c>
      <c r="D25" s="4" t="str">
        <f>=VLOOKUP(B25,[2]在校生综合信息查询!$A$368:$C$406,2,0)</f>
        <v>24q710103319</v>
      </c>
      <c r="E25" s="7">
        <v>96</v>
      </c>
      <c r="F25" s="7">
        <v>97</v>
      </c>
      <c r="G25" s="7">
        <v>65.5</v>
      </c>
      <c r="H25" s="12">
        <v>67</v>
      </c>
      <c r="I25" s="12">
        <v>63</v>
      </c>
      <c r="J25" s="12">
        <v>37</v>
      </c>
      <c r="K25" s="5">
        <f>=SUM(E25:J25)</f>
        <v>425.5</v>
      </c>
      <c r="L25" s="5" t="s"/>
    </row>
    <row r="26" spans="1:12" ht="18.75">
      <c r="A26" s="4">
        <v>25</v>
      </c>
      <c r="B26" s="4" t="s">
        <v>2592</v>
      </c>
      <c r="C26" s="4">
        <v>2514</v>
      </c>
      <c r="D26" s="4" t="str">
        <f>=VLOOKUP(B26,[2]在校生综合信息查询!$A$368:$C$406,2,0)</f>
        <v>24q710103321</v>
      </c>
      <c r="E26" s="7">
        <v>66</v>
      </c>
      <c r="F26" s="7">
        <v>71</v>
      </c>
      <c r="G26" s="7">
        <v>45</v>
      </c>
      <c r="H26" s="12">
        <v>46</v>
      </c>
      <c r="I26" s="12">
        <v>35</v>
      </c>
      <c r="J26" s="12">
        <v>26</v>
      </c>
      <c r="K26" s="5">
        <f>=SUM(E26:J26)</f>
        <v>289</v>
      </c>
      <c r="L26" s="5" t="s"/>
    </row>
    <row r="27" spans="1:12" ht="18.75">
      <c r="A27" s="4">
        <v>26</v>
      </c>
      <c r="B27" s="4" t="s">
        <v>2594</v>
      </c>
      <c r="C27" s="4">
        <v>2515</v>
      </c>
      <c r="D27" s="4" t="str">
        <f>=VLOOKUP(B27,[2]在校生综合信息查询!$A$368:$C$406,2,0)</f>
        <v>24q710103324</v>
      </c>
      <c r="E27" s="7">
        <v>44</v>
      </c>
      <c r="F27" s="7">
        <v>32</v>
      </c>
      <c r="G27" s="7">
        <v>68</v>
      </c>
      <c r="H27" s="12">
        <v>35</v>
      </c>
      <c r="I27" s="12">
        <v>45</v>
      </c>
      <c r="J27" s="12">
        <v>17</v>
      </c>
      <c r="K27" s="5">
        <f>=SUM(E27:J27)</f>
        <v>241</v>
      </c>
      <c r="L27" s="5" t="s"/>
    </row>
    <row r="28" spans="1:12" ht="18.75">
      <c r="A28" s="4">
        <v>27</v>
      </c>
      <c r="B28" s="4" t="s">
        <v>2596</v>
      </c>
      <c r="C28" s="4">
        <v>2516</v>
      </c>
      <c r="D28" s="4" t="str">
        <f>=VLOOKUP(B28,[2]在校生综合信息查询!$A$368:$C$406,2,0)</f>
        <v>24q710103327</v>
      </c>
      <c r="E28" s="7">
        <v>63</v>
      </c>
      <c r="F28" s="7">
        <v>52</v>
      </c>
      <c r="G28" s="7">
        <v>40</v>
      </c>
      <c r="H28" s="12">
        <v>67</v>
      </c>
      <c r="I28" s="12">
        <v>43</v>
      </c>
      <c r="J28" s="12">
        <v>32</v>
      </c>
      <c r="K28" s="5">
        <f>=SUM(E28:J28)</f>
        <v>297</v>
      </c>
      <c r="L28" s="5" t="s"/>
    </row>
    <row r="29" spans="1:12" ht="18.75">
      <c r="A29" s="4">
        <v>28</v>
      </c>
      <c r="B29" s="4" t="s">
        <v>2598</v>
      </c>
      <c r="C29" s="4">
        <v>2517</v>
      </c>
      <c r="D29" s="4" t="str">
        <f>=VLOOKUP(B29,[2]在校生综合信息查询!$A$368:$C$406,2,0)</f>
        <v>24q710103329</v>
      </c>
      <c r="E29" s="7">
        <v>69</v>
      </c>
      <c r="F29" s="7">
        <v>80</v>
      </c>
      <c r="G29" s="7">
        <v>41.5</v>
      </c>
      <c r="H29" s="12">
        <v>56</v>
      </c>
      <c r="I29" s="12">
        <v>57</v>
      </c>
      <c r="J29" s="12">
        <v>43</v>
      </c>
      <c r="K29" s="5">
        <f>=SUM(E29:J29)</f>
        <v>346.5</v>
      </c>
      <c r="L29" s="5" t="s"/>
    </row>
    <row r="30" spans="1:12" ht="18.75">
      <c r="A30" s="4">
        <v>29</v>
      </c>
      <c r="B30" s="4" t="s">
        <v>2600</v>
      </c>
      <c r="C30" s="4">
        <v>2518</v>
      </c>
      <c r="D30" s="4" t="str">
        <f>=VLOOKUP(B30,[2]在校生综合信息查询!$A$368:$C$406,2,0)</f>
        <v>24q710103330</v>
      </c>
      <c r="E30" s="7">
        <v>76</v>
      </c>
      <c r="F30" s="7">
        <v>44</v>
      </c>
      <c r="G30" s="7">
        <v>48</v>
      </c>
      <c r="H30" s="12">
        <v>34</v>
      </c>
      <c r="I30" s="12">
        <v>34</v>
      </c>
      <c r="J30" s="12">
        <v>15</v>
      </c>
      <c r="K30" s="5">
        <f>=SUM(E30:J30)</f>
        <v>251</v>
      </c>
      <c r="L30" s="5" t="s"/>
    </row>
    <row r="31" spans="1:12" ht="18.75">
      <c r="A31" s="4">
        <v>30</v>
      </c>
      <c r="B31" s="4" t="s">
        <v>2602</v>
      </c>
      <c r="C31" s="4">
        <v>2519</v>
      </c>
      <c r="D31" s="4" t="str">
        <f>=VLOOKUP(B31,[2]在校生综合信息查询!$A$368:$C$406,2,0)</f>
        <v>24q710103331</v>
      </c>
      <c r="E31" s="7">
        <v>46</v>
      </c>
      <c r="F31" s="7">
        <v>45</v>
      </c>
      <c r="G31" s="7">
        <v>56.5</v>
      </c>
      <c r="H31" s="12">
        <v>54</v>
      </c>
      <c r="I31" s="12">
        <v>36</v>
      </c>
      <c r="J31" s="12">
        <v>27</v>
      </c>
      <c r="K31" s="5">
        <f>=SUM(E31:J31)</f>
        <v>264.5</v>
      </c>
      <c r="L31" s="5" t="s"/>
    </row>
    <row r="32" spans="1:12" ht="18.75">
      <c r="A32" s="4">
        <v>31</v>
      </c>
      <c r="B32" s="4" t="s">
        <v>2604</v>
      </c>
      <c r="C32" s="4">
        <v>2520</v>
      </c>
      <c r="D32" s="4" t="str">
        <f>=VLOOKUP(B32,[2]在校生综合信息查询!$A$368:$C$406,2,0)</f>
        <v>24q710103332</v>
      </c>
      <c r="E32" s="7">
        <v>67</v>
      </c>
      <c r="F32" s="7">
        <v>61</v>
      </c>
      <c r="G32" s="7">
        <v>76</v>
      </c>
      <c r="H32" s="12">
        <v>64</v>
      </c>
      <c r="I32" s="12">
        <v>46</v>
      </c>
      <c r="J32" s="12">
        <v>40</v>
      </c>
      <c r="K32" s="5">
        <f>=SUM(E32:J32)</f>
        <v>354</v>
      </c>
      <c r="L32" s="5" t="s"/>
    </row>
    <row r="33" spans="1:12" ht="18.75">
      <c r="A33" s="4">
        <v>32</v>
      </c>
      <c r="B33" s="4" t="s">
        <v>2606</v>
      </c>
      <c r="C33" s="4">
        <v>2521</v>
      </c>
      <c r="D33" s="4" t="str">
        <f>=VLOOKUP(B33,[2]在校生综合信息查询!$A$368:$C$406,2,0)</f>
        <v>24q710103333</v>
      </c>
      <c r="E33" s="7">
        <v>72</v>
      </c>
      <c r="F33" s="7">
        <v>107</v>
      </c>
      <c r="G33" s="7">
        <v>43.5</v>
      </c>
      <c r="H33" s="12">
        <v>61</v>
      </c>
      <c r="I33" s="12">
        <v>53</v>
      </c>
      <c r="J33" s="12">
        <v>34</v>
      </c>
      <c r="K33" s="5">
        <f>=SUM(E33:J33)</f>
        <v>370.5</v>
      </c>
      <c r="L33" s="5" t="s"/>
    </row>
    <row r="34" spans="1:12" ht="18.75">
      <c r="A34" s="4">
        <v>33</v>
      </c>
      <c r="B34" s="4" t="s">
        <v>2608</v>
      </c>
      <c r="C34" s="4">
        <v>2522</v>
      </c>
      <c r="D34" s="4" t="str">
        <f>=VLOOKUP(B34,[2]在校生综合信息查询!$A$368:$C$406,2,0)</f>
        <v>24q710103335</v>
      </c>
      <c r="E34" s="7">
        <v>88</v>
      </c>
      <c r="F34" s="7">
        <v>77</v>
      </c>
      <c r="G34" s="7">
        <v>85.5</v>
      </c>
      <c r="H34" s="12">
        <v>57</v>
      </c>
      <c r="I34" s="12">
        <v>41</v>
      </c>
      <c r="J34" s="12">
        <v>25</v>
      </c>
      <c r="K34" s="5">
        <f>=SUM(E34:J34)</f>
        <v>373.5</v>
      </c>
      <c r="L34" s="5" t="s"/>
    </row>
    <row r="35" spans="1:12" ht="18.75">
      <c r="A35" s="4">
        <v>34</v>
      </c>
      <c r="B35" s="4" t="s">
        <v>2610</v>
      </c>
      <c r="C35" s="4">
        <v>2523</v>
      </c>
      <c r="D35" s="4" t="str">
        <f>=VLOOKUP(B35,[2]在校生综合信息查询!$A$368:$C$406,2,0)</f>
        <v>24q710103336</v>
      </c>
      <c r="E35" s="7">
        <v>49</v>
      </c>
      <c r="F35" s="7">
        <v>28</v>
      </c>
      <c r="G35" s="7">
        <v>53.5</v>
      </c>
      <c r="H35" s="12">
        <v>28</v>
      </c>
      <c r="I35" s="12">
        <v>41</v>
      </c>
      <c r="J35" s="12">
        <v>12</v>
      </c>
      <c r="K35" s="5">
        <f>=SUM(E35:J35)</f>
        <v>211.5</v>
      </c>
      <c r="L35" s="5" t="s"/>
    </row>
    <row r="36" spans="1:12" ht="18.75">
      <c r="A36" s="4">
        <v>35</v>
      </c>
      <c r="B36" s="4" t="s">
        <v>2612</v>
      </c>
      <c r="C36" s="4" t="s"/>
      <c r="D36" s="4" t="str">
        <f>=VLOOKUP(B36,[2]在校生综合信息查询!$A$368:$C$406,2,0)</f>
        <v>24q710103337</v>
      </c>
      <c r="E36" s="7">
        <v>60</v>
      </c>
      <c r="F36" s="7">
        <v>46</v>
      </c>
      <c r="G36" s="7">
        <v>67.5</v>
      </c>
      <c r="H36" s="12">
        <v>38</v>
      </c>
      <c r="I36" s="12">
        <v>29</v>
      </c>
      <c r="J36" s="12">
        <v>24</v>
      </c>
      <c r="K36" s="5">
        <f>=SUM(E36:J36)</f>
        <v>264.5</v>
      </c>
      <c r="L36" s="5" t="s"/>
    </row>
    <row r="37" spans="1:12" ht="18.75">
      <c r="A37" s="4">
        <v>36</v>
      </c>
      <c r="B37" s="4" t="s">
        <v>2614</v>
      </c>
      <c r="C37" s="4" t="s"/>
      <c r="D37" s="4" t="str">
        <f>=VLOOKUP(B37,[2]在校生综合信息查询!$A$368:$C$406,2,0)</f>
        <v>24q710103339</v>
      </c>
      <c r="E37" s="7">
        <v>51</v>
      </c>
      <c r="F37" s="7">
        <v>83</v>
      </c>
      <c r="G37" s="7">
        <v>62.5</v>
      </c>
      <c r="H37" s="12">
        <v>57</v>
      </c>
      <c r="I37" s="12">
        <v>46</v>
      </c>
      <c r="J37" s="12">
        <v>35</v>
      </c>
      <c r="K37" s="5">
        <f>=SUM(E37:J37)</f>
        <v>334.5</v>
      </c>
      <c r="L37" s="5" t="s"/>
    </row>
    <row r="38" spans="1:12" ht="18.75">
      <c r="A38" s="4">
        <v>37</v>
      </c>
      <c r="B38" s="4" t="s">
        <v>2616</v>
      </c>
      <c r="C38" s="4" t="s"/>
      <c r="D38" s="4" t="str">
        <f>=VLOOKUP(B38,[2]在校生综合信息查询!$A$368:$C$406,2,0)</f>
        <v>24q710103340</v>
      </c>
      <c r="E38" s="7">
        <v>83</v>
      </c>
      <c r="F38" s="7">
        <v>99</v>
      </c>
      <c r="G38" s="7">
        <v>71.5</v>
      </c>
      <c r="H38" s="12">
        <v>46</v>
      </c>
      <c r="I38" s="12">
        <v>53</v>
      </c>
      <c r="J38" s="12">
        <v>32</v>
      </c>
      <c r="K38" s="5">
        <f>=SUM(E38:J38)</f>
        <v>384.5</v>
      </c>
      <c r="L38" s="5" t="s"/>
    </row>
    <row r="39" spans="1:12" ht="18.75">
      <c r="A39" s="4">
        <v>38</v>
      </c>
      <c r="B39" s="4" t="s">
        <v>2618</v>
      </c>
      <c r="C39" s="4" t="s"/>
      <c r="D39" s="4" t="str">
        <f>=VLOOKUP(B39,[2]在校生综合信息查询!$A$368:$C$406,2,0)</f>
        <v>24q710103341</v>
      </c>
      <c r="E39" s="7">
        <v>65</v>
      </c>
      <c r="F39" s="7">
        <v>59</v>
      </c>
      <c r="G39" s="7">
        <v>40.5</v>
      </c>
      <c r="H39" s="12">
        <v>85</v>
      </c>
      <c r="I39" s="12">
        <v>76</v>
      </c>
      <c r="J39" s="90">
        <v>49</v>
      </c>
      <c r="K39" s="5">
        <f>=SUM(E39:J39)</f>
        <v>374.5</v>
      </c>
      <c r="L39" s="5" t="s"/>
    </row>
    <row r="40" spans="1:12" ht="18.75">
      <c r="A40" s="4">
        <v>39</v>
      </c>
      <c r="B40" s="4" t="s">
        <v>2620</v>
      </c>
      <c r="C40" s="4" t="s"/>
      <c r="D40" s="4" t="str">
        <f>=VLOOKUP(B40,[2]在校生综合信息查询!$A$368:$C$406,2,0)</f>
        <v>24q710103342</v>
      </c>
      <c r="E40" s="7">
        <v>70</v>
      </c>
      <c r="F40" s="7">
        <v>83</v>
      </c>
      <c r="G40" s="7">
        <v>67</v>
      </c>
      <c r="H40" s="12">
        <v>68</v>
      </c>
      <c r="I40" s="12">
        <v>68</v>
      </c>
      <c r="J40" s="12">
        <v>28</v>
      </c>
      <c r="K40" s="5">
        <f>=SUM(E40:J40)</f>
        <v>384</v>
      </c>
      <c r="L40" s="5" t="s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/>
  <dimension ref="J77"/>
  <sheetViews>
    <sheetView showGridLines="1" topLeftCell="A64" workbookViewId="0"/>
  </sheetViews>
  <sheetFormatPr defaultColWidth="8.75" defaultRowHeight="14.25"/>
  <cols>
    <col min="1" max="1" width="8.75" style="122"/>
    <col min="2" max="2" width="9.5" style="123"/>
    <col min="3" max="3" width="0" style="123" hidden="1" customWidth="1"/>
    <col min="4" max="4" width="17.375" style="123" customWidth="1"/>
    <col min="5" max="7" width="8.75" style="123"/>
    <col min="8" max="8" width="18.375" hidden="1" customWidth="1"/>
    <col min="9" max="9" width="22.625" hidden="1" customWidth="1"/>
    <col min="10" max="10" width="22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857</v>
      </c>
      <c r="I1" s="5" t="s">
        <v>2622</v>
      </c>
      <c r="J1" s="5" t="s">
        <v>858</v>
      </c>
      <c r="K1" s="5" t="s">
        <v>11</v>
      </c>
      <c r="L1" s="5" t="s">
        <v>12</v>
      </c>
    </row>
    <row r="2" spans="1:12" ht="18.75">
      <c r="A2" s="4">
        <v>1</v>
      </c>
      <c r="B2" s="4" t="s">
        <v>2623</v>
      </c>
      <c r="C2" s="4">
        <v>2438</v>
      </c>
      <c r="D2" s="4" t="str">
        <f>=VLOOKUP(B2,[2]在校生综合信息查询!$A$407:$C$484,2,0)</f>
        <v>24q710103351</v>
      </c>
      <c r="E2" s="4" t="s"/>
      <c r="F2" s="4" t="s"/>
      <c r="G2" s="4" t="s"/>
      <c r="H2" s="5" t="s"/>
      <c r="I2" s="5" t="s"/>
      <c r="J2" s="5" t="s"/>
      <c r="K2" s="5" t="s"/>
      <c r="L2" s="5" t="s"/>
    </row>
    <row r="3" spans="1:12" ht="18.75">
      <c r="A3" s="4">
        <v>2</v>
      </c>
      <c r="B3" s="4" t="s">
        <v>2625</v>
      </c>
      <c r="C3" s="4">
        <v>2372</v>
      </c>
      <c r="D3" s="4" t="str">
        <f>=VLOOKUP(B3,[2]在校生综合信息查询!$A$407:$C$484,2,0)</f>
        <v>24q710201141</v>
      </c>
      <c r="E3" s="7">
        <v>24</v>
      </c>
      <c r="F3" s="7">
        <v>8</v>
      </c>
      <c r="G3" s="7">
        <v>20.5</v>
      </c>
      <c r="H3" s="6">
        <v>18</v>
      </c>
      <c r="I3" s="6">
        <v>22</v>
      </c>
      <c r="J3" s="6">
        <v>26</v>
      </c>
      <c r="K3" s="5" t="s"/>
      <c r="L3" s="5" t="s"/>
    </row>
    <row r="4" spans="1:12" ht="18.75">
      <c r="A4" s="4">
        <v>3</v>
      </c>
      <c r="B4" s="4" t="s">
        <v>2627</v>
      </c>
      <c r="C4" s="4">
        <v>2373</v>
      </c>
      <c r="D4" s="4" t="str">
        <f>=VLOOKUP(B4,[2]在校生综合信息查询!$A$407:$C$484,2,0)</f>
        <v>24q710201142</v>
      </c>
      <c r="E4" s="7">
        <v>33</v>
      </c>
      <c r="F4" s="7">
        <v>44</v>
      </c>
      <c r="G4" s="7">
        <v>32</v>
      </c>
      <c r="H4" s="6">
        <v>55</v>
      </c>
      <c r="I4" s="6">
        <v>39</v>
      </c>
      <c r="J4" s="6">
        <v>19</v>
      </c>
      <c r="K4" s="5" t="s"/>
      <c r="L4" s="5" t="s"/>
    </row>
    <row r="5" spans="1:12" ht="18.75">
      <c r="A5" s="4">
        <v>4</v>
      </c>
      <c r="B5" s="4" t="s">
        <v>2629</v>
      </c>
      <c r="C5" s="4">
        <v>2445</v>
      </c>
      <c r="D5" s="4" t="str">
        <f>=VLOOKUP(B5,[2]在校生综合信息查询!$A$407:$C$484,2,0)</f>
        <v>24q710201002</v>
      </c>
      <c r="E5" s="7" t="s"/>
      <c r="F5" s="4" t="s"/>
      <c r="G5" s="4" t="s"/>
      <c r="H5" s="5" t="s"/>
      <c r="I5" s="6" t="s"/>
      <c r="J5" s="6" t="s"/>
      <c r="K5" s="5" t="s"/>
      <c r="L5" s="5" t="s"/>
    </row>
    <row r="6" spans="1:12" ht="18.75">
      <c r="A6" s="4">
        <v>5</v>
      </c>
      <c r="B6" s="4" t="s">
        <v>2631</v>
      </c>
      <c r="C6" s="4">
        <v>2374</v>
      </c>
      <c r="D6" s="4" t="str">
        <f>=VLOOKUP(B6,[2]在校生综合信息查询!$A$407:$C$484,2,0)</f>
        <v>24q710201143</v>
      </c>
      <c r="E6" s="7">
        <v>34</v>
      </c>
      <c r="F6" s="85">
        <v>56</v>
      </c>
      <c r="G6" s="91">
        <v>17.5</v>
      </c>
      <c r="H6" s="6">
        <v>55</v>
      </c>
      <c r="I6" s="6">
        <v>54</v>
      </c>
      <c r="J6" s="6">
        <v>22</v>
      </c>
      <c r="K6" s="5" t="s"/>
      <c r="L6" s="5" t="s"/>
    </row>
    <row r="7" spans="1:12" ht="18.75">
      <c r="A7" s="4">
        <v>6</v>
      </c>
      <c r="B7" s="4" t="s">
        <v>2633</v>
      </c>
      <c r="C7" s="4">
        <v>2375</v>
      </c>
      <c r="D7" s="4" t="str">
        <f>=VLOOKUP(B7,[2]在校生综合信息查询!$A$407:$C$484,2,0)</f>
        <v>24q710201144</v>
      </c>
      <c r="E7" s="7">
        <v>24</v>
      </c>
      <c r="F7" s="7">
        <v>16</v>
      </c>
      <c r="G7" s="7">
        <v>17.5</v>
      </c>
      <c r="H7" s="6">
        <v>16</v>
      </c>
      <c r="I7" s="6">
        <v>27</v>
      </c>
      <c r="J7" s="6">
        <v>8</v>
      </c>
      <c r="K7" s="5" t="s"/>
      <c r="L7" s="5" t="s"/>
    </row>
    <row r="8" spans="1:12" ht="18.75">
      <c r="A8" s="4">
        <v>7</v>
      </c>
      <c r="B8" s="4" t="s">
        <v>2635</v>
      </c>
      <c r="C8" s="4">
        <v>2376</v>
      </c>
      <c r="D8" s="4" t="str">
        <f>=VLOOKUP(B8,[2]在校生综合信息查询!$A$407:$C$484,2,0)</f>
        <v>24q710201145</v>
      </c>
      <c r="E8" s="7">
        <v>20</v>
      </c>
      <c r="F8" s="7">
        <v>28</v>
      </c>
      <c r="G8" s="7">
        <v>16.5</v>
      </c>
      <c r="H8" s="6">
        <v>18</v>
      </c>
      <c r="I8" s="6">
        <v>18</v>
      </c>
      <c r="J8" s="6">
        <v>39</v>
      </c>
      <c r="K8" s="5" t="s"/>
      <c r="L8" s="5" t="s"/>
    </row>
    <row r="9" spans="1:12" ht="18.75">
      <c r="A9" s="4">
        <v>8</v>
      </c>
      <c r="B9" s="4" t="s">
        <v>2637</v>
      </c>
      <c r="C9" s="4">
        <v>2377</v>
      </c>
      <c r="D9" s="4" t="str">
        <f>=VLOOKUP(B9,[2]在校生综合信息查询!$A$407:$C$484,2,0)</f>
        <v>24q710201146</v>
      </c>
      <c r="E9" s="7">
        <v>36</v>
      </c>
      <c r="F9" s="7">
        <v>16</v>
      </c>
      <c r="G9" s="7">
        <v>24.5</v>
      </c>
      <c r="H9" s="6">
        <v>28</v>
      </c>
      <c r="I9" s="6">
        <v>29</v>
      </c>
      <c r="J9" s="6">
        <v>22</v>
      </c>
      <c r="K9" s="5" t="s"/>
      <c r="L9" s="5" t="s"/>
    </row>
    <row r="10" spans="1:12" ht="18.75">
      <c r="A10" s="4">
        <v>9</v>
      </c>
      <c r="B10" s="4" t="s">
        <v>2639</v>
      </c>
      <c r="C10" s="4">
        <v>2378</v>
      </c>
      <c r="D10" s="4" t="str">
        <f>=VLOOKUP(B10,[2]在校生综合信息查询!$A$407:$C$484,2,0)</f>
        <v>24q710201147</v>
      </c>
      <c r="E10" s="7">
        <v>21</v>
      </c>
      <c r="F10" s="7">
        <v>36</v>
      </c>
      <c r="G10" s="7">
        <v>23</v>
      </c>
      <c r="H10" s="6">
        <v>22</v>
      </c>
      <c r="I10" s="6">
        <v>18</v>
      </c>
      <c r="J10" s="6">
        <v>39</v>
      </c>
      <c r="K10" s="5" t="s"/>
      <c r="L10" s="5" t="s"/>
    </row>
    <row r="11" spans="1:12" ht="18.75">
      <c r="A11" s="4">
        <v>10</v>
      </c>
      <c r="B11" s="4" t="s">
        <v>2641</v>
      </c>
      <c r="C11" s="4">
        <v>2379</v>
      </c>
      <c r="D11" s="4" t="str">
        <f>=VLOOKUP(B11,[2]在校生综合信息查询!$A$407:$C$484,2,0)</f>
        <v>24q710201148</v>
      </c>
      <c r="E11" s="7">
        <v>22</v>
      </c>
      <c r="F11" s="7">
        <v>32</v>
      </c>
      <c r="G11" s="7">
        <v>24.5</v>
      </c>
      <c r="H11" s="6">
        <v>29</v>
      </c>
      <c r="I11" s="6">
        <v>25</v>
      </c>
      <c r="J11" s="6">
        <v>30</v>
      </c>
      <c r="K11" s="5" t="s"/>
      <c r="L11" s="5" t="s"/>
    </row>
    <row r="12" spans="1:12" ht="18.75">
      <c r="A12" s="4">
        <v>11</v>
      </c>
      <c r="B12" s="4" t="s">
        <v>2643</v>
      </c>
      <c r="C12" s="4">
        <v>2380</v>
      </c>
      <c r="D12" s="4" t="str">
        <f>=VLOOKUP(B12,[2]在校生综合信息查询!$A$407:$C$484,2,0)</f>
        <v>24q710201149</v>
      </c>
      <c r="E12" s="7">
        <v>18</v>
      </c>
      <c r="F12" s="7">
        <v>52</v>
      </c>
      <c r="G12" s="7">
        <v>11.5</v>
      </c>
      <c r="H12" s="6">
        <v>38</v>
      </c>
      <c r="I12" s="6">
        <v>15</v>
      </c>
      <c r="J12" s="6">
        <v>61</v>
      </c>
      <c r="K12" s="5" t="s"/>
      <c r="L12" s="5" t="s"/>
    </row>
    <row r="13" spans="1:12" ht="18.75">
      <c r="A13" s="4">
        <v>12</v>
      </c>
      <c r="B13" s="4" t="s">
        <v>2645</v>
      </c>
      <c r="C13" s="4">
        <v>2381</v>
      </c>
      <c r="D13" s="4" t="str">
        <f>=VLOOKUP(B13,[2]在校生综合信息查询!$A$407:$C$484,2,0)</f>
        <v>24q71010328619</v>
      </c>
      <c r="E13" s="7">
        <v>29</v>
      </c>
      <c r="F13" s="7">
        <v>44</v>
      </c>
      <c r="G13" s="7">
        <v>37</v>
      </c>
      <c r="H13" s="6">
        <v>42</v>
      </c>
      <c r="I13" s="6">
        <v>38</v>
      </c>
      <c r="J13" s="6">
        <v>45</v>
      </c>
      <c r="K13" s="5" t="s"/>
      <c r="L13" s="5" t="s"/>
    </row>
    <row r="14" spans="1:12" ht="21.75" customHeight="1">
      <c r="A14" s="4">
        <v>13</v>
      </c>
      <c r="B14" s="4" t="s">
        <v>2647</v>
      </c>
      <c r="C14" s="4">
        <v>2382</v>
      </c>
      <c r="D14" s="4" t="str">
        <f>=VLOOKUP(B14,[2]在校生综合信息查询!$A$407:$C$484,2,0)</f>
        <v>24q710201150</v>
      </c>
      <c r="E14" s="7">
        <v>48</v>
      </c>
      <c r="F14" s="7">
        <v>44</v>
      </c>
      <c r="G14" s="7">
        <v>35.5</v>
      </c>
      <c r="H14" s="6">
        <v>41</v>
      </c>
      <c r="I14" s="6">
        <v>44</v>
      </c>
      <c r="J14" s="6">
        <v>58</v>
      </c>
      <c r="K14" s="5" t="s"/>
      <c r="L14" s="5" t="s"/>
    </row>
    <row r="15" spans="1:12" ht="18.75">
      <c r="A15" s="4">
        <v>14</v>
      </c>
      <c r="B15" s="4" t="s">
        <v>2649</v>
      </c>
      <c r="C15" s="4">
        <v>2383</v>
      </c>
      <c r="D15" s="4" t="str">
        <f>=VLOOKUP(B15,[2]在校生综合信息查询!$A$407:$C$484,2,0)</f>
        <v>24q710201151</v>
      </c>
      <c r="E15" s="4" t="s"/>
      <c r="F15" s="4" t="s"/>
      <c r="G15" s="4" t="s"/>
      <c r="H15" s="5" t="s"/>
      <c r="I15" s="5" t="s"/>
      <c r="J15" s="5" t="s"/>
      <c r="K15" s="5" t="s"/>
      <c r="L15" s="5" t="s"/>
    </row>
    <row r="16" spans="1:12" ht="18.75">
      <c r="A16" s="4">
        <v>15</v>
      </c>
      <c r="B16" s="4" t="s">
        <v>2651</v>
      </c>
      <c r="C16" s="4">
        <v>2384</v>
      </c>
      <c r="D16" s="4" t="str">
        <f>=VLOOKUP(B16,[2]在校生综合信息查询!$A$407:$C$484,2,0)</f>
        <v>24q710201152</v>
      </c>
      <c r="E16" s="7">
        <v>16</v>
      </c>
      <c r="F16" s="7">
        <v>12</v>
      </c>
      <c r="G16" s="7">
        <v>15.5</v>
      </c>
      <c r="H16" s="6">
        <v>18</v>
      </c>
      <c r="I16" s="6">
        <v>20</v>
      </c>
      <c r="J16" s="6">
        <v>22</v>
      </c>
      <c r="K16" s="5" t="s"/>
      <c r="L16" s="5" t="s"/>
    </row>
    <row r="17" spans="1:12" ht="18.75">
      <c r="A17" s="4">
        <v>16</v>
      </c>
      <c r="B17" s="4" t="s">
        <v>2653</v>
      </c>
      <c r="C17" s="4">
        <v>2385</v>
      </c>
      <c r="D17" s="4" t="str">
        <f>=VLOOKUP(B17,[2]在校生综合信息查询!$A$407:$C$484,2,0)</f>
        <v>24q710201154</v>
      </c>
      <c r="E17" s="7">
        <v>27</v>
      </c>
      <c r="F17" s="7">
        <v>20</v>
      </c>
      <c r="G17" s="7">
        <v>20</v>
      </c>
      <c r="H17" s="5" t="s"/>
      <c r="I17" s="5" t="s"/>
      <c r="J17" s="5" t="s"/>
      <c r="K17" s="5" t="s"/>
      <c r="L17" s="5" t="s"/>
    </row>
    <row r="18" spans="1:12" ht="18.75">
      <c r="A18" s="4">
        <v>17</v>
      </c>
      <c r="B18" s="4" t="s">
        <v>2655</v>
      </c>
      <c r="C18" s="4">
        <v>2446</v>
      </c>
      <c r="D18" s="4" t="str">
        <f>=VLOOKUP(B18,[2]在校生综合信息查询!$A$407:$C$484,2,0)</f>
        <v>20240681</v>
      </c>
      <c r="E18" s="7">
        <v>18</v>
      </c>
      <c r="F18" s="7">
        <v>16</v>
      </c>
      <c r="G18" s="12">
        <v>21</v>
      </c>
      <c r="H18" s="6">
        <v>41</v>
      </c>
      <c r="I18" s="6">
        <v>21</v>
      </c>
      <c r="J18" s="6">
        <v>42</v>
      </c>
      <c r="K18" s="5" t="s"/>
      <c r="L18" s="5" t="s"/>
    </row>
    <row r="19" spans="1:12" ht="18.75">
      <c r="A19" s="4">
        <v>18</v>
      </c>
      <c r="B19" s="4" t="s">
        <v>2657</v>
      </c>
      <c r="C19" s="4">
        <v>2386</v>
      </c>
      <c r="D19" s="4" t="str">
        <f>=VLOOKUP(B19,[2]在校生综合信息查询!$A$407:$C$484,2,0)</f>
        <v>24q710201158</v>
      </c>
      <c r="E19" s="7">
        <v>51</v>
      </c>
      <c r="F19" s="7">
        <v>40</v>
      </c>
      <c r="G19" s="12">
        <v>21.5</v>
      </c>
      <c r="H19" s="6">
        <v>61</v>
      </c>
      <c r="I19" s="6">
        <v>39</v>
      </c>
      <c r="J19" s="6">
        <v>30</v>
      </c>
      <c r="K19" s="5" t="s"/>
      <c r="L19" s="5" t="s"/>
    </row>
    <row r="20" spans="1:12" ht="18.75">
      <c r="A20" s="4">
        <v>19</v>
      </c>
      <c r="B20" s="4" t="s">
        <v>2659</v>
      </c>
      <c r="C20" s="4">
        <v>2436</v>
      </c>
      <c r="D20" s="4" t="str">
        <f>=VLOOKUP(B20,[2]在校生综合信息查询!$A$407:$C$484,2,0)</f>
        <v>24q710201029</v>
      </c>
      <c r="E20" s="7">
        <v>9</v>
      </c>
      <c r="F20" s="7">
        <v>40</v>
      </c>
      <c r="G20" s="7">
        <v>37</v>
      </c>
      <c r="H20" s="6">
        <v>40</v>
      </c>
      <c r="I20" s="6">
        <v>22</v>
      </c>
      <c r="J20" s="6">
        <v>37</v>
      </c>
      <c r="K20" s="5" t="s"/>
      <c r="L20" s="5" t="s"/>
    </row>
    <row r="21" spans="1:12" ht="18.75">
      <c r="A21" s="4">
        <v>20</v>
      </c>
      <c r="B21" s="4" t="s">
        <v>2661</v>
      </c>
      <c r="C21" s="4">
        <v>2387</v>
      </c>
      <c r="D21" s="4" t="str">
        <f>=VLOOKUP(B21,[2]在校生综合信息查询!$A$407:$C$484,2,0)</f>
        <v>24q710201159</v>
      </c>
      <c r="E21" s="7">
        <v>19</v>
      </c>
      <c r="F21" s="7">
        <v>12</v>
      </c>
      <c r="G21" s="7">
        <v>14</v>
      </c>
      <c r="H21" s="6">
        <v>25</v>
      </c>
      <c r="I21" s="6">
        <v>23</v>
      </c>
      <c r="J21" s="6">
        <v>18</v>
      </c>
      <c r="K21" s="5" t="s"/>
      <c r="L21" s="5" t="s"/>
    </row>
    <row r="22" spans="1:12" ht="18.75">
      <c r="A22" s="4">
        <v>21</v>
      </c>
      <c r="B22" s="4" t="s">
        <v>2663</v>
      </c>
      <c r="C22" s="4">
        <v>2388</v>
      </c>
      <c r="D22" s="4" t="str">
        <f>=VLOOKUP(B22,[2]在校生综合信息查询!$A$407:$C$484,2,0)</f>
        <v>24q710201160</v>
      </c>
      <c r="E22" s="7">
        <v>15</v>
      </c>
      <c r="F22" s="7">
        <v>24</v>
      </c>
      <c r="G22" s="7">
        <v>4</v>
      </c>
      <c r="H22" s="6">
        <v>18</v>
      </c>
      <c r="I22" s="6">
        <v>21</v>
      </c>
      <c r="J22" s="6">
        <v>20</v>
      </c>
      <c r="K22" s="5" t="s"/>
      <c r="L22" s="5" t="s"/>
    </row>
    <row r="23" spans="1:12" ht="18.75">
      <c r="A23" s="4">
        <v>22</v>
      </c>
      <c r="B23" s="4" t="s">
        <v>2665</v>
      </c>
      <c r="C23" s="4">
        <v>2430</v>
      </c>
      <c r="D23" s="4" t="str">
        <f>=VLOOKUP(B23,[2]在校生综合信息查询!$A$407:$C$484,2,0)</f>
        <v>20240926</v>
      </c>
      <c r="E23" s="7">
        <v>39</v>
      </c>
      <c r="F23" s="7">
        <v>22</v>
      </c>
      <c r="G23" s="7">
        <v>44.5</v>
      </c>
      <c r="H23" s="6">
        <v>31</v>
      </c>
      <c r="I23" s="6">
        <v>30</v>
      </c>
      <c r="J23" s="6">
        <v>34</v>
      </c>
      <c r="K23" s="5" t="s"/>
      <c r="L23" s="5" t="s"/>
    </row>
    <row r="24" spans="1:12" ht="18.75">
      <c r="A24" s="4">
        <v>23</v>
      </c>
      <c r="B24" s="4" t="s">
        <v>2667</v>
      </c>
      <c r="C24" s="4">
        <v>2389</v>
      </c>
      <c r="D24" s="4" t="str">
        <f>=VLOOKUP(B24,[2]在校生综合信息查询!$A$407:$C$484,2,0)</f>
        <v>24q710201161</v>
      </c>
      <c r="E24" s="7">
        <v>51</v>
      </c>
      <c r="F24" s="7">
        <v>28</v>
      </c>
      <c r="G24" s="7">
        <v>30.5</v>
      </c>
      <c r="H24" s="6">
        <v>39</v>
      </c>
      <c r="I24" s="6">
        <v>27</v>
      </c>
      <c r="J24" s="6">
        <v>38</v>
      </c>
      <c r="K24" s="5" t="s"/>
      <c r="L24" s="5" t="s"/>
    </row>
    <row r="25" spans="1:12" ht="18.75">
      <c r="A25" s="4">
        <v>24</v>
      </c>
      <c r="B25" s="4" t="s">
        <v>2669</v>
      </c>
      <c r="C25" s="4">
        <v>2390</v>
      </c>
      <c r="D25" s="4" t="str">
        <f>=VLOOKUP(B25,[2]在校生综合信息查询!$A$407:$C$484,2,0)</f>
        <v>24q710201162</v>
      </c>
      <c r="E25" s="4" t="s"/>
      <c r="F25" s="4" t="s"/>
      <c r="G25" s="4" t="s"/>
      <c r="H25" s="5" t="s"/>
      <c r="I25" s="5" t="s"/>
      <c r="J25" s="5" t="s"/>
      <c r="K25" s="5" t="s"/>
      <c r="L25" s="5" t="s"/>
    </row>
    <row r="26" spans="1:12" ht="18.75">
      <c r="A26" s="4">
        <v>25</v>
      </c>
      <c r="B26" s="4" t="s">
        <v>2671</v>
      </c>
      <c r="C26" s="4">
        <v>2391</v>
      </c>
      <c r="D26" s="4" t="str">
        <f>=VLOOKUP(B26,[2]在校生综合信息查询!$A$407:$C$484,2,0)</f>
        <v>24q710201164</v>
      </c>
      <c r="E26" s="7">
        <v>17</v>
      </c>
      <c r="F26" s="7">
        <v>20</v>
      </c>
      <c r="G26" s="7">
        <v>31.5</v>
      </c>
      <c r="H26" s="6">
        <v>27</v>
      </c>
      <c r="I26" s="6">
        <v>25</v>
      </c>
      <c r="J26" s="6">
        <v>26</v>
      </c>
      <c r="K26" s="5" t="s"/>
      <c r="L26" s="5" t="s"/>
    </row>
    <row r="27" spans="1:12" ht="18.75">
      <c r="A27" s="4">
        <v>26</v>
      </c>
      <c r="B27" s="4" t="s">
        <v>2673</v>
      </c>
      <c r="C27" s="4">
        <v>2435</v>
      </c>
      <c r="D27" s="4" t="str">
        <f>=VLOOKUP(B27,[2]在校生综合信息查询!$A$407:$C$484,2,0)</f>
        <v>24q710201079</v>
      </c>
      <c r="E27" s="7">
        <v>9</v>
      </c>
      <c r="F27" s="7">
        <v>8</v>
      </c>
      <c r="G27" s="4" t="s"/>
      <c r="H27" s="6">
        <v>10</v>
      </c>
      <c r="I27" s="6">
        <v>22</v>
      </c>
      <c r="J27" s="6">
        <v>24</v>
      </c>
      <c r="K27" s="5" t="s"/>
      <c r="L27" s="5" t="s"/>
    </row>
    <row r="28" spans="1:12" ht="18.75">
      <c r="A28" s="4">
        <v>27</v>
      </c>
      <c r="B28" s="4" t="s">
        <v>2675</v>
      </c>
      <c r="C28" s="4">
        <v>2392</v>
      </c>
      <c r="D28" s="4" t="str">
        <f>=VLOOKUP(B28,[2]在校生综合信息查询!$A$407:$C$484,2,0)</f>
        <v>24q710201167</v>
      </c>
      <c r="E28" s="4" t="s"/>
      <c r="F28" s="4" t="s"/>
      <c r="G28" s="4" t="s"/>
      <c r="H28" s="5" t="s"/>
      <c r="I28" s="5" t="s"/>
      <c r="J28" s="5" t="s"/>
      <c r="K28" s="5" t="s"/>
      <c r="L28" s="5" t="s"/>
    </row>
    <row r="29" spans="1:12" ht="18.75">
      <c r="A29" s="4">
        <v>28</v>
      </c>
      <c r="B29" s="4" t="s">
        <v>2677</v>
      </c>
      <c r="C29" s="4">
        <v>2393</v>
      </c>
      <c r="D29" s="4" t="str">
        <f>=VLOOKUP(B29,[2]在校生综合信息查询!$A$407:$C$484,2,0)</f>
        <v>24q710201168</v>
      </c>
      <c r="E29" s="7">
        <v>9</v>
      </c>
      <c r="F29" s="7">
        <v>12</v>
      </c>
      <c r="G29" s="7">
        <v>16.5</v>
      </c>
      <c r="H29" s="6">
        <v>21</v>
      </c>
      <c r="I29" s="6">
        <v>18</v>
      </c>
      <c r="J29" s="6">
        <v>20</v>
      </c>
      <c r="K29" s="5" t="s"/>
      <c r="L29" s="5" t="s"/>
    </row>
    <row r="30" spans="1:12" ht="18.75">
      <c r="A30" s="4">
        <v>29</v>
      </c>
      <c r="B30" s="4" t="s">
        <v>2679</v>
      </c>
      <c r="C30" s="4">
        <v>2394</v>
      </c>
      <c r="D30" s="4" t="str">
        <f>=VLOOKUP(B30,[2]在校生综合信息查询!$A$407:$C$484,2,0)</f>
        <v>24q710201170</v>
      </c>
      <c r="E30" s="7">
        <v>19</v>
      </c>
      <c r="F30" s="7">
        <v>24</v>
      </c>
      <c r="G30" s="7">
        <v>23</v>
      </c>
      <c r="H30" s="6">
        <v>18</v>
      </c>
      <c r="I30" s="6">
        <v>15</v>
      </c>
      <c r="J30" s="6">
        <v>34</v>
      </c>
      <c r="K30" s="5" t="s"/>
      <c r="L30" s="5" t="s"/>
    </row>
    <row r="31" spans="1:12" ht="18.75">
      <c r="A31" s="4">
        <v>30</v>
      </c>
      <c r="B31" s="4" t="s">
        <v>2681</v>
      </c>
      <c r="C31" s="4">
        <v>2395</v>
      </c>
      <c r="D31" s="4" t="str">
        <f>=VLOOKUP(B31,[2]在校生综合信息查询!$A$407:$C$484,2,0)</f>
        <v>24q710201171</v>
      </c>
      <c r="E31" s="7">
        <v>15</v>
      </c>
      <c r="F31" s="7">
        <v>12</v>
      </c>
      <c r="G31" s="7">
        <v>22.5</v>
      </c>
      <c r="H31" s="6">
        <v>19</v>
      </c>
      <c r="I31" s="6">
        <v>16</v>
      </c>
      <c r="J31" s="6">
        <v>23</v>
      </c>
      <c r="K31" s="5" t="s"/>
      <c r="L31" s="5" t="s"/>
    </row>
    <row r="32" spans="1:12" ht="18.75">
      <c r="A32" s="4">
        <v>31</v>
      </c>
      <c r="B32" s="4" t="s">
        <v>2683</v>
      </c>
      <c r="C32" s="4">
        <v>2396</v>
      </c>
      <c r="D32" s="4" t="str">
        <f>=VLOOKUP(B32,[2]在校生综合信息查询!$A$407:$C$484,2,0)</f>
        <v>24q710201175</v>
      </c>
      <c r="E32" s="7">
        <v>32</v>
      </c>
      <c r="F32" s="7">
        <v>4</v>
      </c>
      <c r="G32" s="7">
        <v>18</v>
      </c>
      <c r="H32" s="6">
        <v>36</v>
      </c>
      <c r="I32" s="6">
        <v>22</v>
      </c>
      <c r="J32" s="6">
        <v>28</v>
      </c>
      <c r="K32" s="5" t="s"/>
      <c r="L32" s="5" t="s"/>
    </row>
    <row r="33" spans="1:12" ht="18.75">
      <c r="A33" s="4">
        <v>32</v>
      </c>
      <c r="B33" s="4" t="s">
        <v>2685</v>
      </c>
      <c r="C33" s="4">
        <v>2437</v>
      </c>
      <c r="D33" s="4" t="str">
        <f>=VLOOKUP(B33,[2]在校生综合信息查询!$A$407:$C$484,2,0)</f>
        <v>20240822</v>
      </c>
      <c r="E33" s="7">
        <v>37</v>
      </c>
      <c r="F33" s="7">
        <v>28</v>
      </c>
      <c r="G33" s="7">
        <v>22.5</v>
      </c>
      <c r="H33" s="6">
        <v>24</v>
      </c>
      <c r="I33" s="6">
        <v>10</v>
      </c>
      <c r="J33" s="6">
        <v>29</v>
      </c>
      <c r="K33" s="5" t="s"/>
      <c r="L33" s="5" t="s"/>
    </row>
    <row r="34" spans="1:12" ht="18.75">
      <c r="A34" s="4">
        <v>33</v>
      </c>
      <c r="B34" s="4" t="s">
        <v>2687</v>
      </c>
      <c r="C34" s="4">
        <v>2439</v>
      </c>
      <c r="D34" s="4" t="str">
        <f>=VLOOKUP(B34,[2]在校生综合信息查询!$A$407:$C$484,2,0)</f>
        <v>24q710201086</v>
      </c>
      <c r="E34" s="4" t="s"/>
      <c r="F34" s="7">
        <v>12</v>
      </c>
      <c r="G34" s="7">
        <v>26.5</v>
      </c>
      <c r="H34" s="6">
        <v>29</v>
      </c>
      <c r="I34" s="6">
        <v>20</v>
      </c>
      <c r="J34" s="6">
        <v>18</v>
      </c>
      <c r="K34" s="5" t="s"/>
      <c r="L34" s="5" t="s"/>
    </row>
    <row r="35" spans="1:12" ht="18.75">
      <c r="A35" s="4">
        <v>34</v>
      </c>
      <c r="B35" s="4" t="s">
        <v>2689</v>
      </c>
      <c r="C35" s="4">
        <v>2397</v>
      </c>
      <c r="D35" s="4" t="str">
        <f>=VLOOKUP(B35,[2]在校生综合信息查询!$A$407:$C$484,2,0)</f>
        <v>24q710201176</v>
      </c>
      <c r="E35" s="7">
        <v>53</v>
      </c>
      <c r="F35" s="7">
        <v>8</v>
      </c>
      <c r="G35" s="7">
        <v>17</v>
      </c>
      <c r="H35" s="6">
        <v>37</v>
      </c>
      <c r="I35" s="6">
        <v>19</v>
      </c>
      <c r="J35" s="6">
        <v>24</v>
      </c>
      <c r="K35" s="5" t="s"/>
      <c r="L35" s="5" t="s"/>
    </row>
    <row r="36" spans="1:10" ht="18.75">
      <c r="A36" s="4">
        <v>35</v>
      </c>
      <c r="B36" s="15" t="s">
        <v>2691</v>
      </c>
      <c r="C36" s="4">
        <v>2403</v>
      </c>
      <c r="D36" s="4" t="str">
        <f>=VLOOKUP(B36,[2]在校生综合信息查询!$A$407:$C$484,2,0)</f>
        <v>24q710201177</v>
      </c>
      <c r="E36" s="7">
        <v>26</v>
      </c>
      <c r="F36" s="7">
        <v>20</v>
      </c>
      <c r="G36" s="7">
        <v>11</v>
      </c>
      <c r="H36" s="6">
        <v>32</v>
      </c>
      <c r="I36" s="6">
        <v>20</v>
      </c>
      <c r="J36" s="6">
        <v>30</v>
      </c>
    </row>
    <row r="37" spans="1:10" ht="18.75">
      <c r="A37" s="4">
        <v>36</v>
      </c>
      <c r="B37" s="15" t="s">
        <v>2693</v>
      </c>
      <c r="C37" s="4">
        <v>2404</v>
      </c>
      <c r="D37" s="4" t="str">
        <f>=VLOOKUP(B37,[2]在校生综合信息查询!$A$407:$C$484,2,0)</f>
        <v>24q7101032866</v>
      </c>
      <c r="E37" s="4" t="s"/>
      <c r="F37" s="4" t="s"/>
      <c r="G37" s="4" t="s"/>
      <c r="H37" s="5" t="s"/>
      <c r="I37" s="5" t="s"/>
      <c r="J37" s="5" t="s"/>
    </row>
    <row r="38" spans="1:10" ht="18.75">
      <c r="A38" s="4">
        <v>37</v>
      </c>
      <c r="B38" s="15" t="s">
        <v>2695</v>
      </c>
      <c r="C38" s="4">
        <v>2405</v>
      </c>
      <c r="D38" s="4" t="str">
        <f>=VLOOKUP(B38,[2]在校生综合信息查询!$A$407:$C$484,2,0)</f>
        <v>24q710201040</v>
      </c>
      <c r="E38" s="7">
        <v>10</v>
      </c>
      <c r="F38" s="7">
        <v>20</v>
      </c>
      <c r="G38" s="7">
        <v>24</v>
      </c>
      <c r="H38" s="5" t="s"/>
      <c r="I38" s="5" t="s"/>
      <c r="J38" s="5" t="s"/>
    </row>
    <row r="39" spans="1:10" ht="18.75">
      <c r="A39" s="4">
        <v>38</v>
      </c>
      <c r="B39" s="15" t="s">
        <v>2697</v>
      </c>
      <c r="C39" s="4">
        <v>2432</v>
      </c>
      <c r="D39" s="4" t="str">
        <f>=VLOOKUP(B39,[2]在校生综合信息查询!$A$407:$C$484,2,0)</f>
        <v>24q710201179</v>
      </c>
      <c r="E39" s="7">
        <v>27</v>
      </c>
      <c r="F39" s="7">
        <v>16</v>
      </c>
      <c r="G39" s="7">
        <v>40.5</v>
      </c>
      <c r="H39" s="6">
        <v>12</v>
      </c>
      <c r="I39" s="6">
        <v>6</v>
      </c>
      <c r="J39" s="6">
        <v>28</v>
      </c>
    </row>
    <row r="40" spans="1:10" ht="18.75">
      <c r="A40" s="4">
        <v>39</v>
      </c>
      <c r="B40" s="15" t="s">
        <v>2699</v>
      </c>
      <c r="C40" s="4">
        <v>2406</v>
      </c>
      <c r="D40" s="4" t="str">
        <f>=VLOOKUP(B40,[2]在校生综合信息查询!$A$407:$C$484,2,0)</f>
        <v>24q710201088</v>
      </c>
      <c r="E40" s="7">
        <v>33</v>
      </c>
      <c r="F40" s="7">
        <v>18</v>
      </c>
      <c r="G40" s="7">
        <v>45</v>
      </c>
      <c r="H40" s="6">
        <v>41</v>
      </c>
      <c r="I40" s="6">
        <v>30</v>
      </c>
      <c r="J40" s="6">
        <v>48</v>
      </c>
    </row>
    <row r="41" spans="1:10" ht="18.75">
      <c r="A41" s="4">
        <v>40</v>
      </c>
      <c r="B41" s="15" t="s">
        <v>2701</v>
      </c>
      <c r="C41" s="4">
        <v>2429</v>
      </c>
      <c r="D41" s="4" t="str">
        <f>=VLOOKUP(B41,[2]在校生综合信息查询!$A$407:$C$484,2,0)</f>
        <v>24q710201181</v>
      </c>
      <c r="E41" s="7">
        <v>33</v>
      </c>
      <c r="F41" s="7">
        <v>24</v>
      </c>
      <c r="G41" s="7">
        <v>22.5</v>
      </c>
      <c r="H41" s="6">
        <v>37</v>
      </c>
      <c r="I41" s="6">
        <v>23</v>
      </c>
      <c r="J41" s="6">
        <v>25</v>
      </c>
    </row>
    <row r="42" spans="1:10" ht="18.75">
      <c r="A42" s="4">
        <v>41</v>
      </c>
      <c r="B42" s="15" t="s">
        <v>2703</v>
      </c>
      <c r="C42" s="4">
        <v>2407</v>
      </c>
      <c r="D42" s="4" t="str">
        <f>=VLOOKUP(B42,[2]在校生综合信息查询!$A$407:$C$484,2,0)</f>
        <v>24q710201182</v>
      </c>
      <c r="E42" s="7">
        <v>25</v>
      </c>
      <c r="F42" s="7">
        <v>12</v>
      </c>
      <c r="G42" s="7">
        <v>19</v>
      </c>
      <c r="H42" s="6">
        <v>29</v>
      </c>
      <c r="I42" s="6">
        <v>21</v>
      </c>
      <c r="J42" s="6">
        <v>31</v>
      </c>
    </row>
    <row r="43" spans="1:10" ht="18.75">
      <c r="A43" s="4">
        <v>42</v>
      </c>
      <c r="B43" s="15" t="s">
        <v>2705</v>
      </c>
      <c r="C43" s="4">
        <v>2408</v>
      </c>
      <c r="D43" s="4" t="str">
        <f>=VLOOKUP(B43,[2]在校生综合信息查询!$A$407:$C$484,2,0)</f>
        <v>20240722</v>
      </c>
      <c r="E43" s="7">
        <v>26</v>
      </c>
      <c r="F43" s="7">
        <v>16</v>
      </c>
      <c r="G43" s="7">
        <v>25</v>
      </c>
      <c r="H43" s="6">
        <v>21</v>
      </c>
      <c r="I43" s="6">
        <v>23</v>
      </c>
      <c r="J43" s="6">
        <v>16</v>
      </c>
    </row>
    <row r="44" spans="1:10" ht="18.75">
      <c r="A44" s="4">
        <v>43</v>
      </c>
      <c r="B44" s="15" t="s">
        <v>2707</v>
      </c>
      <c r="C44" s="4">
        <v>2409</v>
      </c>
      <c r="D44" s="4" t="str">
        <f>=VLOOKUP(B44,[2]在校生综合信息查询!$A$407:$C$484,2,0)</f>
        <v>24q710201183</v>
      </c>
      <c r="E44" s="7">
        <v>21</v>
      </c>
      <c r="F44" s="7">
        <v>16</v>
      </c>
      <c r="G44" s="7">
        <v>20</v>
      </c>
      <c r="H44" s="6">
        <v>18</v>
      </c>
      <c r="I44" s="6">
        <v>30</v>
      </c>
      <c r="J44" s="6">
        <v>18</v>
      </c>
    </row>
    <row r="45" spans="1:10" ht="18.75">
      <c r="A45" s="4">
        <v>44</v>
      </c>
      <c r="B45" s="15" t="s">
        <v>2709</v>
      </c>
      <c r="C45" s="4">
        <v>2410</v>
      </c>
      <c r="D45" s="4" t="str">
        <f>=VLOOKUP(B45,[2]在校生综合信息查询!$A$407:$C$484,2,0)</f>
        <v>24q710201184</v>
      </c>
      <c r="E45" s="7">
        <v>23</v>
      </c>
      <c r="F45" s="4" t="s"/>
      <c r="G45" s="7">
        <v>30.5</v>
      </c>
      <c r="H45" s="6">
        <v>22</v>
      </c>
      <c r="I45" s="6">
        <v>26</v>
      </c>
      <c r="J45" s="6">
        <v>22</v>
      </c>
    </row>
    <row r="46" spans="1:10" ht="18.75">
      <c r="A46" s="4">
        <v>45</v>
      </c>
      <c r="B46" s="15" t="s">
        <v>2711</v>
      </c>
      <c r="C46" s="4">
        <v>2411</v>
      </c>
      <c r="D46" s="4" t="str">
        <f>=VLOOKUP(B46,[2]在校生综合信息查询!$A$407:$C$484,2,0)</f>
        <v>24q710201185</v>
      </c>
      <c r="E46" s="7">
        <v>20</v>
      </c>
      <c r="F46" s="7">
        <v>24</v>
      </c>
      <c r="G46" s="7">
        <v>47</v>
      </c>
      <c r="H46" s="6">
        <v>28</v>
      </c>
      <c r="I46" s="6">
        <v>19</v>
      </c>
      <c r="J46" s="6">
        <v>24</v>
      </c>
    </row>
    <row r="47" spans="1:10" ht="18.75">
      <c r="A47" s="4">
        <v>46</v>
      </c>
      <c r="B47" s="15" t="s">
        <v>2713</v>
      </c>
      <c r="C47" s="4">
        <v>2412</v>
      </c>
      <c r="D47" s="4" t="str">
        <f>=VLOOKUP(B47,[2]在校生综合信息查询!$A$407:$C$484,2,0)</f>
        <v>24q710201186</v>
      </c>
      <c r="E47" s="7">
        <v>27</v>
      </c>
      <c r="F47" s="7">
        <v>16</v>
      </c>
      <c r="G47" s="7">
        <v>25</v>
      </c>
      <c r="H47" s="6">
        <v>21</v>
      </c>
      <c r="I47" s="6">
        <v>14</v>
      </c>
      <c r="J47" s="6">
        <v>33</v>
      </c>
    </row>
    <row r="48" spans="1:10" ht="18.75">
      <c r="A48" s="4">
        <v>47</v>
      </c>
      <c r="B48" s="15" t="s">
        <v>2715</v>
      </c>
      <c r="C48" s="4">
        <v>2413</v>
      </c>
      <c r="D48" s="4" t="str">
        <f>=VLOOKUP(B48,[2]在校生综合信息查询!$A$407:$C$484,2,0)</f>
        <v>24q710201096</v>
      </c>
      <c r="E48" s="7">
        <v>23</v>
      </c>
      <c r="F48" s="7">
        <v>44</v>
      </c>
      <c r="G48" s="7">
        <v>27</v>
      </c>
      <c r="H48" s="6">
        <v>24</v>
      </c>
      <c r="I48" s="6">
        <v>23</v>
      </c>
      <c r="J48" s="6">
        <v>12</v>
      </c>
    </row>
    <row r="49" spans="1:10" ht="18.75">
      <c r="A49" s="4">
        <v>48</v>
      </c>
      <c r="B49" s="15" t="s">
        <v>2717</v>
      </c>
      <c r="C49" s="4">
        <v>2414</v>
      </c>
      <c r="D49" s="4" t="str">
        <f>=VLOOKUP(B49,[2]在校生综合信息查询!$A$407:$C$484,2,0)</f>
        <v>24q710201187</v>
      </c>
      <c r="E49" s="7">
        <v>39</v>
      </c>
      <c r="F49" s="7">
        <v>40</v>
      </c>
      <c r="G49" s="7">
        <v>45.5</v>
      </c>
      <c r="H49" s="6">
        <v>41</v>
      </c>
      <c r="I49" s="6">
        <v>32</v>
      </c>
      <c r="J49" s="6">
        <v>32</v>
      </c>
    </row>
    <row r="50" spans="1:10" ht="18.75">
      <c r="A50" s="4">
        <v>49</v>
      </c>
      <c r="B50" s="15" t="s">
        <v>2719</v>
      </c>
      <c r="C50" s="4">
        <v>2415</v>
      </c>
      <c r="D50" s="4" t="str">
        <f>=VLOOKUP(B50,[2]在校生综合信息查询!$A$407:$C$484,2,0)</f>
        <v>24q7102011411</v>
      </c>
      <c r="E50" s="7">
        <v>15</v>
      </c>
      <c r="F50" s="7">
        <v>8</v>
      </c>
      <c r="G50" s="7">
        <v>18.5</v>
      </c>
      <c r="H50" s="6">
        <v>18</v>
      </c>
      <c r="I50" s="6">
        <v>18</v>
      </c>
      <c r="J50" s="6">
        <v>29</v>
      </c>
    </row>
    <row r="51" spans="1:10" ht="18.75">
      <c r="A51" s="4">
        <v>50</v>
      </c>
      <c r="B51" s="15" t="s">
        <v>2721</v>
      </c>
      <c r="C51" s="4">
        <v>2447</v>
      </c>
      <c r="D51" s="4" t="str">
        <f>=VLOOKUP(B51,[2]在校生综合信息查询!$A$407:$C$484,2,0)</f>
        <v>24q710201188</v>
      </c>
      <c r="E51" s="7">
        <v>23</v>
      </c>
      <c r="F51" s="7">
        <v>12</v>
      </c>
      <c r="G51" s="7">
        <v>22.5</v>
      </c>
      <c r="H51" s="6">
        <v>22</v>
      </c>
      <c r="I51" s="6">
        <v>6</v>
      </c>
      <c r="J51" s="6">
        <v>20</v>
      </c>
    </row>
    <row r="52" spans="1:10" ht="18.75">
      <c r="A52" s="4">
        <v>51</v>
      </c>
      <c r="B52" s="15" t="s">
        <v>2723</v>
      </c>
      <c r="C52" s="4">
        <v>2443</v>
      </c>
      <c r="D52" s="4" t="str">
        <f>=VLOOKUP(B52,[2]在校生综合信息查询!$A$407:$C$484,2,0)</f>
        <v>24q710201189</v>
      </c>
      <c r="E52" s="7">
        <v>23</v>
      </c>
      <c r="F52" s="7">
        <v>24</v>
      </c>
      <c r="G52" s="7">
        <v>17.5</v>
      </c>
      <c r="H52" s="6">
        <v>22</v>
      </c>
      <c r="I52" s="6">
        <v>25</v>
      </c>
      <c r="J52" s="6">
        <v>22</v>
      </c>
    </row>
    <row r="53" spans="1:10" ht="18.75">
      <c r="A53" s="4">
        <v>52</v>
      </c>
      <c r="B53" s="15" t="s">
        <v>2725</v>
      </c>
      <c r="C53" s="4">
        <v>2442</v>
      </c>
      <c r="D53" s="4" t="str">
        <f>=VLOOKUP(B53,[2]在校生综合信息查询!$A$407:$C$484,2,0)</f>
        <v>24q710201190</v>
      </c>
      <c r="E53" s="7">
        <v>44</v>
      </c>
      <c r="F53" s="7">
        <v>20</v>
      </c>
      <c r="G53" s="7">
        <v>41.5</v>
      </c>
      <c r="H53" s="6">
        <v>44</v>
      </c>
      <c r="I53" s="6">
        <v>32</v>
      </c>
      <c r="J53" s="6">
        <v>39</v>
      </c>
    </row>
    <row r="54" spans="1:10" ht="18.75">
      <c r="A54" s="4">
        <v>53</v>
      </c>
      <c r="B54" s="15" t="s">
        <v>2727</v>
      </c>
      <c r="C54" s="4">
        <v>2416</v>
      </c>
      <c r="D54" s="4" t="str">
        <f>=VLOOKUP(B54,[2]在校生综合信息查询!$A$407:$C$484,2,0)</f>
        <v>24q710201192</v>
      </c>
      <c r="E54" s="7">
        <v>6</v>
      </c>
      <c r="F54" s="7">
        <v>16</v>
      </c>
      <c r="G54" s="12">
        <v>21</v>
      </c>
      <c r="H54" s="6">
        <v>27</v>
      </c>
      <c r="I54" s="6">
        <v>14</v>
      </c>
      <c r="J54" s="6">
        <v>34</v>
      </c>
    </row>
    <row r="55" spans="1:10" ht="18.75">
      <c r="A55" s="4">
        <v>54</v>
      </c>
      <c r="B55" s="15" t="s">
        <v>2729</v>
      </c>
      <c r="C55" s="4">
        <v>2417</v>
      </c>
      <c r="D55" s="4" t="str">
        <f>=VLOOKUP(B55,[2]在校生综合信息查询!$A$407:$C$484,2,0)</f>
        <v>24q710201193</v>
      </c>
      <c r="E55" s="7">
        <v>46</v>
      </c>
      <c r="F55" s="7">
        <v>28</v>
      </c>
      <c r="G55" s="7">
        <v>32</v>
      </c>
      <c r="H55" s="6">
        <v>67</v>
      </c>
      <c r="I55" s="6">
        <v>20</v>
      </c>
      <c r="J55" s="6">
        <v>26</v>
      </c>
    </row>
    <row r="56" spans="1:10" ht="18.75">
      <c r="A56" s="4">
        <v>55</v>
      </c>
      <c r="B56" s="15" t="s">
        <v>2731</v>
      </c>
      <c r="C56" s="4">
        <v>2418</v>
      </c>
      <c r="D56" s="4" t="str">
        <f>=VLOOKUP(B56,[2]在校生综合信息查询!$A$407:$C$484,2,0)</f>
        <v>24q710201194</v>
      </c>
      <c r="E56" s="4" t="s"/>
      <c r="F56" s="4" t="s"/>
      <c r="G56" s="4" t="s"/>
      <c r="H56" s="5" t="s"/>
      <c r="I56" s="5" t="s"/>
      <c r="J56" s="5" t="s"/>
    </row>
    <row r="57" spans="1:10" ht="18.75">
      <c r="A57" s="4">
        <v>56</v>
      </c>
      <c r="B57" s="15" t="s">
        <v>2733</v>
      </c>
      <c r="C57" s="4">
        <v>2419</v>
      </c>
      <c r="D57" s="4" t="str">
        <f>=VLOOKUP(B57,[2]在校生综合信息查询!$A$407:$C$484,2,0)</f>
        <v>24q710201195</v>
      </c>
      <c r="E57" s="7">
        <v>19</v>
      </c>
      <c r="F57" s="7">
        <v>58</v>
      </c>
      <c r="G57" s="12">
        <v>21</v>
      </c>
      <c r="H57" s="6">
        <v>54</v>
      </c>
      <c r="I57" s="6">
        <v>20</v>
      </c>
      <c r="J57" s="6">
        <v>21</v>
      </c>
    </row>
    <row r="58" spans="1:10" ht="18.75">
      <c r="A58" s="4">
        <v>57</v>
      </c>
      <c r="B58" s="15" t="s">
        <v>2735</v>
      </c>
      <c r="C58" s="4">
        <v>2431</v>
      </c>
      <c r="D58" s="4" t="str">
        <f>=VLOOKUP(B58,[2]在校生综合信息查询!$A$407:$C$484,2,0)</f>
        <v>24q710201196</v>
      </c>
      <c r="E58" s="7">
        <v>6</v>
      </c>
      <c r="F58" s="7">
        <v>12</v>
      </c>
      <c r="G58" s="7">
        <v>27.5</v>
      </c>
      <c r="H58" s="6">
        <v>24</v>
      </c>
      <c r="I58" s="6">
        <v>16</v>
      </c>
      <c r="J58" s="6">
        <v>18</v>
      </c>
    </row>
    <row r="59" spans="1:10" ht="18.75">
      <c r="A59" s="4">
        <v>58</v>
      </c>
      <c r="B59" s="15" t="s">
        <v>2737</v>
      </c>
      <c r="C59" s="4">
        <v>2433</v>
      </c>
      <c r="D59" s="4" t="str">
        <f>=VLOOKUP(B59,[2]在校生综合信息查询!$A$407:$C$484,2,0)</f>
        <v>24q710201198</v>
      </c>
      <c r="E59" s="12">
        <v>2</v>
      </c>
      <c r="F59" s="7">
        <v>12</v>
      </c>
      <c r="G59" s="7">
        <v>15.5</v>
      </c>
      <c r="H59" s="6">
        <v>18</v>
      </c>
      <c r="I59" s="6">
        <v>23</v>
      </c>
      <c r="J59" s="6">
        <v>14</v>
      </c>
    </row>
    <row r="60" spans="1:10" ht="18.75">
      <c r="A60" s="4">
        <v>59</v>
      </c>
      <c r="B60" s="15" t="s">
        <v>2739</v>
      </c>
      <c r="C60" s="4">
        <v>2420</v>
      </c>
      <c r="D60" s="4" t="e">
        <f>=VLOOKUP(B60,[2]在校生综合信息查询!$A$407:$C$484,2,0)</f>
        <v>#N/A</v>
      </c>
      <c r="E60" s="7">
        <v>44</v>
      </c>
      <c r="F60" s="7">
        <v>36</v>
      </c>
      <c r="G60" s="7">
        <v>50</v>
      </c>
      <c r="H60" s="6">
        <v>53</v>
      </c>
      <c r="I60" s="6">
        <v>34</v>
      </c>
      <c r="J60" s="6">
        <v>44</v>
      </c>
    </row>
    <row r="61" spans="1:10" ht="18.75">
      <c r="A61" s="4">
        <v>60</v>
      </c>
      <c r="B61" s="15" t="s">
        <v>2740</v>
      </c>
      <c r="C61" s="4">
        <v>2421</v>
      </c>
      <c r="D61" s="4" t="str">
        <f>=VLOOKUP(B61,[2]在校生综合信息查询!$A$407:$C$484,2,0)</f>
        <v>20240927</v>
      </c>
      <c r="E61" s="7">
        <v>36</v>
      </c>
      <c r="F61" s="7">
        <v>16</v>
      </c>
      <c r="G61" s="7">
        <v>22.5</v>
      </c>
      <c r="H61" s="6">
        <v>25</v>
      </c>
      <c r="I61" s="6">
        <v>29</v>
      </c>
      <c r="J61" s="6">
        <v>28</v>
      </c>
    </row>
    <row r="62" spans="1:10" ht="18.75">
      <c r="A62" s="4">
        <v>61</v>
      </c>
      <c r="B62" s="15" t="s">
        <v>2742</v>
      </c>
      <c r="C62" s="4">
        <v>2422</v>
      </c>
      <c r="D62" s="4" t="str">
        <f>=VLOOKUP(B62,[2]在校生综合信息查询!$A$407:$C$484,2,0)</f>
        <v>20240426</v>
      </c>
      <c r="E62" s="7">
        <v>7</v>
      </c>
      <c r="F62" s="7">
        <v>20</v>
      </c>
      <c r="G62" s="7">
        <v>24.5</v>
      </c>
      <c r="H62" s="6">
        <v>12</v>
      </c>
      <c r="I62" s="6">
        <v>16</v>
      </c>
      <c r="J62" s="6">
        <v>10</v>
      </c>
    </row>
    <row r="63" spans="1:10" ht="18.75">
      <c r="A63" s="4">
        <v>62</v>
      </c>
      <c r="B63" s="15" t="s">
        <v>2744</v>
      </c>
      <c r="C63" s="4">
        <v>2434</v>
      </c>
      <c r="D63" s="4" t="str">
        <f>=VLOOKUP(B63,[2]在校生综合信息查询!$A$407:$C$484,2,0)</f>
        <v>24q710201202</v>
      </c>
      <c r="E63" s="7">
        <v>9</v>
      </c>
      <c r="F63" s="7">
        <v>32</v>
      </c>
      <c r="G63" s="7">
        <v>25</v>
      </c>
      <c r="H63" s="6">
        <v>16</v>
      </c>
      <c r="I63" s="6">
        <v>16</v>
      </c>
      <c r="J63" s="6">
        <v>16</v>
      </c>
    </row>
    <row r="64" spans="1:10" ht="18.75">
      <c r="A64" s="4">
        <v>63</v>
      </c>
      <c r="B64" s="15" t="s">
        <v>2746</v>
      </c>
      <c r="C64" s="4">
        <v>2423</v>
      </c>
      <c r="D64" s="4" t="str">
        <f>=VLOOKUP(B64,[2]在校生综合信息查询!$A$407:$C$484,2,0)</f>
        <v>24q710201203</v>
      </c>
      <c r="E64" s="7">
        <v>23</v>
      </c>
      <c r="F64" s="7">
        <v>44</v>
      </c>
      <c r="G64" s="7">
        <v>19.5</v>
      </c>
      <c r="H64" s="6">
        <v>38</v>
      </c>
      <c r="I64" s="6">
        <v>41</v>
      </c>
      <c r="J64" s="6">
        <v>33</v>
      </c>
    </row>
    <row r="65" spans="1:10" ht="18.75">
      <c r="A65" s="4">
        <v>64</v>
      </c>
      <c r="B65" s="15" t="s">
        <v>2748</v>
      </c>
      <c r="C65" s="4">
        <v>2424</v>
      </c>
      <c r="D65" s="4" t="str">
        <f>=VLOOKUP(B65,[2]在校生综合信息查询!$A$407:$C$484,2,0)</f>
        <v>24q710201204</v>
      </c>
      <c r="E65" s="4" t="s"/>
      <c r="F65" s="7">
        <v>60</v>
      </c>
      <c r="G65" s="7">
        <v>23.5</v>
      </c>
      <c r="H65" s="6">
        <v>50</v>
      </c>
      <c r="I65" s="6">
        <v>43</v>
      </c>
      <c r="J65" s="6">
        <v>36</v>
      </c>
    </row>
    <row r="66" spans="1:10" ht="18.75">
      <c r="A66" s="4">
        <v>65</v>
      </c>
      <c r="B66" s="4" t="s">
        <v>2750</v>
      </c>
      <c r="C66" s="4">
        <v>2425</v>
      </c>
      <c r="D66" s="4" t="str">
        <f>=VLOOKUP(B66,[2]在校生综合信息查询!$A$407:$C$484,2,0)</f>
        <v>24q710201206</v>
      </c>
      <c r="E66" s="4" t="s"/>
      <c r="F66" s="4" t="s"/>
      <c r="G66" s="4" t="s"/>
      <c r="H66" s="5" t="s"/>
      <c r="I66" s="5" t="s"/>
      <c r="J66" s="5" t="s"/>
    </row>
    <row r="67" spans="1:10" ht="18.75">
      <c r="A67" s="4">
        <v>66</v>
      </c>
      <c r="B67" s="4" t="s">
        <v>2752</v>
      </c>
      <c r="C67" s="4">
        <v>2426</v>
      </c>
      <c r="D67" s="4" t="str">
        <f>=VLOOKUP(B67,[2]在校生综合信息查询!$A$407:$C$484,2,0)</f>
        <v>24q710103286191</v>
      </c>
      <c r="E67" s="4" t="s"/>
      <c r="F67" s="4" t="s"/>
      <c r="G67" s="4" t="s"/>
      <c r="H67" s="5" t="s"/>
      <c r="I67" s="5" t="s"/>
      <c r="J67" s="5" t="s"/>
    </row>
    <row r="68" spans="1:10" ht="18.75">
      <c r="A68" s="4">
        <v>67</v>
      </c>
      <c r="B68" s="4" t="s">
        <v>2754</v>
      </c>
      <c r="C68" s="4">
        <v>2427</v>
      </c>
      <c r="D68" s="4" t="str">
        <f>=VLOOKUP(B68,[2]在校生综合信息查询!$A$407:$C$484,2,0)</f>
        <v>24q710201112</v>
      </c>
      <c r="E68" s="7">
        <v>8</v>
      </c>
      <c r="F68" s="7">
        <v>12</v>
      </c>
      <c r="G68" s="7">
        <v>44.5</v>
      </c>
      <c r="H68" s="6">
        <v>37</v>
      </c>
      <c r="I68" s="6">
        <v>22</v>
      </c>
      <c r="J68" s="6">
        <v>26</v>
      </c>
    </row>
    <row r="69" spans="1:10" ht="18.75">
      <c r="A69" s="4">
        <v>68</v>
      </c>
      <c r="B69" s="4" t="s">
        <v>2756</v>
      </c>
      <c r="C69" s="4" t="s"/>
      <c r="D69" s="4" t="str">
        <f>=VLOOKUP(B69,[2]在校生综合信息查询!$A$407:$C$484,2,0)</f>
        <v>24q710201207</v>
      </c>
      <c r="E69" s="7">
        <v>11</v>
      </c>
      <c r="F69" s="7">
        <v>24</v>
      </c>
      <c r="G69" s="7">
        <v>27.5</v>
      </c>
      <c r="H69" s="6">
        <v>25</v>
      </c>
      <c r="I69" s="6">
        <v>20</v>
      </c>
      <c r="J69" s="6">
        <v>26</v>
      </c>
    </row>
    <row r="70" spans="1:10" ht="18.75">
      <c r="A70" s="4">
        <v>69</v>
      </c>
      <c r="B70" s="4" t="s">
        <v>2758</v>
      </c>
      <c r="C70" s="4" t="s"/>
      <c r="D70" s="4" t="str">
        <f>=VLOOKUP(B70,[2]在校生综合信息查询!$A$407:$C$484,2,0)</f>
        <v>24q710201208</v>
      </c>
      <c r="E70" s="7">
        <v>25</v>
      </c>
      <c r="F70" s="7">
        <v>32</v>
      </c>
      <c r="G70" s="7">
        <v>22.5</v>
      </c>
      <c r="H70" s="6">
        <v>54</v>
      </c>
      <c r="I70" s="6">
        <v>22</v>
      </c>
      <c r="J70" s="6">
        <v>24</v>
      </c>
    </row>
    <row r="71" spans="1:10" ht="18.75">
      <c r="A71" s="4">
        <v>70</v>
      </c>
      <c r="B71" s="4" t="s">
        <v>2760</v>
      </c>
      <c r="C71" s="4" t="s"/>
      <c r="D71" s="4" t="str">
        <f>=VLOOKUP(B71,[2]在校生综合信息查询!$A$407:$C$484,2,0)</f>
        <v>24q710201209</v>
      </c>
      <c r="E71" s="7">
        <v>37</v>
      </c>
      <c r="F71" s="7">
        <v>16</v>
      </c>
      <c r="G71" s="7">
        <v>26</v>
      </c>
      <c r="H71" s="6">
        <v>34</v>
      </c>
      <c r="I71" s="6">
        <v>22</v>
      </c>
      <c r="J71" s="6">
        <v>22</v>
      </c>
    </row>
    <row r="72" spans="1:10" ht="18.75">
      <c r="A72" s="4">
        <v>71</v>
      </c>
      <c r="B72" s="4" t="s">
        <v>2762</v>
      </c>
      <c r="C72" s="4" t="s"/>
      <c r="D72" s="4" t="str">
        <f>=VLOOKUP(B72,[2]在校生综合信息查询!$A$407:$C$484,2,0)</f>
        <v>24q71010328618</v>
      </c>
      <c r="E72" s="7">
        <v>53</v>
      </c>
      <c r="F72" s="7">
        <v>60</v>
      </c>
      <c r="G72" s="7">
        <v>45</v>
      </c>
      <c r="H72" s="6">
        <v>49</v>
      </c>
      <c r="I72" s="6">
        <v>29</v>
      </c>
      <c r="J72" s="6">
        <v>39</v>
      </c>
    </row>
    <row r="73" spans="1:10" ht="18.75">
      <c r="A73" s="4">
        <v>72</v>
      </c>
      <c r="B73" s="4" t="s">
        <v>2764</v>
      </c>
      <c r="C73" s="4" t="s"/>
      <c r="D73" s="4" t="str">
        <f>=VLOOKUP(B73,[2]在校生综合信息查询!$A$407:$C$484,2,0)</f>
        <v>24q710201211</v>
      </c>
      <c r="E73" s="7">
        <v>8</v>
      </c>
      <c r="F73" s="7">
        <v>16</v>
      </c>
      <c r="G73" s="7">
        <v>19.5</v>
      </c>
      <c r="H73" s="6">
        <v>24</v>
      </c>
      <c r="I73" s="6">
        <v>29</v>
      </c>
      <c r="J73" s="6">
        <v>23</v>
      </c>
    </row>
    <row r="74" spans="1:10" ht="18.75">
      <c r="A74" s="4">
        <v>73</v>
      </c>
      <c r="B74" s="4" t="s">
        <v>2766</v>
      </c>
      <c r="C74" s="4" t="s"/>
      <c r="D74" s="4" t="str">
        <f>=VLOOKUP(B74,[2]在校生综合信息查询!$A$407:$C$484,2,0)</f>
        <v>24q710201212</v>
      </c>
      <c r="E74" s="7">
        <v>23</v>
      </c>
      <c r="F74" s="7">
        <v>16</v>
      </c>
      <c r="G74" s="7">
        <v>11.5</v>
      </c>
      <c r="H74" s="6">
        <v>30</v>
      </c>
      <c r="I74" s="6">
        <v>21</v>
      </c>
      <c r="J74" s="6">
        <v>24</v>
      </c>
    </row>
    <row r="75" spans="1:10" ht="18.75">
      <c r="A75" s="4">
        <v>74</v>
      </c>
      <c r="B75" s="4" t="s">
        <v>2768</v>
      </c>
      <c r="C75" s="4" t="s"/>
      <c r="D75" s="4" t="str">
        <f>=VLOOKUP(B75,[2]在校生综合信息查询!$A$407:$C$484,2,0)</f>
        <v>24q710201213</v>
      </c>
      <c r="E75" s="7">
        <v>46</v>
      </c>
      <c r="F75" s="7">
        <v>20</v>
      </c>
      <c r="G75" s="7">
        <v>23</v>
      </c>
      <c r="H75" s="6">
        <v>68</v>
      </c>
      <c r="I75" s="6">
        <v>46</v>
      </c>
      <c r="J75" s="6">
        <v>52</v>
      </c>
    </row>
    <row r="76" spans="1:10" ht="18.75">
      <c r="A76" s="4">
        <v>75</v>
      </c>
      <c r="B76" s="4" t="s">
        <v>2770</v>
      </c>
      <c r="C76" s="4" t="s"/>
      <c r="D76" s="4" t="str">
        <f>=VLOOKUP(B76,[2]在校生综合信息查询!$A$407:$C$484,2,0)</f>
        <v>24q710201214</v>
      </c>
      <c r="E76" s="7">
        <v>11</v>
      </c>
      <c r="F76" s="7">
        <v>24</v>
      </c>
      <c r="G76" s="7">
        <v>22.5</v>
      </c>
      <c r="H76" s="6">
        <v>30</v>
      </c>
      <c r="I76" s="6">
        <v>23</v>
      </c>
      <c r="J76" s="6">
        <v>23</v>
      </c>
    </row>
    <row r="77" spans="1:10" ht="18.75">
      <c r="A77" s="4">
        <v>76</v>
      </c>
      <c r="B77" s="4" t="s">
        <v>2772</v>
      </c>
      <c r="C77" s="4" t="s"/>
      <c r="D77" s="4" t="str">
        <f>=VLOOKUP(B77,[2]在校生综合信息查询!$A$407:$C$484,2,0)</f>
        <v>24q710201215</v>
      </c>
      <c r="E77" s="4" t="s"/>
      <c r="F77" s="4" t="s"/>
      <c r="G77" s="4" t="s"/>
      <c r="H77" s="5" t="s"/>
      <c r="I77" s="5" t="s"/>
      <c r="J77" s="5" t="s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/>
  <dimension ref="L41"/>
  <sheetViews>
    <sheetView showGridLines="1" topLeftCell="A34" workbookViewId="0"/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17.375" style="123" customWidth="1"/>
    <col min="5" max="5" width="8.08984" style="123" customWidth="1"/>
    <col min="6" max="7" width="8.75" style="123"/>
    <col min="8" max="8" width="18.375" customWidth="1"/>
    <col min="9" max="9" width="22.625" customWidth="1"/>
    <col min="10" max="10" width="22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857</v>
      </c>
      <c r="I1" s="5" t="s">
        <v>2622</v>
      </c>
      <c r="J1" s="5" t="s">
        <v>858</v>
      </c>
      <c r="K1" s="5" t="s">
        <v>11</v>
      </c>
      <c r="L1" s="5" t="s">
        <v>12</v>
      </c>
    </row>
    <row r="2" spans="1:12" ht="18.75">
      <c r="A2" s="4">
        <v>1</v>
      </c>
      <c r="B2" s="4" t="s">
        <v>2774</v>
      </c>
      <c r="C2" s="4">
        <v>2332</v>
      </c>
      <c r="D2" s="4" t="str">
        <f>=VLOOKUP(B2,[2]在校生综合信息查询!$A$485:$C$524,2,0)</f>
        <v>24q710201001</v>
      </c>
      <c r="E2" s="12">
        <v>56</v>
      </c>
      <c r="F2" s="12">
        <v>131</v>
      </c>
      <c r="G2" s="12">
        <v>50</v>
      </c>
      <c r="H2" s="6">
        <v>74</v>
      </c>
      <c r="I2" s="6">
        <v>78</v>
      </c>
      <c r="J2" s="92">
        <v>62</v>
      </c>
      <c r="K2" s="5">
        <f>=SUM(E2:J2)</f>
        <v>451</v>
      </c>
      <c r="L2" s="5">
        <f>=RANK(K2,$K$2:$K$45,0)</f>
        <v>2</v>
      </c>
    </row>
    <row r="3" spans="1:12" ht="18.75">
      <c r="A3" s="4">
        <v>2</v>
      </c>
      <c r="B3" s="4" t="s">
        <v>2776</v>
      </c>
      <c r="C3" s="4">
        <v>2333</v>
      </c>
      <c r="D3" s="4" t="str">
        <f>=VLOOKUP(B3,[2]在校生综合信息查询!$A$485:$C$524,2,0)</f>
        <v>24q710201003</v>
      </c>
      <c r="E3" s="12">
        <v>58</v>
      </c>
      <c r="F3" s="12">
        <v>56</v>
      </c>
      <c r="G3" s="12">
        <v>56.5</v>
      </c>
      <c r="H3" s="6">
        <v>36</v>
      </c>
      <c r="I3" s="6">
        <v>44</v>
      </c>
      <c r="J3" s="93">
        <v>38</v>
      </c>
      <c r="K3" s="5">
        <f>=SUM(E3:J3)</f>
        <v>288.5</v>
      </c>
      <c r="L3" s="5">
        <f>=RANK(K3,$K$2:$K$45,0)</f>
        <v>33</v>
      </c>
    </row>
    <row r="4" spans="1:12" ht="18.75">
      <c r="A4" s="4">
        <v>3</v>
      </c>
      <c r="B4" s="4" t="s">
        <v>2778</v>
      </c>
      <c r="C4" s="4">
        <v>2334</v>
      </c>
      <c r="D4" s="4" t="str">
        <f>=VLOOKUP(B4,[2]在校生综合信息查询!$A$485:$C$524,2,0)</f>
        <v>24q710201004</v>
      </c>
      <c r="E4" s="12">
        <v>59</v>
      </c>
      <c r="F4" s="12">
        <v>72</v>
      </c>
      <c r="G4" s="12">
        <v>44</v>
      </c>
      <c r="H4" s="6">
        <v>37</v>
      </c>
      <c r="I4" s="6">
        <v>20</v>
      </c>
      <c r="J4" s="93">
        <v>31</v>
      </c>
      <c r="K4" s="5">
        <f>=SUM(E4:J4)</f>
        <v>263</v>
      </c>
      <c r="L4" s="5">
        <f>=RANK(K4,$K$2:$K$45,0)</f>
        <v>36</v>
      </c>
    </row>
    <row r="5" spans="1:12" ht="18.75">
      <c r="A5" s="4">
        <v>4</v>
      </c>
      <c r="B5" s="4" t="s">
        <v>2780</v>
      </c>
      <c r="C5" s="4">
        <v>2335</v>
      </c>
      <c r="D5" s="4" t="str">
        <f>=VLOOKUP(B5,[2]在校生综合信息查询!$A$485:$C$524,2,0)</f>
        <v>24q710201005</v>
      </c>
      <c r="E5" s="12">
        <v>45</v>
      </c>
      <c r="F5" s="12">
        <v>101</v>
      </c>
      <c r="G5" s="12">
        <v>67</v>
      </c>
      <c r="H5" s="6">
        <v>57</v>
      </c>
      <c r="I5" s="6">
        <v>50</v>
      </c>
      <c r="J5" s="93">
        <v>40</v>
      </c>
      <c r="K5" s="5">
        <f>=SUM(E5:J5)</f>
        <v>360</v>
      </c>
      <c r="L5" s="5">
        <f>=RANK(K5,$K$2:$K$45,0)</f>
        <v>13</v>
      </c>
    </row>
    <row r="6" spans="1:12" ht="18.75">
      <c r="A6" s="4">
        <v>5</v>
      </c>
      <c r="B6" s="4" t="s">
        <v>2782</v>
      </c>
      <c r="C6" s="4">
        <v>2336</v>
      </c>
      <c r="D6" s="4" t="str">
        <f>=VLOOKUP(B6,[2]在校生综合信息查询!$A$485:$C$524,2,0)</f>
        <v>24q710201006</v>
      </c>
      <c r="E6" s="12">
        <v>56</v>
      </c>
      <c r="F6" s="12">
        <v>90</v>
      </c>
      <c r="G6" s="12">
        <v>66</v>
      </c>
      <c r="H6" s="6">
        <v>67</v>
      </c>
      <c r="I6" s="6">
        <v>51</v>
      </c>
      <c r="J6" s="92">
        <v>51</v>
      </c>
      <c r="K6" s="5">
        <f>=SUM(E6:J6)</f>
        <v>381</v>
      </c>
      <c r="L6" s="5">
        <f>=RANK(K6,$K$2:$K$45,0)</f>
        <v>11</v>
      </c>
    </row>
    <row r="7" spans="1:12" ht="18.75">
      <c r="A7" s="4">
        <v>6</v>
      </c>
      <c r="B7" s="4" t="s">
        <v>2784</v>
      </c>
      <c r="C7" s="4">
        <v>2337</v>
      </c>
      <c r="D7" s="4" t="str">
        <f>=VLOOKUP(B7,[2]在校生综合信息查询!$A$485:$C$524,2,0)</f>
        <v>24q710201009</v>
      </c>
      <c r="E7" s="12">
        <v>68</v>
      </c>
      <c r="F7" s="12">
        <v>95</v>
      </c>
      <c r="G7" s="12">
        <v>74.5</v>
      </c>
      <c r="H7" s="6">
        <v>60</v>
      </c>
      <c r="I7" s="6">
        <v>67</v>
      </c>
      <c r="J7" s="92">
        <v>62</v>
      </c>
      <c r="K7" s="5">
        <f>=SUM(E7:J7)</f>
        <v>426.5</v>
      </c>
      <c r="L7" s="5">
        <f>=RANK(K7,$K$2:$K$45,0)</f>
        <v>3</v>
      </c>
    </row>
    <row r="8" spans="1:12" ht="18.75">
      <c r="A8" s="4">
        <v>7</v>
      </c>
      <c r="B8" s="4" t="s">
        <v>2786</v>
      </c>
      <c r="C8" s="4">
        <v>2338</v>
      </c>
      <c r="D8" s="4" t="str">
        <f>=VLOOKUP(B8,[2]在校生综合信息查询!$A$485:$C$524,2,0)</f>
        <v>24q710201010</v>
      </c>
      <c r="E8" s="12">
        <v>72</v>
      </c>
      <c r="F8" s="12">
        <v>89</v>
      </c>
      <c r="G8" s="12">
        <v>56.5</v>
      </c>
      <c r="H8" s="6">
        <v>60</v>
      </c>
      <c r="I8" s="6">
        <v>69</v>
      </c>
      <c r="J8" s="93">
        <v>49</v>
      </c>
      <c r="K8" s="5">
        <f>=SUM(E8:J8)</f>
        <v>395.5</v>
      </c>
      <c r="L8" s="5">
        <f>=RANK(K8,$K$2:$K$45,0)</f>
        <v>6</v>
      </c>
    </row>
    <row r="9" spans="1:12" ht="18.75">
      <c r="A9" s="4">
        <v>8</v>
      </c>
      <c r="B9" s="4" t="s">
        <v>2788</v>
      </c>
      <c r="C9" s="4">
        <v>2339</v>
      </c>
      <c r="D9" s="4" t="str">
        <f>=VLOOKUP(B9,[2]在校生综合信息查询!$A$485:$C$524,2,0)</f>
        <v>24q710201011</v>
      </c>
      <c r="E9" s="12">
        <v>54</v>
      </c>
      <c r="F9" s="12">
        <v>94</v>
      </c>
      <c r="G9" s="12">
        <v>77</v>
      </c>
      <c r="H9" s="6">
        <v>46</v>
      </c>
      <c r="I9" s="6">
        <v>76</v>
      </c>
      <c r="J9" s="93">
        <v>46</v>
      </c>
      <c r="K9" s="5">
        <f>=SUM(E9:J9)</f>
        <v>393</v>
      </c>
      <c r="L9" s="5">
        <f>=RANK(K9,$K$2:$K$45,0)</f>
        <v>7</v>
      </c>
    </row>
    <row r="10" spans="1:12" ht="18.75">
      <c r="A10" s="4">
        <v>9</v>
      </c>
      <c r="B10" s="4" t="s">
        <v>2790</v>
      </c>
      <c r="C10" s="4">
        <v>2340</v>
      </c>
      <c r="D10" s="4" t="str">
        <f>=VLOOKUP(B10,[2]在校生综合信息查询!$A$485:$C$524,2,0)</f>
        <v>24q710201013</v>
      </c>
      <c r="E10" s="12">
        <v>54</v>
      </c>
      <c r="F10" s="12">
        <v>61</v>
      </c>
      <c r="G10" s="12">
        <v>71</v>
      </c>
      <c r="H10" s="6">
        <v>45</v>
      </c>
      <c r="I10" s="6">
        <v>29</v>
      </c>
      <c r="J10" s="92">
        <v>39</v>
      </c>
      <c r="K10" s="5">
        <f>=SUM(E10:J10)</f>
        <v>299</v>
      </c>
      <c r="L10" s="5">
        <f>=RANK(K10,$K$2:$K$45,0)</f>
        <v>28</v>
      </c>
    </row>
    <row r="11" spans="1:12" ht="18.75">
      <c r="A11" s="4">
        <v>10</v>
      </c>
      <c r="B11" s="4" t="s">
        <v>2792</v>
      </c>
      <c r="C11" s="4">
        <v>2341</v>
      </c>
      <c r="D11" s="4" t="str">
        <f>=VLOOKUP(B11,[2]在校生综合信息查询!$A$485:$C$524,2,0)</f>
        <v>24q710201014</v>
      </c>
      <c r="E11" s="12">
        <v>71</v>
      </c>
      <c r="F11" s="12">
        <v>50</v>
      </c>
      <c r="G11" s="12">
        <v>67.5</v>
      </c>
      <c r="H11" s="6">
        <v>47</v>
      </c>
      <c r="I11" s="6">
        <v>32</v>
      </c>
      <c r="J11" s="92">
        <v>37</v>
      </c>
      <c r="K11" s="5">
        <f>=SUM(E11:J11)</f>
        <v>304.5</v>
      </c>
      <c r="L11" s="5">
        <f>=RANK(K11,$K$2:$K$45,0)</f>
        <v>24</v>
      </c>
    </row>
    <row r="12" spans="1:12" ht="18.75">
      <c r="A12" s="4">
        <v>11</v>
      </c>
      <c r="B12" s="4" t="s">
        <v>2794</v>
      </c>
      <c r="C12" s="4">
        <v>2342</v>
      </c>
      <c r="D12" s="4" t="str">
        <f>=VLOOKUP(B12,[2]在校生综合信息查询!$A$485:$C$524,2,0)</f>
        <v>24q710201015</v>
      </c>
      <c r="E12" s="12">
        <v>69</v>
      </c>
      <c r="F12" s="12">
        <v>63</v>
      </c>
      <c r="G12" s="12">
        <v>63</v>
      </c>
      <c r="H12" s="6">
        <v>54</v>
      </c>
      <c r="I12" s="6">
        <v>75</v>
      </c>
      <c r="J12" s="92">
        <v>52</v>
      </c>
      <c r="K12" s="5">
        <f>=SUM(E12:J12)</f>
        <v>376</v>
      </c>
      <c r="L12" s="5">
        <f>=RANK(K12,$K$2:$K$45,0)</f>
        <v>12</v>
      </c>
    </row>
    <row r="13" spans="1:12" ht="18.75">
      <c r="A13" s="4">
        <v>12</v>
      </c>
      <c r="B13" s="4" t="s">
        <v>2796</v>
      </c>
      <c r="C13" s="4">
        <v>2343</v>
      </c>
      <c r="D13" s="4" t="str">
        <f>=VLOOKUP(B13,[2]在校生综合信息查询!$A$485:$C$524,2,0)</f>
        <v>24q710201016</v>
      </c>
      <c r="E13" s="12">
        <v>60</v>
      </c>
      <c r="F13" s="12">
        <v>46</v>
      </c>
      <c r="G13" s="12">
        <v>54.5</v>
      </c>
      <c r="H13" s="6">
        <v>43</v>
      </c>
      <c r="I13" s="6">
        <v>54</v>
      </c>
      <c r="J13" s="93">
        <v>47</v>
      </c>
      <c r="K13" s="5">
        <f>=SUM(E13:J13)</f>
        <v>304.5</v>
      </c>
      <c r="L13" s="5">
        <f>=RANK(K13,$K$2:$K$45,0)</f>
        <v>24</v>
      </c>
    </row>
    <row r="14" spans="1:12" ht="18.75">
      <c r="A14" s="4">
        <v>13</v>
      </c>
      <c r="B14" s="4" t="s">
        <v>2798</v>
      </c>
      <c r="C14" s="4">
        <v>2344</v>
      </c>
      <c r="D14" s="4" t="str">
        <f>=VLOOKUP(B14,[2]在校生综合信息查询!$A$485:$C$524,2,0)</f>
        <v>24q710201017</v>
      </c>
      <c r="E14" s="12">
        <v>71</v>
      </c>
      <c r="F14" s="12">
        <v>72</v>
      </c>
      <c r="G14" s="12">
        <v>52</v>
      </c>
      <c r="H14" s="6">
        <v>41</v>
      </c>
      <c r="I14" s="6">
        <v>62</v>
      </c>
      <c r="J14" s="92">
        <v>52</v>
      </c>
      <c r="K14" s="5">
        <f>=SUM(E14:J14)</f>
        <v>350</v>
      </c>
      <c r="L14" s="5">
        <f>=RANK(K14,$K$2:$K$45,0)</f>
        <v>15</v>
      </c>
    </row>
    <row r="15" spans="1:12" ht="18.75">
      <c r="A15" s="4">
        <v>14</v>
      </c>
      <c r="B15" s="4" t="s">
        <v>2800</v>
      </c>
      <c r="C15" s="4">
        <v>2345</v>
      </c>
      <c r="D15" s="4" t="str">
        <f>=VLOOKUP(B15,[2]在校生综合信息查询!$A$485:$C$524,2,0)</f>
        <v>24q710201018</v>
      </c>
      <c r="E15" s="12">
        <v>68</v>
      </c>
      <c r="F15" s="12">
        <v>91</v>
      </c>
      <c r="G15" s="12">
        <v>69</v>
      </c>
      <c r="H15" s="6">
        <v>63</v>
      </c>
      <c r="I15" s="6">
        <v>74</v>
      </c>
      <c r="J15" s="92">
        <v>60</v>
      </c>
      <c r="K15" s="5">
        <f>=SUM(E15:J15)</f>
        <v>425</v>
      </c>
      <c r="L15" s="5">
        <f>=RANK(K15,$K$2:$K$45,0)</f>
        <v>4</v>
      </c>
    </row>
    <row r="16" spans="1:12" ht="18.75">
      <c r="A16" s="4">
        <v>15</v>
      </c>
      <c r="B16" s="4" t="s">
        <v>2802</v>
      </c>
      <c r="C16" s="4">
        <v>2346</v>
      </c>
      <c r="D16" s="4" t="str">
        <f>=VLOOKUP(B16,[2]在校生综合信息查询!$A$485:$C$524,2,0)</f>
        <v>24q710201019</v>
      </c>
      <c r="E16" s="12">
        <v>54</v>
      </c>
      <c r="F16" s="12">
        <v>47</v>
      </c>
      <c r="G16" s="12">
        <v>53</v>
      </c>
      <c r="H16" s="6">
        <v>62</v>
      </c>
      <c r="I16" s="6">
        <v>49</v>
      </c>
      <c r="J16" s="93">
        <v>49</v>
      </c>
      <c r="K16" s="5">
        <f>=SUM(E16:J16)</f>
        <v>314</v>
      </c>
      <c r="L16" s="5">
        <f>=RANK(K16,$K$2:$K$45,0)</f>
        <v>23</v>
      </c>
    </row>
    <row r="17" spans="1:12" ht="18.75">
      <c r="A17" s="4">
        <v>16</v>
      </c>
      <c r="B17" s="4" t="s">
        <v>2804</v>
      </c>
      <c r="C17" s="4">
        <v>2347</v>
      </c>
      <c r="D17" s="4" t="str">
        <f>=VLOOKUP(B17,[2]在校生综合信息查询!$A$485:$C$524,2,0)</f>
        <v>24q710201020</v>
      </c>
      <c r="E17" s="12">
        <v>46</v>
      </c>
      <c r="F17" s="12">
        <v>49</v>
      </c>
      <c r="G17" s="12">
        <v>54</v>
      </c>
      <c r="H17" s="6">
        <v>68</v>
      </c>
      <c r="I17" s="6">
        <v>56</v>
      </c>
      <c r="J17" s="92">
        <v>67</v>
      </c>
      <c r="K17" s="5">
        <f>=SUM(E17:J17)</f>
        <v>340</v>
      </c>
      <c r="L17" s="5">
        <f>=RANK(K17,$K$2:$K$45,0)</f>
        <v>17</v>
      </c>
    </row>
    <row r="18" spans="1:12" ht="18.75">
      <c r="A18" s="4">
        <v>17</v>
      </c>
      <c r="B18" s="4" t="s">
        <v>2806</v>
      </c>
      <c r="C18" s="4">
        <v>2348</v>
      </c>
      <c r="D18" s="4" t="str">
        <f>=VLOOKUP(B18,[2]在校生综合信息查询!$A$485:$C$524,2,0)</f>
        <v>24q710201021</v>
      </c>
      <c r="E18" s="12">
        <v>51</v>
      </c>
      <c r="F18" s="12">
        <v>91</v>
      </c>
      <c r="G18" s="12">
        <v>54.5</v>
      </c>
      <c r="H18" s="6">
        <v>37</v>
      </c>
      <c r="I18" s="6">
        <v>60</v>
      </c>
      <c r="J18" s="93">
        <v>40</v>
      </c>
      <c r="K18" s="5">
        <f>=SUM(E18:J18)</f>
        <v>333.5</v>
      </c>
      <c r="L18" s="5">
        <f>=RANK(K18,$K$2:$K$45,0)</f>
        <v>21</v>
      </c>
    </row>
    <row r="19" spans="1:12" ht="18.75">
      <c r="A19" s="4">
        <v>18</v>
      </c>
      <c r="B19" s="4" t="s">
        <v>2808</v>
      </c>
      <c r="C19" s="4">
        <v>2349</v>
      </c>
      <c r="D19" s="4" t="str">
        <f>=VLOOKUP(B19,[2]在校生综合信息查询!$A$485:$C$524,2,0)</f>
        <v>24q710201022</v>
      </c>
      <c r="E19" s="12">
        <v>67</v>
      </c>
      <c r="F19" s="12">
        <v>62</v>
      </c>
      <c r="G19" s="12">
        <v>54.5</v>
      </c>
      <c r="H19" s="6">
        <v>48</v>
      </c>
      <c r="I19" s="6">
        <v>40</v>
      </c>
      <c r="J19" s="93">
        <v>31</v>
      </c>
      <c r="K19" s="5">
        <f>=SUM(E19:J19)</f>
        <v>302.5</v>
      </c>
      <c r="L19" s="5">
        <f>=RANK(K19,$K$2:$K$45,0)</f>
        <v>26</v>
      </c>
    </row>
    <row r="20" spans="1:12" ht="18.75">
      <c r="A20" s="4">
        <v>19</v>
      </c>
      <c r="B20" s="4" t="s">
        <v>2810</v>
      </c>
      <c r="C20" s="4">
        <v>2350</v>
      </c>
      <c r="D20" s="4" t="str">
        <f>=VLOOKUP(B20,[2]在校生综合信息查询!$A$485:$C$524,2,0)</f>
        <v>24q710201023</v>
      </c>
      <c r="E20" s="12">
        <v>51</v>
      </c>
      <c r="F20" s="12">
        <v>71</v>
      </c>
      <c r="G20" s="12">
        <v>43</v>
      </c>
      <c r="H20" s="6">
        <v>39</v>
      </c>
      <c r="I20" s="6">
        <v>42</v>
      </c>
      <c r="J20" s="93">
        <v>52</v>
      </c>
      <c r="K20" s="5">
        <f>=SUM(E20:J20)</f>
        <v>298</v>
      </c>
      <c r="L20" s="5">
        <f>=RANK(K20,$K$2:$K$45,0)</f>
        <v>29</v>
      </c>
    </row>
    <row r="21" spans="1:12" ht="18.75">
      <c r="A21" s="4">
        <v>20</v>
      </c>
      <c r="B21" s="4" t="s">
        <v>2812</v>
      </c>
      <c r="C21" s="4">
        <v>2351</v>
      </c>
      <c r="D21" s="4" t="str">
        <f>=VLOOKUP(B21,[2]在校生综合信息查询!$A$485:$C$524,2,0)</f>
        <v>24q710201025</v>
      </c>
      <c r="E21" s="12">
        <v>46</v>
      </c>
      <c r="F21" s="12">
        <v>53</v>
      </c>
      <c r="G21" s="12">
        <v>58</v>
      </c>
      <c r="H21" s="6">
        <v>68</v>
      </c>
      <c r="I21" s="6">
        <v>59</v>
      </c>
      <c r="J21" s="93">
        <v>53</v>
      </c>
      <c r="K21" s="5">
        <f>=SUM(E21:J21)</f>
        <v>337</v>
      </c>
      <c r="L21" s="5">
        <f>=RANK(K21,$K$2:$K$45,0)</f>
        <v>19</v>
      </c>
    </row>
    <row r="22" spans="1:12" ht="18.75">
      <c r="A22" s="4">
        <v>21</v>
      </c>
      <c r="B22" s="4" t="s">
        <v>2814</v>
      </c>
      <c r="C22" s="4">
        <v>2352</v>
      </c>
      <c r="D22" s="4" t="str">
        <f>=VLOOKUP(B22,[2]在校生综合信息查询!$A$485:$C$524,2,0)</f>
        <v>24q710201026</v>
      </c>
      <c r="E22" s="12">
        <v>50</v>
      </c>
      <c r="F22" s="12">
        <v>73</v>
      </c>
      <c r="G22" s="12">
        <v>48</v>
      </c>
      <c r="H22" s="6">
        <v>51</v>
      </c>
      <c r="I22" s="6">
        <v>47</v>
      </c>
      <c r="J22" s="93">
        <v>33</v>
      </c>
      <c r="K22" s="5">
        <f>=SUM(E22:J22)</f>
        <v>302</v>
      </c>
      <c r="L22" s="5">
        <f>=RANK(K22,$K$2:$K$45,0)</f>
        <v>27</v>
      </c>
    </row>
    <row r="23" spans="1:12" ht="18.75">
      <c r="A23" s="4">
        <v>22</v>
      </c>
      <c r="B23" s="4" t="s">
        <v>2816</v>
      </c>
      <c r="C23" s="4">
        <v>2353</v>
      </c>
      <c r="D23" s="4" t="str">
        <f>=VLOOKUP(B23,[2]在校生综合信息查询!$A$485:$C$524,2,0)</f>
        <v>24q710201027</v>
      </c>
      <c r="E23" s="12">
        <v>85</v>
      </c>
      <c r="F23" s="12">
        <v>43</v>
      </c>
      <c r="G23" s="12">
        <v>71</v>
      </c>
      <c r="H23" s="6">
        <v>57</v>
      </c>
      <c r="I23" s="6">
        <v>49</v>
      </c>
      <c r="J23" s="92">
        <v>40</v>
      </c>
      <c r="K23" s="5">
        <f>=SUM(E23:J23)</f>
        <v>345</v>
      </c>
      <c r="L23" s="5">
        <f>=RANK(K23,$K$2:$K$45,0)</f>
        <v>16</v>
      </c>
    </row>
    <row r="24" spans="1:12" ht="18.75">
      <c r="A24" s="4">
        <v>23</v>
      </c>
      <c r="B24" s="4" t="s">
        <v>2818</v>
      </c>
      <c r="C24" s="4">
        <v>2354</v>
      </c>
      <c r="D24" s="4" t="str">
        <f>=VLOOKUP(B24,[2]在校生综合信息查询!$A$485:$C$524,2,0)</f>
        <v>24q710201028</v>
      </c>
      <c r="E24" s="12">
        <v>52</v>
      </c>
      <c r="F24" s="12">
        <v>45</v>
      </c>
      <c r="G24" s="12">
        <v>54.5</v>
      </c>
      <c r="H24" s="6">
        <v>61</v>
      </c>
      <c r="I24" s="6">
        <v>41</v>
      </c>
      <c r="J24" s="93">
        <v>37</v>
      </c>
      <c r="K24" s="5">
        <f>=SUM(E24:J24)</f>
        <v>290.5</v>
      </c>
      <c r="L24" s="5">
        <f>=RANK(K24,$K$2:$K$45,0)</f>
        <v>32</v>
      </c>
    </row>
    <row r="25" spans="1:12" ht="18.75">
      <c r="A25" s="4">
        <v>24</v>
      </c>
      <c r="B25" s="4" t="s">
        <v>2820</v>
      </c>
      <c r="C25" s="4">
        <v>2355</v>
      </c>
      <c r="D25" s="4" t="str">
        <f>=VLOOKUP(B25,[2]在校生综合信息查询!$A$485:$C$524,2,0)</f>
        <v>24q710201030</v>
      </c>
      <c r="E25" s="12">
        <v>65</v>
      </c>
      <c r="F25" s="12">
        <v>22</v>
      </c>
      <c r="G25" s="12">
        <v>59</v>
      </c>
      <c r="H25" s="6">
        <v>56</v>
      </c>
      <c r="I25" s="6">
        <v>40</v>
      </c>
      <c r="J25" s="93">
        <v>45</v>
      </c>
      <c r="K25" s="5">
        <f>=SUM(E25:J25)</f>
        <v>287</v>
      </c>
      <c r="L25" s="5">
        <f>=RANK(K25,$K$2:$K$45,0)</f>
        <v>34</v>
      </c>
    </row>
    <row r="26" spans="1:12" ht="18.75">
      <c r="A26" s="4">
        <v>25</v>
      </c>
      <c r="B26" s="4" t="s">
        <v>2822</v>
      </c>
      <c r="C26" s="4">
        <v>2356</v>
      </c>
      <c r="D26" s="4" t="str">
        <f>=VLOOKUP(B26,[2]在校生综合信息查询!$A$485:$C$524,2,0)</f>
        <v>24q710201032</v>
      </c>
      <c r="E26" s="12">
        <v>71</v>
      </c>
      <c r="F26" s="12">
        <v>52</v>
      </c>
      <c r="G26" s="12">
        <v>49.5</v>
      </c>
      <c r="H26" s="6">
        <v>57</v>
      </c>
      <c r="I26" s="6">
        <v>55</v>
      </c>
      <c r="J26" s="93">
        <v>48</v>
      </c>
      <c r="K26" s="5">
        <f>=SUM(E26:J26)</f>
        <v>332.5</v>
      </c>
      <c r="L26" s="5">
        <f>=RANK(K26,$K$2:$K$45,0)</f>
        <v>22</v>
      </c>
    </row>
    <row r="27" spans="1:12" ht="18.75">
      <c r="A27" s="4">
        <v>26</v>
      </c>
      <c r="B27" s="4" t="s">
        <v>2824</v>
      </c>
      <c r="C27" s="4">
        <v>2357</v>
      </c>
      <c r="D27" s="4" t="str">
        <f>=VLOOKUP(B27,[2]在校生综合信息查询!$A$485:$C$524,2,0)</f>
        <v>24q710201033</v>
      </c>
      <c r="E27" s="12">
        <v>74</v>
      </c>
      <c r="F27" s="12">
        <v>25</v>
      </c>
      <c r="G27" s="12">
        <v>76.5</v>
      </c>
      <c r="H27" s="6">
        <v>57</v>
      </c>
      <c r="I27" s="6">
        <v>56</v>
      </c>
      <c r="J27" s="92">
        <v>49</v>
      </c>
      <c r="K27" s="5">
        <f>=SUM(E27:J27)</f>
        <v>337.5</v>
      </c>
      <c r="L27" s="5">
        <f>=RANK(K27,$K$2:$K$45,0)</f>
        <v>18</v>
      </c>
    </row>
    <row r="28" spans="1:12" ht="18.75">
      <c r="A28" s="4">
        <v>27</v>
      </c>
      <c r="B28" s="4" t="s">
        <v>2826</v>
      </c>
      <c r="C28" s="4">
        <v>2358</v>
      </c>
      <c r="D28" s="4" t="str">
        <f>=VLOOKUP(B28,[2]在校生综合信息查询!$A$485:$C$524,2,0)</f>
        <v>24q710201034</v>
      </c>
      <c r="E28" s="12">
        <v>66</v>
      </c>
      <c r="F28" s="12">
        <v>68</v>
      </c>
      <c r="G28" s="12">
        <v>85.5</v>
      </c>
      <c r="H28" s="6">
        <v>50</v>
      </c>
      <c r="I28" s="6">
        <v>41</v>
      </c>
      <c r="J28" s="93">
        <v>46</v>
      </c>
      <c r="K28" s="5">
        <f>=SUM(E28:J28)</f>
        <v>356.5</v>
      </c>
      <c r="L28" s="5">
        <f>=RANK(K28,$K$2:$K$45,0)</f>
        <v>14</v>
      </c>
    </row>
    <row r="29" spans="1:12" ht="18.75">
      <c r="A29" s="4">
        <v>28</v>
      </c>
      <c r="B29" s="4" t="s">
        <v>2828</v>
      </c>
      <c r="C29" s="4">
        <v>2359</v>
      </c>
      <c r="D29" s="4" t="str">
        <f>=VLOOKUP(B29,[2]在校生综合信息查询!$A$485:$C$524,2,0)</f>
        <v>24q710201035</v>
      </c>
      <c r="E29" s="12">
        <v>60</v>
      </c>
      <c r="F29" s="12">
        <v>49</v>
      </c>
      <c r="G29" s="12">
        <v>59.5</v>
      </c>
      <c r="H29" s="6">
        <v>54</v>
      </c>
      <c r="I29" s="6">
        <v>26</v>
      </c>
      <c r="J29" s="93">
        <v>45</v>
      </c>
      <c r="K29" s="5">
        <f>=SUM(E29:J29)</f>
        <v>293.5</v>
      </c>
      <c r="L29" s="5">
        <f>=RANK(K29,$K$2:$K$45,0)</f>
        <v>31</v>
      </c>
    </row>
    <row r="30" spans="1:12" ht="18.75">
      <c r="A30" s="4">
        <v>29</v>
      </c>
      <c r="B30" s="4" t="s">
        <v>2830</v>
      </c>
      <c r="C30" s="4">
        <v>2371</v>
      </c>
      <c r="D30" s="4" t="str">
        <f>=VLOOKUP(B30,[2]在校生综合信息查询!$A$485:$C$524,2,0)</f>
        <v>24q7102010241</v>
      </c>
      <c r="E30" s="12">
        <v>66</v>
      </c>
      <c r="F30" s="12">
        <v>38</v>
      </c>
      <c r="G30" s="12">
        <v>70.5</v>
      </c>
      <c r="H30">
        <v>43</v>
      </c>
      <c r="I30" s="6">
        <v>36</v>
      </c>
      <c r="J30" s="93">
        <v>42</v>
      </c>
      <c r="K30" s="5">
        <f>=SUM(E30:J30)</f>
        <v>295.5</v>
      </c>
      <c r="L30" s="5">
        <f>=RANK(K30,$K$2:$K$45,0)</f>
        <v>30</v>
      </c>
    </row>
    <row r="31" spans="1:12" ht="18.75">
      <c r="A31" s="4">
        <v>30</v>
      </c>
      <c r="B31" s="4" t="s">
        <v>2832</v>
      </c>
      <c r="C31" s="4">
        <v>2360</v>
      </c>
      <c r="D31" s="4" t="str">
        <f>=VLOOKUP(B31,[2]在校生综合信息查询!$A$485:$C$524,2,0)</f>
        <v>24q710201037</v>
      </c>
      <c r="E31" s="12">
        <v>55</v>
      </c>
      <c r="F31" s="12">
        <v>8</v>
      </c>
      <c r="G31" s="12">
        <v>43</v>
      </c>
      <c r="H31" s="94">
        <v>46</v>
      </c>
      <c r="I31" s="6">
        <v>71</v>
      </c>
      <c r="J31" s="93">
        <v>38</v>
      </c>
      <c r="K31" s="5">
        <f>=SUM(E31:J31)</f>
        <v>261</v>
      </c>
      <c r="L31" s="5">
        <f>=RANK(K31,$K$2:$K$45,0)</f>
        <v>37</v>
      </c>
    </row>
    <row r="32" spans="1:12" ht="18.75">
      <c r="A32" s="4">
        <v>31</v>
      </c>
      <c r="B32" s="4" t="s">
        <v>2834</v>
      </c>
      <c r="C32" s="4">
        <v>2361</v>
      </c>
      <c r="D32" s="4" t="str">
        <f>=VLOOKUP(B32,[2]在校生综合信息查询!$A$485:$C$524,2,0)</f>
        <v>24q710201038</v>
      </c>
      <c r="E32" s="12">
        <v>73</v>
      </c>
      <c r="F32" s="12">
        <v>74</v>
      </c>
      <c r="G32" s="12">
        <v>90.5</v>
      </c>
      <c r="H32" s="6">
        <v>63</v>
      </c>
      <c r="I32" s="6">
        <v>77</v>
      </c>
      <c r="J32" s="92">
        <v>44</v>
      </c>
      <c r="K32" s="5">
        <f>=SUM(E32:J32)</f>
        <v>421.5</v>
      </c>
      <c r="L32" s="5">
        <f>=RANK(K32,$K$2:$K$45,0)</f>
        <v>5</v>
      </c>
    </row>
    <row r="33" spans="1:12" ht="18.75">
      <c r="A33" s="4">
        <v>32</v>
      </c>
      <c r="B33" s="4" t="s">
        <v>2836</v>
      </c>
      <c r="C33" s="4">
        <v>2362</v>
      </c>
      <c r="D33" s="4" t="str">
        <f>=VLOOKUP(B33,[2]在校生综合信息查询!$A$485:$C$524,2,0)</f>
        <v>24q710201039</v>
      </c>
      <c r="E33" s="12">
        <v>74</v>
      </c>
      <c r="F33" s="12">
        <v>50</v>
      </c>
      <c r="G33" s="12">
        <v>70.5</v>
      </c>
      <c r="H33" s="6">
        <v>38</v>
      </c>
      <c r="I33" s="6">
        <v>47</v>
      </c>
      <c r="J33" s="93">
        <v>56</v>
      </c>
      <c r="K33" s="5">
        <f>=SUM(E33:J33)</f>
        <v>335.5</v>
      </c>
      <c r="L33" s="5">
        <f>=RANK(K33,$K$2:$K$45,0)</f>
        <v>20</v>
      </c>
    </row>
    <row r="34" spans="1:12" ht="18.75">
      <c r="A34" s="4">
        <v>33</v>
      </c>
      <c r="B34" s="4" t="s">
        <v>2838</v>
      </c>
      <c r="C34" s="4">
        <v>2363</v>
      </c>
      <c r="D34" s="4" t="str">
        <f>=VLOOKUP(B34,[2]在校生综合信息查询!$A$485:$C$524,2,0)</f>
        <v>24q710201041</v>
      </c>
      <c r="E34" s="12">
        <v>54</v>
      </c>
      <c r="F34" s="12">
        <v>48</v>
      </c>
      <c r="G34" s="12">
        <v>65.5</v>
      </c>
      <c r="H34" s="94">
        <v>45</v>
      </c>
      <c r="I34" s="6">
        <v>25</v>
      </c>
      <c r="J34" s="93">
        <v>48</v>
      </c>
      <c r="K34" s="5">
        <f>=SUM(E34:J34)</f>
        <v>285.5</v>
      </c>
      <c r="L34" s="5">
        <f>=RANK(K34,$K$2:$K$45,0)</f>
        <v>35</v>
      </c>
    </row>
    <row r="35" spans="1:12" ht="18.75">
      <c r="A35" s="4">
        <v>34</v>
      </c>
      <c r="B35" s="4" t="s">
        <v>2840</v>
      </c>
      <c r="C35" s="4">
        <v>2364</v>
      </c>
      <c r="D35" s="4" t="str">
        <f>=VLOOKUP(B35,[2]在校生综合信息查询!$A$485:$C$524,2,0)</f>
        <v>24q710201042</v>
      </c>
      <c r="E35" s="12">
        <v>71</v>
      </c>
      <c r="F35" s="12">
        <v>123</v>
      </c>
      <c r="G35" s="12">
        <v>75</v>
      </c>
      <c r="H35" s="6">
        <v>63</v>
      </c>
      <c r="I35" s="6">
        <v>72</v>
      </c>
      <c r="J35" s="92">
        <v>49</v>
      </c>
      <c r="K35" s="5">
        <f>=SUM(E35:J35)</f>
        <v>453</v>
      </c>
      <c r="L35" s="5">
        <f>=RANK(K35,$K$2:$K$45,0)</f>
        <v>1</v>
      </c>
    </row>
    <row r="36" spans="1:12" ht="18.75">
      <c r="A36" s="4">
        <v>35</v>
      </c>
      <c r="B36" s="4" t="s">
        <v>2842</v>
      </c>
      <c r="C36" s="4" t="s"/>
      <c r="D36" s="4" t="str">
        <f>=VLOOKUP(B36,[2]在校生综合信息查询!$A$485:$C$524,2,0)</f>
        <v>24q710201043</v>
      </c>
      <c r="E36" s="12">
        <v>65</v>
      </c>
      <c r="F36" s="12">
        <v>103</v>
      </c>
      <c r="G36" s="12">
        <v>71</v>
      </c>
      <c r="H36" s="6">
        <v>57</v>
      </c>
      <c r="I36" s="6">
        <v>45</v>
      </c>
      <c r="J36" s="92">
        <v>49</v>
      </c>
      <c r="K36" s="5">
        <f>=SUM(E36:J36)</f>
        <v>390</v>
      </c>
      <c r="L36" s="5">
        <f>=RANK(K36,$K$2:$K$45,0)</f>
        <v>8</v>
      </c>
    </row>
    <row r="37" spans="1:12" ht="18.75">
      <c r="A37" s="4">
        <v>36</v>
      </c>
      <c r="B37" s="4" t="s">
        <v>2844</v>
      </c>
      <c r="C37" s="4" t="s"/>
      <c r="D37" s="4" t="str">
        <f>=VLOOKUP(B37,[2]在校生综合信息查询!$A$485:$C$524,2,0)</f>
        <v>24q710201044</v>
      </c>
      <c r="E37" s="12">
        <v>44</v>
      </c>
      <c r="F37" s="12">
        <v>20</v>
      </c>
      <c r="G37" s="12">
        <v>59</v>
      </c>
      <c r="H37" s="20">
        <v>46</v>
      </c>
      <c r="I37" s="6">
        <v>39</v>
      </c>
      <c r="J37" s="93">
        <v>35</v>
      </c>
      <c r="K37" s="5">
        <f>=SUM(E37:J37)</f>
        <v>243</v>
      </c>
      <c r="L37" s="5">
        <f>=RANK(K37,$K$2:$K$45,0)</f>
        <v>39</v>
      </c>
    </row>
    <row r="38" spans="1:12" ht="18.75">
      <c r="A38" s="4">
        <v>37</v>
      </c>
      <c r="B38" s="4" t="s">
        <v>2846</v>
      </c>
      <c r="C38" s="4" t="s"/>
      <c r="D38" s="4" t="str">
        <f>=VLOOKUP(B38,[2]在校生综合信息查询!$A$485:$C$524,2,0)</f>
        <v>24q710201046</v>
      </c>
      <c r="E38" s="12">
        <v>61</v>
      </c>
      <c r="F38" s="12">
        <v>99</v>
      </c>
      <c r="G38" s="12">
        <v>44.5</v>
      </c>
      <c r="H38" s="6">
        <v>59</v>
      </c>
      <c r="I38" s="6">
        <v>70</v>
      </c>
      <c r="J38" s="92">
        <v>50</v>
      </c>
      <c r="K38" s="5">
        <f>=SUM(E38:J38)</f>
        <v>383.5</v>
      </c>
      <c r="L38" s="5">
        <f>=RANK(K38,$K$2:$K$45,0)</f>
        <v>9</v>
      </c>
    </row>
    <row r="39" spans="1:12" ht="18.75">
      <c r="A39" s="4">
        <v>38</v>
      </c>
      <c r="B39" s="4" t="s">
        <v>2848</v>
      </c>
      <c r="C39" s="4" t="s"/>
      <c r="D39" s="4" t="str">
        <f>=VLOOKUP(B39,[2]在校生综合信息查询!$A$485:$C$524,2,0)</f>
        <v>24q710201048</v>
      </c>
      <c r="E39" s="12">
        <v>58</v>
      </c>
      <c r="F39" s="12">
        <v>61</v>
      </c>
      <c r="G39" s="12">
        <v>72</v>
      </c>
      <c r="H39" s="6">
        <v>65</v>
      </c>
      <c r="I39" s="6">
        <v>67</v>
      </c>
      <c r="J39" s="92">
        <v>59</v>
      </c>
      <c r="K39" s="5">
        <f>=SUM(E39:J39)</f>
        <v>382</v>
      </c>
      <c r="L39" s="5">
        <f>=RANK(K39,$K$2:$K$45,0)</f>
        <v>10</v>
      </c>
    </row>
    <row r="40" spans="1:12" ht="18.75">
      <c r="A40" s="4">
        <v>39</v>
      </c>
      <c r="B40" s="4" t="s">
        <v>2850</v>
      </c>
      <c r="C40" s="4" t="s"/>
      <c r="D40" s="4" t="str">
        <f>=VLOOKUP(B40,[2]在校生综合信息查询!$A$485:$C$524,2,0)</f>
        <v>24q710201049</v>
      </c>
      <c r="E40" s="12">
        <v>68</v>
      </c>
      <c r="F40" s="12">
        <v>12</v>
      </c>
      <c r="G40" s="12">
        <v>35</v>
      </c>
      <c r="H40" s="6">
        <v>38</v>
      </c>
      <c r="I40" s="6">
        <v>24</v>
      </c>
      <c r="J40" s="93">
        <v>41</v>
      </c>
      <c r="K40" s="5">
        <f>=SUM(E40:J40)</f>
        <v>218</v>
      </c>
      <c r="L40" s="5">
        <f>=RANK(K40,$K$2:$K$45,0)</f>
        <v>40</v>
      </c>
    </row>
    <row r="41" spans="1:12" ht="18.75">
      <c r="A41" s="4">
        <v>40</v>
      </c>
      <c r="B41" s="4" t="s">
        <v>2852</v>
      </c>
      <c r="C41" s="4" t="s"/>
      <c r="D41" s="4" t="str">
        <f>=VLOOKUP(B41,[2]在校生综合信息查询!$A$485:$C$524,2,0)</f>
        <v>24q710201050</v>
      </c>
      <c r="E41" s="12">
        <v>50</v>
      </c>
      <c r="F41" s="12">
        <v>28</v>
      </c>
      <c r="G41" s="12">
        <v>42</v>
      </c>
      <c r="H41" s="6">
        <v>39</v>
      </c>
      <c r="I41" s="6">
        <v>38</v>
      </c>
      <c r="J41" s="92">
        <v>47</v>
      </c>
      <c r="K41" s="5">
        <f>=SUM(E41:J41)</f>
        <v>244</v>
      </c>
      <c r="L41" s="5">
        <f>=RANK(K41,$K$2:$K$45,0)</f>
        <v>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/>
  <dimension ref="L36"/>
  <sheetViews>
    <sheetView showGridLines="1" workbookViewId="0"/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17.375" style="123" customWidth="1"/>
    <col min="5" max="7" width="8.75" style="123"/>
    <col min="8" max="8" width="18.375" customWidth="1"/>
    <col min="9" max="9" width="22.625" customWidth="1"/>
    <col min="10" max="10" width="22" customWidth="1"/>
  </cols>
  <sheetData>
    <row r="1" spans="1:12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857</v>
      </c>
      <c r="I1" s="5" t="s">
        <v>2622</v>
      </c>
      <c r="J1" s="5" t="s">
        <v>858</v>
      </c>
      <c r="K1" s="5" t="s">
        <v>11</v>
      </c>
      <c r="L1" s="5" t="s">
        <v>12</v>
      </c>
    </row>
    <row r="2" spans="1:12" ht="18.75">
      <c r="A2" s="4">
        <v>1</v>
      </c>
      <c r="B2" s="4" t="s">
        <v>1045</v>
      </c>
      <c r="C2" s="4">
        <v>2298</v>
      </c>
      <c r="D2" s="4" t="str">
        <f>=VLOOKUP(B2,[2]在校生综合信息查询!$A$525:$C$559,2,0)</f>
        <v>24q710201073</v>
      </c>
      <c r="E2" s="12">
        <v>40</v>
      </c>
      <c r="F2" s="95">
        <v>41</v>
      </c>
      <c r="G2" s="95">
        <v>34.5</v>
      </c>
      <c r="H2" s="95">
        <v>58</v>
      </c>
      <c r="I2" s="95">
        <v>50</v>
      </c>
      <c r="J2" s="95">
        <v>22</v>
      </c>
      <c r="K2" s="4">
        <f>=SUM(E2:J2)</f>
        <v>245.5</v>
      </c>
      <c r="L2" s="4">
        <f>=RANK(K2,$K$2:$K$45,0)</f>
        <v>33</v>
      </c>
    </row>
    <row r="3" spans="1:12" ht="18.75">
      <c r="A3" s="4">
        <v>2</v>
      </c>
      <c r="B3" s="4" t="s">
        <v>2855</v>
      </c>
      <c r="C3" s="4">
        <v>2299</v>
      </c>
      <c r="D3" s="4" t="str">
        <f>=VLOOKUP(B3,[2]在校生综合信息查询!$A$525:$C$559,2,0)</f>
        <v>24q710201074</v>
      </c>
      <c r="E3" s="12">
        <v>67</v>
      </c>
      <c r="F3" s="95">
        <v>36</v>
      </c>
      <c r="G3" s="95">
        <v>45</v>
      </c>
      <c r="H3" s="95">
        <v>48</v>
      </c>
      <c r="I3" s="95">
        <v>32</v>
      </c>
      <c r="J3" s="95">
        <v>37</v>
      </c>
      <c r="K3" s="4">
        <f>=SUM(E3:J3)</f>
        <v>265</v>
      </c>
      <c r="L3" s="4">
        <f>=RANK(K3,$K$2:$K$45,0)</f>
        <v>29</v>
      </c>
    </row>
    <row r="4" spans="1:12" ht="18.75">
      <c r="A4" s="4">
        <v>3</v>
      </c>
      <c r="B4" s="4" t="s">
        <v>2857</v>
      </c>
      <c r="C4" s="4">
        <v>2300</v>
      </c>
      <c r="D4" s="4" t="str">
        <f>=VLOOKUP(B4,[2]在校生综合信息查询!$A$525:$C$559,2,0)</f>
        <v>24q710201076</v>
      </c>
      <c r="E4" s="12">
        <v>70</v>
      </c>
      <c r="F4" s="95">
        <v>88</v>
      </c>
      <c r="G4" s="95">
        <v>44</v>
      </c>
      <c r="H4" s="95">
        <v>72</v>
      </c>
      <c r="I4" s="95">
        <v>79</v>
      </c>
      <c r="J4" s="95">
        <v>50</v>
      </c>
      <c r="K4" s="4">
        <f>=SUM(E4:J4)</f>
        <v>403</v>
      </c>
      <c r="L4" s="4">
        <f>=RANK(K4,$K$2:$K$45,0)</f>
        <v>7</v>
      </c>
    </row>
    <row r="5" spans="1:12" ht="18.75">
      <c r="A5" s="4">
        <v>4</v>
      </c>
      <c r="B5" s="4" t="s">
        <v>2859</v>
      </c>
      <c r="C5" s="4">
        <v>2301</v>
      </c>
      <c r="D5" s="4" t="str">
        <f>=VLOOKUP(B5,[2]在校生综合信息查询!$A$525:$C$559,2,0)</f>
        <v>24q710201080</v>
      </c>
      <c r="E5" s="12">
        <v>73</v>
      </c>
      <c r="F5" s="95">
        <v>68</v>
      </c>
      <c r="G5" s="95">
        <v>52</v>
      </c>
      <c r="H5" s="95">
        <v>54</v>
      </c>
      <c r="I5" s="95">
        <v>66</v>
      </c>
      <c r="J5" s="95">
        <v>48</v>
      </c>
      <c r="K5" s="4">
        <f>=SUM(E5:J5)</f>
        <v>361</v>
      </c>
      <c r="L5" s="4">
        <f>=RANK(K5,$K$2:$K$45,0)</f>
        <v>14</v>
      </c>
    </row>
    <row r="6" spans="1:12" ht="18.75">
      <c r="A6" s="4">
        <v>5</v>
      </c>
      <c r="B6" s="4" t="s">
        <v>2861</v>
      </c>
      <c r="C6" s="4">
        <v>2302</v>
      </c>
      <c r="D6" s="4" t="str">
        <f>=VLOOKUP(B6,[2]在校生综合信息查询!$A$525:$C$559,2,0)</f>
        <v>24q710201081</v>
      </c>
      <c r="E6" s="12">
        <v>51</v>
      </c>
      <c r="F6" s="95">
        <v>84</v>
      </c>
      <c r="G6" s="95">
        <v>65</v>
      </c>
      <c r="H6" s="95">
        <v>65</v>
      </c>
      <c r="I6" s="95">
        <v>78</v>
      </c>
      <c r="J6" s="95">
        <v>42</v>
      </c>
      <c r="K6" s="4">
        <f>=SUM(E6:J6)</f>
        <v>385</v>
      </c>
      <c r="L6" s="4">
        <f>=RANK(K6,$K$2:$K$45,0)</f>
        <v>10</v>
      </c>
    </row>
    <row r="7" spans="1:12" ht="18.75">
      <c r="A7" s="4">
        <v>6</v>
      </c>
      <c r="B7" s="4" t="s">
        <v>2863</v>
      </c>
      <c r="C7" s="4">
        <v>2303</v>
      </c>
      <c r="D7" s="4" t="str">
        <f>=VLOOKUP(B7,[2]在校生综合信息查询!$A$525:$C$559,2,0)</f>
        <v>24q710201082</v>
      </c>
      <c r="E7" s="12">
        <v>59</v>
      </c>
      <c r="F7" s="95">
        <v>49</v>
      </c>
      <c r="G7" s="95">
        <v>58.5</v>
      </c>
      <c r="H7" s="95">
        <v>57</v>
      </c>
      <c r="I7" s="95">
        <v>44</v>
      </c>
      <c r="J7" s="95">
        <v>42</v>
      </c>
      <c r="K7" s="4">
        <f>=SUM(E7:J7)</f>
        <v>309.5</v>
      </c>
      <c r="L7" s="4">
        <f>=RANK(K7,$K$2:$K$45,0)</f>
        <v>23</v>
      </c>
    </row>
    <row r="8" spans="1:12" ht="18.75">
      <c r="A8" s="4">
        <v>7</v>
      </c>
      <c r="B8" s="4" t="s">
        <v>2865</v>
      </c>
      <c r="C8" s="4">
        <v>2304</v>
      </c>
      <c r="D8" s="4" t="str">
        <f>=VLOOKUP(B8,[2]在校生综合信息查询!$A$525:$C$559,2,0)</f>
        <v>24q710201083</v>
      </c>
      <c r="E8" s="12">
        <v>63</v>
      </c>
      <c r="F8" s="95">
        <v>28</v>
      </c>
      <c r="G8" s="95">
        <v>64.5</v>
      </c>
      <c r="H8" s="95">
        <v>62</v>
      </c>
      <c r="I8" s="95">
        <v>30</v>
      </c>
      <c r="J8" s="95">
        <v>43</v>
      </c>
      <c r="K8" s="4">
        <f>=SUM(E8:J8)</f>
        <v>290.5</v>
      </c>
      <c r="L8" s="4">
        <f>=RANK(K8,$K$2:$K$45,0)</f>
        <v>27</v>
      </c>
    </row>
    <row r="9" spans="1:12" ht="18.75">
      <c r="A9" s="4">
        <v>8</v>
      </c>
      <c r="B9" s="4" t="s">
        <v>2867</v>
      </c>
      <c r="C9" s="4">
        <v>2305</v>
      </c>
      <c r="D9" s="4" t="str">
        <f>=VLOOKUP(B9,[2]在校生综合信息查询!$A$525:$C$559,2,0)</f>
        <v>24q710201084</v>
      </c>
      <c r="E9" s="12">
        <v>81</v>
      </c>
      <c r="F9" s="95">
        <v>40</v>
      </c>
      <c r="G9" s="95">
        <v>58.5</v>
      </c>
      <c r="H9" s="95">
        <v>58</v>
      </c>
      <c r="I9" s="95">
        <v>37</v>
      </c>
      <c r="J9" s="95">
        <v>55</v>
      </c>
      <c r="K9" s="4">
        <f>=SUM(E9:J9)</f>
        <v>329.5</v>
      </c>
      <c r="L9" s="4">
        <f>=RANK(K9,$K$2:$K$45,0)</f>
        <v>16</v>
      </c>
    </row>
    <row r="10" spans="1:12" ht="18.75">
      <c r="A10" s="4">
        <v>9</v>
      </c>
      <c r="B10" s="4" t="s">
        <v>2869</v>
      </c>
      <c r="C10" s="4">
        <v>2306</v>
      </c>
      <c r="D10" s="4" t="str">
        <f>=VLOOKUP(B10,[2]在校生综合信息查询!$A$525:$C$559,2,0)</f>
        <v>24q710201085</v>
      </c>
      <c r="E10" s="12">
        <v>25</v>
      </c>
      <c r="F10" s="95">
        <v>56</v>
      </c>
      <c r="G10" s="95">
        <v>68.5</v>
      </c>
      <c r="H10" s="95">
        <v>64</v>
      </c>
      <c r="I10" s="95">
        <v>34</v>
      </c>
      <c r="J10" s="95">
        <v>48</v>
      </c>
      <c r="K10" s="4">
        <f>=SUM(E10:J10)</f>
        <v>295.5</v>
      </c>
      <c r="L10" s="4">
        <f>=RANK(K10,$K$2:$K$45,0)</f>
        <v>26</v>
      </c>
    </row>
    <row r="11" spans="1:12" ht="18.75">
      <c r="A11" s="4">
        <v>10</v>
      </c>
      <c r="B11" s="4" t="s">
        <v>2871</v>
      </c>
      <c r="C11" s="4">
        <v>2307</v>
      </c>
      <c r="D11" s="4" t="str">
        <f>=VLOOKUP(B11,[2]在校生综合信息查询!$A$525:$C$559,2,0)</f>
        <v>24q710201089</v>
      </c>
      <c r="E11" s="12">
        <v>41</v>
      </c>
      <c r="F11" s="95">
        <v>34</v>
      </c>
      <c r="G11" s="95">
        <v>22</v>
      </c>
      <c r="H11" s="95">
        <v>57</v>
      </c>
      <c r="I11" s="95">
        <v>39</v>
      </c>
      <c r="J11" s="95">
        <v>42</v>
      </c>
      <c r="K11" s="4">
        <f>=SUM(E11:J11)</f>
        <v>235</v>
      </c>
      <c r="L11" s="4">
        <f>=RANK(K11,$K$2:$K$45,0)</f>
        <v>35</v>
      </c>
    </row>
    <row r="12" spans="1:12" ht="18.75">
      <c r="A12" s="4">
        <v>11</v>
      </c>
      <c r="B12" s="4" t="s">
        <v>2873</v>
      </c>
      <c r="C12" s="4">
        <v>2308</v>
      </c>
      <c r="D12" s="4" t="str">
        <f>=VLOOKUP(B12,[2]在校生综合信息查询!$A$525:$C$559,2,0)</f>
        <v>24q710201090</v>
      </c>
      <c r="E12" s="12">
        <v>70</v>
      </c>
      <c r="F12" s="95">
        <v>97</v>
      </c>
      <c r="G12" s="95">
        <v>50.5</v>
      </c>
      <c r="H12" s="95">
        <v>52</v>
      </c>
      <c r="I12" s="95">
        <v>68</v>
      </c>
      <c r="J12" s="95">
        <v>50</v>
      </c>
      <c r="K12" s="4">
        <f>=SUM(E12:J12)</f>
        <v>387.5</v>
      </c>
      <c r="L12" s="4">
        <f>=RANK(K12,$K$2:$K$45,0)</f>
        <v>9</v>
      </c>
    </row>
    <row r="13" spans="1:12" ht="18.75">
      <c r="A13" s="4">
        <v>12</v>
      </c>
      <c r="B13" s="4" t="s">
        <v>2875</v>
      </c>
      <c r="C13" s="4">
        <v>2309</v>
      </c>
      <c r="D13" s="4" t="str">
        <f>=VLOOKUP(B13,[2]在校生综合信息查询!$A$525:$C$559,2,0)</f>
        <v>24q710201091</v>
      </c>
      <c r="E13" s="12">
        <v>39</v>
      </c>
      <c r="F13" s="95">
        <v>93</v>
      </c>
      <c r="G13" s="95">
        <v>47.5</v>
      </c>
      <c r="H13" s="95">
        <v>60</v>
      </c>
      <c r="I13" s="95">
        <v>43</v>
      </c>
      <c r="J13" s="95">
        <v>46</v>
      </c>
      <c r="K13" s="4">
        <f>=SUM(E13:J13)</f>
        <v>328.5</v>
      </c>
      <c r="L13" s="4">
        <f>=RANK(K13,$K$2:$K$45,0)</f>
        <v>17</v>
      </c>
    </row>
    <row r="14" spans="1:12" ht="18.75">
      <c r="A14" s="4">
        <v>13</v>
      </c>
      <c r="B14" s="4" t="s">
        <v>2877</v>
      </c>
      <c r="C14" s="4">
        <v>2310</v>
      </c>
      <c r="D14" s="4" t="str">
        <f>=VLOOKUP(B14,[2]在校生综合信息查询!$A$525:$C$559,2,0)</f>
        <v>24q710201092</v>
      </c>
      <c r="E14" s="12">
        <v>74</v>
      </c>
      <c r="F14" s="95">
        <v>85</v>
      </c>
      <c r="G14" s="95">
        <v>37.5</v>
      </c>
      <c r="H14" s="95">
        <v>60</v>
      </c>
      <c r="I14" s="95">
        <v>79</v>
      </c>
      <c r="J14" s="95">
        <v>46</v>
      </c>
      <c r="K14" s="4">
        <f>=SUM(E14:J14)</f>
        <v>381.5</v>
      </c>
      <c r="L14" s="4">
        <f>=RANK(K14,$K$2:$K$45,0)</f>
        <v>11</v>
      </c>
    </row>
    <row r="15" spans="1:12" ht="18.75">
      <c r="A15" s="4">
        <v>14</v>
      </c>
      <c r="B15" s="4" t="s">
        <v>2879</v>
      </c>
      <c r="C15" s="4">
        <v>2311</v>
      </c>
      <c r="D15" s="4" t="str">
        <f>=VLOOKUP(B15,[2]在校生综合信息查询!$A$525:$C$559,2,0)</f>
        <v>24q710201093</v>
      </c>
      <c r="E15" s="12">
        <v>51</v>
      </c>
      <c r="F15" s="95">
        <v>39</v>
      </c>
      <c r="G15" s="95">
        <v>45.5</v>
      </c>
      <c r="H15" s="95">
        <v>67</v>
      </c>
      <c r="I15" s="95">
        <v>58</v>
      </c>
      <c r="J15" s="95">
        <v>39</v>
      </c>
      <c r="K15" s="4">
        <f>=SUM(E15:J15)</f>
        <v>299.5</v>
      </c>
      <c r="L15" s="4">
        <f>=RANK(K15,$K$2:$K$45,0)</f>
        <v>25</v>
      </c>
    </row>
    <row r="16" spans="1:12" ht="18.75">
      <c r="A16" s="4">
        <v>15</v>
      </c>
      <c r="B16" s="4" t="s">
        <v>2881</v>
      </c>
      <c r="C16" s="4">
        <v>2312</v>
      </c>
      <c r="D16" s="4" t="str">
        <f>=VLOOKUP(B16,[2]在校生综合信息查询!$A$525:$C$559,2,0)</f>
        <v>24q710201095</v>
      </c>
      <c r="E16" s="12">
        <v>43</v>
      </c>
      <c r="F16" s="95">
        <v>54</v>
      </c>
      <c r="G16" s="95">
        <v>44.5</v>
      </c>
      <c r="H16" s="95">
        <v>57</v>
      </c>
      <c r="I16" s="95">
        <v>25</v>
      </c>
      <c r="J16" s="95">
        <v>37</v>
      </c>
      <c r="K16" s="4">
        <f>=SUM(E16:J16)</f>
        <v>260.5</v>
      </c>
      <c r="L16" s="4">
        <f>=RANK(K16,$K$2:$K$45,0)</f>
        <v>30</v>
      </c>
    </row>
    <row r="17" spans="1:12" ht="18.75">
      <c r="A17" s="4">
        <v>16</v>
      </c>
      <c r="B17" s="4" t="s">
        <v>2883</v>
      </c>
      <c r="C17" s="4">
        <v>2313</v>
      </c>
      <c r="D17" s="4" t="str">
        <f>=VLOOKUP(B17,[2]在校生综合信息查询!$A$525:$C$559,2,0)</f>
        <v>24q710201098</v>
      </c>
      <c r="E17" s="12">
        <v>49</v>
      </c>
      <c r="F17" s="95">
        <v>96</v>
      </c>
      <c r="G17" s="95">
        <v>79.5</v>
      </c>
      <c r="H17" s="95">
        <v>55</v>
      </c>
      <c r="I17" s="95">
        <v>82</v>
      </c>
      <c r="J17" s="95">
        <v>48</v>
      </c>
      <c r="K17" s="4">
        <f>=SUM(E17:J17)</f>
        <v>409.5</v>
      </c>
      <c r="L17" s="4">
        <f>=RANK(K17,$K$2:$K$45,0)</f>
        <v>6</v>
      </c>
    </row>
    <row r="18" spans="1:12" ht="18.75">
      <c r="A18" s="4">
        <v>17</v>
      </c>
      <c r="B18" s="4" t="s">
        <v>2885</v>
      </c>
      <c r="C18" s="4">
        <v>2331</v>
      </c>
      <c r="D18" s="4" t="str">
        <f>=VLOOKUP(B18,[2]在校生综合信息查询!$A$525:$C$559,2,0)</f>
        <v>24q710201099</v>
      </c>
      <c r="E18" s="12">
        <v>62</v>
      </c>
      <c r="F18" s="95">
        <v>78</v>
      </c>
      <c r="G18" s="95">
        <v>35.5</v>
      </c>
      <c r="H18" s="95">
        <v>54</v>
      </c>
      <c r="I18" s="95">
        <v>41</v>
      </c>
      <c r="J18" s="95">
        <v>48</v>
      </c>
      <c r="K18" s="4">
        <f>=SUM(E18:J18)</f>
        <v>318.5</v>
      </c>
      <c r="L18" s="4">
        <f>=RANK(K18,$K$2:$K$45,0)</f>
        <v>21</v>
      </c>
    </row>
    <row r="19" spans="1:12" ht="18.75">
      <c r="A19" s="4">
        <v>18</v>
      </c>
      <c r="B19" s="4" t="s">
        <v>2887</v>
      </c>
      <c r="C19" s="4">
        <v>2314</v>
      </c>
      <c r="D19" s="4" t="str">
        <f>=VLOOKUP(B19,[2]在校生综合信息查询!$A$525:$C$559,2,0)</f>
        <v>24q710201321</v>
      </c>
      <c r="E19" s="12">
        <v>67</v>
      </c>
      <c r="F19" s="95">
        <v>62</v>
      </c>
      <c r="G19" s="95">
        <v>69</v>
      </c>
      <c r="H19" s="95">
        <v>50</v>
      </c>
      <c r="I19" s="95">
        <v>36</v>
      </c>
      <c r="J19" s="95">
        <v>36</v>
      </c>
      <c r="K19" s="4">
        <f>=SUM(E19:J19)</f>
        <v>320</v>
      </c>
      <c r="L19" s="4">
        <f>=RANK(K19,$K$2:$K$45,0)</f>
        <v>20</v>
      </c>
    </row>
    <row r="20" spans="1:12" ht="18.75">
      <c r="A20" s="4">
        <v>19</v>
      </c>
      <c r="B20" s="4" t="s">
        <v>2889</v>
      </c>
      <c r="C20" s="4">
        <v>2315</v>
      </c>
      <c r="D20" s="4" t="str">
        <f>=VLOOKUP(B20,[2]在校生综合信息查询!$A$525:$C$559,2,0)</f>
        <v>24q710201100</v>
      </c>
      <c r="E20" s="12">
        <v>55</v>
      </c>
      <c r="F20" s="95">
        <v>84</v>
      </c>
      <c r="G20" s="95">
        <v>47.5</v>
      </c>
      <c r="H20" s="95">
        <v>50</v>
      </c>
      <c r="I20" s="95">
        <v>49</v>
      </c>
      <c r="J20" s="95">
        <v>39</v>
      </c>
      <c r="K20" s="4">
        <f>=SUM(E20:J20)</f>
        <v>324.5</v>
      </c>
      <c r="L20" s="4">
        <f>=RANK(K20,$K$2:$K$45,0)</f>
        <v>18</v>
      </c>
    </row>
    <row r="21" spans="1:12" ht="18.75">
      <c r="A21" s="4">
        <v>20</v>
      </c>
      <c r="B21" s="4" t="s">
        <v>2891</v>
      </c>
      <c r="C21" s="4">
        <v>2316</v>
      </c>
      <c r="D21" s="4" t="str">
        <f>=VLOOKUP(B21,[2]在校生综合信息查询!$A$525:$C$559,2,0)</f>
        <v>24q710201101</v>
      </c>
      <c r="E21" s="12">
        <v>46</v>
      </c>
      <c r="F21" s="95">
        <v>28</v>
      </c>
      <c r="G21" s="95">
        <v>59</v>
      </c>
      <c r="H21" s="95">
        <v>55</v>
      </c>
      <c r="I21" s="95">
        <v>22</v>
      </c>
      <c r="J21" s="95">
        <v>44</v>
      </c>
      <c r="K21" s="4">
        <f>=SUM(E21:J21)</f>
        <v>254</v>
      </c>
      <c r="L21" s="4">
        <f>=RANK(K21,$K$2:$K$45,0)</f>
        <v>32</v>
      </c>
    </row>
    <row r="22" spans="1:12" ht="18.75">
      <c r="A22" s="4">
        <v>21</v>
      </c>
      <c r="B22" s="4" t="s">
        <v>2893</v>
      </c>
      <c r="C22" s="4">
        <v>2317</v>
      </c>
      <c r="D22" s="4" t="str">
        <f>=VLOOKUP(B22,[2]在校生综合信息查询!$A$525:$C$559,2,0)</f>
        <v>24q710201102</v>
      </c>
      <c r="E22" s="12">
        <v>49</v>
      </c>
      <c r="F22" s="95">
        <v>109</v>
      </c>
      <c r="G22" s="95">
        <v>65</v>
      </c>
      <c r="H22" s="95">
        <v>65</v>
      </c>
      <c r="I22" s="95">
        <v>74</v>
      </c>
      <c r="J22" s="95">
        <v>66</v>
      </c>
      <c r="K22" s="4">
        <f>=SUM(E22:J22)</f>
        <v>428</v>
      </c>
      <c r="L22" s="4">
        <f>=RANK(K22,$K$2:$K$45,0)</f>
        <v>5</v>
      </c>
    </row>
    <row r="23" spans="1:12" ht="18.75">
      <c r="A23" s="4">
        <v>22</v>
      </c>
      <c r="B23" s="4" t="s">
        <v>2895</v>
      </c>
      <c r="C23" s="4">
        <v>2318</v>
      </c>
      <c r="D23" s="4" t="str">
        <f>=VLOOKUP(B23,[2]在校生综合信息查询!$A$525:$C$559,2,0)</f>
        <v>24q710201103</v>
      </c>
      <c r="E23" s="12">
        <v>49</v>
      </c>
      <c r="F23" s="95">
        <v>17</v>
      </c>
      <c r="G23" s="95">
        <v>33</v>
      </c>
      <c r="H23" s="95">
        <v>61</v>
      </c>
      <c r="I23" s="95">
        <v>30</v>
      </c>
      <c r="J23" s="95">
        <v>50</v>
      </c>
      <c r="K23" s="4">
        <f>=SUM(E23:J23)</f>
        <v>240</v>
      </c>
      <c r="L23" s="4">
        <f>=RANK(K23,$K$2:$K$45,0)</f>
        <v>34</v>
      </c>
    </row>
    <row r="24" spans="1:12" ht="18.75">
      <c r="A24" s="4">
        <v>23</v>
      </c>
      <c r="B24" s="4" t="s">
        <v>2897</v>
      </c>
      <c r="C24" s="4">
        <v>2319</v>
      </c>
      <c r="D24" s="4" t="str">
        <f>=VLOOKUP(B24,[2]在校生综合信息查询!$A$525:$C$559,2,0)</f>
        <v>24q710201104</v>
      </c>
      <c r="E24" s="12">
        <v>63</v>
      </c>
      <c r="F24" s="95">
        <v>119</v>
      </c>
      <c r="G24" s="95">
        <v>63.5</v>
      </c>
      <c r="H24" s="95">
        <v>81</v>
      </c>
      <c r="I24" s="95">
        <v>78</v>
      </c>
      <c r="J24" s="95">
        <v>59</v>
      </c>
      <c r="K24" s="4">
        <f>=SUM(E24:J24)</f>
        <v>463.5</v>
      </c>
      <c r="L24" s="4">
        <f>=RANK(K24,$K$2:$K$45,0)</f>
        <v>4</v>
      </c>
    </row>
    <row r="25" spans="1:12" ht="18.75">
      <c r="A25" s="4">
        <v>24</v>
      </c>
      <c r="B25" s="4" t="s">
        <v>2899</v>
      </c>
      <c r="C25" s="4">
        <v>2320</v>
      </c>
      <c r="D25" s="4" t="str">
        <f>=VLOOKUP(B25,[2]在校生综合信息查询!$A$525:$C$559,2,0)</f>
        <v>24q710201106</v>
      </c>
      <c r="E25" s="12">
        <v>65</v>
      </c>
      <c r="F25" s="95">
        <v>70</v>
      </c>
      <c r="G25" s="95">
        <v>61</v>
      </c>
      <c r="H25" s="95">
        <v>57</v>
      </c>
      <c r="I25" s="95">
        <v>56</v>
      </c>
      <c r="J25" s="95">
        <v>55</v>
      </c>
      <c r="K25" s="4">
        <f>=SUM(E25:J25)</f>
        <v>364</v>
      </c>
      <c r="L25" s="4">
        <f>=RANK(K25,$K$2:$K$45,0)</f>
        <v>13</v>
      </c>
    </row>
    <row r="26" spans="1:12" ht="18.75">
      <c r="A26" s="4">
        <v>25</v>
      </c>
      <c r="B26" s="4" t="s">
        <v>1111</v>
      </c>
      <c r="C26" s="4">
        <v>2321</v>
      </c>
      <c r="D26" s="4" t="str">
        <f>=VLOOKUP(B26,[2]在校生综合信息查询!$A$525:$C$559,2,0)</f>
        <v>24q710201108</v>
      </c>
      <c r="E26" s="12">
        <v>75</v>
      </c>
      <c r="F26" s="95">
        <v>69</v>
      </c>
      <c r="G26" s="95">
        <v>77.5</v>
      </c>
      <c r="H26" s="95">
        <v>76</v>
      </c>
      <c r="I26" s="95">
        <v>92</v>
      </c>
      <c r="J26" s="95">
        <v>78</v>
      </c>
      <c r="K26" s="4">
        <f>=SUM(E26:J26)</f>
        <v>467.5</v>
      </c>
      <c r="L26" s="4">
        <f>=RANK(K26,$K$2:$K$45,0)</f>
        <v>2</v>
      </c>
    </row>
    <row r="27" spans="1:12" ht="18.75">
      <c r="A27" s="4">
        <v>26</v>
      </c>
      <c r="B27" s="4" t="s">
        <v>2902</v>
      </c>
      <c r="C27" s="4">
        <v>2322</v>
      </c>
      <c r="D27" s="4" t="str">
        <f>=VLOOKUP(B27,[2]在校生综合信息查询!$A$525:$C$559,2,0)</f>
        <v>24q710201109</v>
      </c>
      <c r="E27" s="12">
        <v>57</v>
      </c>
      <c r="F27" s="95">
        <v>129</v>
      </c>
      <c r="G27" s="95">
        <v>63</v>
      </c>
      <c r="H27" s="95">
        <v>85</v>
      </c>
      <c r="I27" s="95">
        <v>92</v>
      </c>
      <c r="J27" s="95">
        <v>77</v>
      </c>
      <c r="K27" s="4">
        <f>=SUM(E27:J27)</f>
        <v>503</v>
      </c>
      <c r="L27" s="4">
        <f>=RANK(K27,$K$2:$K$45,0)</f>
        <v>1</v>
      </c>
    </row>
    <row r="28" spans="1:12" ht="18.75">
      <c r="A28" s="4">
        <v>27</v>
      </c>
      <c r="B28" s="4" t="s">
        <v>2904</v>
      </c>
      <c r="C28" s="4">
        <v>2323</v>
      </c>
      <c r="D28" s="4" t="str">
        <f>=VLOOKUP(B28,[2]在校生综合信息查询!$A$525:$C$559,2,0)</f>
        <v>24q710201110</v>
      </c>
      <c r="E28" s="12">
        <v>51</v>
      </c>
      <c r="F28" s="95">
        <v>62</v>
      </c>
      <c r="G28" s="95">
        <v>55</v>
      </c>
      <c r="H28" s="95">
        <v>71</v>
      </c>
      <c r="I28" s="95">
        <v>77</v>
      </c>
      <c r="J28" s="95">
        <v>63</v>
      </c>
      <c r="K28" s="4">
        <f>=SUM(E28:J28)</f>
        <v>379</v>
      </c>
      <c r="L28" s="4">
        <f>=RANK(K28,$K$2:$K$45,0)</f>
        <v>12</v>
      </c>
    </row>
    <row r="29" spans="1:12" ht="18.75">
      <c r="A29" s="4">
        <v>28</v>
      </c>
      <c r="B29" s="4" t="s">
        <v>2906</v>
      </c>
      <c r="C29" s="4">
        <v>2324</v>
      </c>
      <c r="D29" s="4" t="str">
        <f>=VLOOKUP(B29,[2]在校生综合信息查询!$A$525:$C$559,2,0)</f>
        <v>24q710201111</v>
      </c>
      <c r="E29" s="12">
        <v>53</v>
      </c>
      <c r="F29" s="95">
        <v>46</v>
      </c>
      <c r="G29" s="95">
        <v>62</v>
      </c>
      <c r="H29" s="95">
        <v>56</v>
      </c>
      <c r="I29" s="95">
        <v>42</v>
      </c>
      <c r="J29" s="95">
        <v>43</v>
      </c>
      <c r="K29" s="4">
        <f>=SUM(E29:J29)</f>
        <v>302</v>
      </c>
      <c r="L29" s="4">
        <f>=RANK(K29,$K$2:$K$45,0)</f>
        <v>24</v>
      </c>
    </row>
    <row r="30" spans="1:12" ht="18.75">
      <c r="A30" s="4">
        <v>29</v>
      </c>
      <c r="B30" s="4" t="s">
        <v>2908</v>
      </c>
      <c r="C30" s="4">
        <v>2325</v>
      </c>
      <c r="D30" s="4" t="str">
        <f>=VLOOKUP(B30,[2]在校生综合信息查询!$A$525:$C$559,2,0)</f>
        <v>24q710201113</v>
      </c>
      <c r="E30" s="12">
        <v>75</v>
      </c>
      <c r="F30" s="95">
        <v>89</v>
      </c>
      <c r="G30" s="95">
        <v>63.5</v>
      </c>
      <c r="H30" s="95">
        <v>63</v>
      </c>
      <c r="I30" s="95">
        <v>74</v>
      </c>
      <c r="J30" s="95">
        <v>38</v>
      </c>
      <c r="K30" s="4">
        <f>=SUM(E30:J30)</f>
        <v>402.5</v>
      </c>
      <c r="L30" s="4">
        <f>=RANK(K30,$K$2:$K$45,0)</f>
        <v>8</v>
      </c>
    </row>
    <row r="31" spans="1:12" ht="18.75">
      <c r="A31" s="4">
        <v>30</v>
      </c>
      <c r="B31" s="4" t="s">
        <v>2910</v>
      </c>
      <c r="C31" s="4">
        <v>2326</v>
      </c>
      <c r="D31" s="4" t="str">
        <f>=VLOOKUP(B31,[2]在校生综合信息查询!$A$525:$C$559,2,0)</f>
        <v>24q710201114</v>
      </c>
      <c r="E31" s="12">
        <v>35</v>
      </c>
      <c r="F31" s="95">
        <v>65</v>
      </c>
      <c r="G31" s="95">
        <v>61</v>
      </c>
      <c r="H31" s="95">
        <v>47</v>
      </c>
      <c r="I31" s="95">
        <v>24</v>
      </c>
      <c r="J31" s="95">
        <v>38</v>
      </c>
      <c r="K31" s="4">
        <f>=SUM(E31:J31)</f>
        <v>270</v>
      </c>
      <c r="L31" s="4">
        <f>=RANK(K31,$K$2:$K$45,0)</f>
        <v>28</v>
      </c>
    </row>
    <row r="32" spans="1:12" ht="18.75">
      <c r="A32" s="4">
        <v>31</v>
      </c>
      <c r="B32" s="4" t="s">
        <v>2912</v>
      </c>
      <c r="C32" s="4">
        <v>2327</v>
      </c>
      <c r="D32" s="4" t="str">
        <f>=VLOOKUP(B32,[2]在校生综合信息查询!$A$525:$C$559,2,0)</f>
        <v>24q710201115</v>
      </c>
      <c r="E32" s="12">
        <v>52</v>
      </c>
      <c r="F32" s="95">
        <v>54</v>
      </c>
      <c r="G32" s="95">
        <v>56</v>
      </c>
      <c r="H32" s="95">
        <v>60</v>
      </c>
      <c r="I32" s="95">
        <v>45</v>
      </c>
      <c r="J32" s="95">
        <v>46</v>
      </c>
      <c r="K32" s="4">
        <f>=SUM(E32:J32)</f>
        <v>313</v>
      </c>
      <c r="L32" s="4">
        <f>=RANK(K32,$K$2:$K$45,0)</f>
        <v>22</v>
      </c>
    </row>
    <row r="33" spans="1:12" ht="18.75">
      <c r="A33" s="4">
        <v>32</v>
      </c>
      <c r="B33" s="4" t="s">
        <v>2914</v>
      </c>
      <c r="C33" s="4">
        <v>2328</v>
      </c>
      <c r="D33" s="4" t="str">
        <f>=VLOOKUP(B33,[2]在校生综合信息查询!$A$525:$C$559,2,0)</f>
        <v>24q710201116</v>
      </c>
      <c r="E33" s="12">
        <v>74</v>
      </c>
      <c r="F33" s="95">
        <v>96</v>
      </c>
      <c r="G33" s="95">
        <v>45.5</v>
      </c>
      <c r="H33" s="95">
        <v>82</v>
      </c>
      <c r="I33" s="95">
        <v>93</v>
      </c>
      <c r="J33" s="95">
        <v>75</v>
      </c>
      <c r="K33" s="4">
        <f>=SUM(E33:J33)</f>
        <v>465.5</v>
      </c>
      <c r="L33" s="4">
        <f>=RANK(K33,$K$2:$K$45,0)</f>
        <v>3</v>
      </c>
    </row>
    <row r="34" spans="1:12" ht="18.75">
      <c r="A34" s="4">
        <v>33</v>
      </c>
      <c r="B34" s="4" t="s">
        <v>2916</v>
      </c>
      <c r="C34" s="4">
        <v>2329</v>
      </c>
      <c r="D34" s="4" t="str">
        <f>=VLOOKUP(B34,[2]在校生综合信息查询!$A$525:$C$559,2,0)</f>
        <v>24q710201117</v>
      </c>
      <c r="E34" s="12">
        <v>52</v>
      </c>
      <c r="F34" s="95">
        <v>51</v>
      </c>
      <c r="G34" s="95">
        <v>46.5</v>
      </c>
      <c r="H34" s="95">
        <v>60</v>
      </c>
      <c r="I34" s="95">
        <v>60</v>
      </c>
      <c r="J34" s="95">
        <v>53</v>
      </c>
      <c r="K34" s="4">
        <f>=SUM(E34:J34)</f>
        <v>322.5</v>
      </c>
      <c r="L34" s="4">
        <f>=RANK(K34,$K$2:$K$45,0)</f>
        <v>19</v>
      </c>
    </row>
    <row r="35" spans="1:12" ht="18.75">
      <c r="A35" s="4">
        <v>34</v>
      </c>
      <c r="B35" s="4" t="s">
        <v>2918</v>
      </c>
      <c r="C35" s="4">
        <v>2330</v>
      </c>
      <c r="D35" s="4" t="str">
        <f>=VLOOKUP(B35,[2]在校生综合信息查询!$A$525:$C$559,2,0)</f>
        <v>24q710201119</v>
      </c>
      <c r="E35" s="12">
        <v>35</v>
      </c>
      <c r="F35" s="95">
        <v>36</v>
      </c>
      <c r="G35" s="95">
        <v>46</v>
      </c>
      <c r="H35" s="95">
        <v>53</v>
      </c>
      <c r="I35" s="95">
        <v>44</v>
      </c>
      <c r="J35" s="95">
        <v>46</v>
      </c>
      <c r="K35" s="4">
        <f>=SUM(E35:J35)</f>
        <v>260</v>
      </c>
      <c r="L35" s="4">
        <f>=RANK(K35,$K$2:$K$45,0)</f>
        <v>31</v>
      </c>
    </row>
    <row r="36" spans="1:12" ht="18.75">
      <c r="A36" s="4">
        <v>35</v>
      </c>
      <c r="B36" s="4" t="s">
        <v>2920</v>
      </c>
      <c r="C36" s="4" t="s"/>
      <c r="D36" s="4" t="str">
        <f>=VLOOKUP(B36,[2]在校生综合信息查询!$A$525:$C$559,2,0)</f>
        <v>24q710201121</v>
      </c>
      <c r="E36" s="12">
        <v>63</v>
      </c>
      <c r="F36" s="95">
        <v>67</v>
      </c>
      <c r="G36" s="95">
        <v>64</v>
      </c>
      <c r="H36" s="95">
        <v>59</v>
      </c>
      <c r="I36" s="95">
        <v>52</v>
      </c>
      <c r="J36" s="95">
        <v>52</v>
      </c>
      <c r="K36" s="4">
        <f>=SUM(E36:J36)</f>
        <v>357</v>
      </c>
      <c r="L36" s="4">
        <f>=RANK(K36,$K$2:$K$45,0)</f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/>
  <dimension ref="P45"/>
  <sheetViews>
    <sheetView showGridLines="1" workbookViewId="0"/>
  </sheetViews>
  <sheetFormatPr defaultColWidth="8.75" defaultRowHeight="14.25"/>
  <cols>
    <col min="1" max="1" width="8.75" style="122"/>
    <col min="2" max="2" width="7.75" style="123"/>
    <col min="3" max="3" width="0" style="123" hidden="1" customWidth="1"/>
    <col min="4" max="4" width="17.375" style="123" customWidth="1"/>
    <col min="5" max="7" width="8.75" style="123"/>
    <col min="8" max="8" width="15.875" customWidth="1"/>
    <col min="9" max="9" width="15.125" customWidth="1"/>
    <col min="10" max="10" width="15.625" customWidth="1"/>
    <col min="13" max="16" width="9.71094" customWidth="1"/>
  </cols>
  <sheetData>
    <row r="1" spans="1:16" ht="18.7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108</v>
      </c>
      <c r="I1" s="5" t="s">
        <v>1861</v>
      </c>
      <c r="J1" s="5" t="s">
        <v>106</v>
      </c>
      <c r="K1" s="5" t="s">
        <v>11</v>
      </c>
      <c r="L1" s="5" t="s">
        <v>12</v>
      </c>
      <c r="M1" s="96" t="s"/>
      <c r="N1" s="75" t="s">
        <v>5</v>
      </c>
      <c r="O1" s="96" t="s">
        <v>6</v>
      </c>
      <c r="P1" s="96" t="s">
        <v>7</v>
      </c>
    </row>
    <row r="2" spans="1:16" ht="18.75">
      <c r="A2" s="4">
        <v>1</v>
      </c>
      <c r="B2" s="4" t="s">
        <v>2922</v>
      </c>
      <c r="C2" s="4">
        <v>2254</v>
      </c>
      <c r="D2" s="4" t="str">
        <f>=VLOOKUP(B2,[2]在校生综合信息查询!$A$560:$C$604,2,0)</f>
        <v>24q740101001</v>
      </c>
      <c r="E2" s="4">
        <f>=VLOOKUP(B2,$M$1:$P$45,2,FALSE)</f>
        <v>20</v>
      </c>
      <c r="F2" s="12">
        <f>=VLOOKUP(B2,$M$1:$P$45,3,FALSE)</f>
        <v>12</v>
      </c>
      <c r="G2" s="97">
        <f>=VLOOKUP(B2,$M$1:$P$45,4,FALSE)</f>
        <v>27</v>
      </c>
      <c r="H2" s="20">
        <v>45</v>
      </c>
      <c r="I2" s="6">
        <v>43</v>
      </c>
      <c r="J2" s="6">
        <v>26</v>
      </c>
      <c r="K2" s="5">
        <f>=SUM(E2:J2)</f>
        <v>173</v>
      </c>
      <c r="L2" s="5">
        <f>=RANK(K2,$K$2:$K$45,0)</f>
        <v>13</v>
      </c>
      <c r="M2" s="73" t="s">
        <v>2924</v>
      </c>
      <c r="N2" s="74">
        <v>18</v>
      </c>
      <c r="O2" s="74">
        <v>36</v>
      </c>
      <c r="P2" s="74">
        <v>25.5</v>
      </c>
    </row>
    <row r="3" spans="1:16" ht="18.75">
      <c r="A3" s="4">
        <v>2</v>
      </c>
      <c r="B3" s="4" t="s">
        <v>2925</v>
      </c>
      <c r="C3" s="4">
        <v>2296</v>
      </c>
      <c r="D3" s="4" t="str">
        <f>=VLOOKUP(B3,[2]在校生综合信息查询!$A$560:$C$604,2,0)</f>
        <v>24q740101002</v>
      </c>
      <c r="E3" s="4">
        <f>=VLOOKUP(B3,$M$1:$P$45,2,FALSE)</f>
        <v>9</v>
      </c>
      <c r="F3" s="12">
        <f>=VLOOKUP(B3,$M$1:$P$45,3,FALSE)</f>
        <v>16</v>
      </c>
      <c r="G3" s="98">
        <f>=VLOOKUP(B3,$M$1:$P$45,4,FALSE)</f>
        <v>21.5</v>
      </c>
      <c r="H3" s="6">
        <v>32</v>
      </c>
      <c r="I3" s="6">
        <v>17</v>
      </c>
      <c r="J3" s="6">
        <v>25</v>
      </c>
      <c r="K3" s="5">
        <f>=SUM(E3:J3)</f>
        <v>120.5</v>
      </c>
      <c r="L3" s="5">
        <f>=RANK(K3,$K$2:$K$45,0)</f>
        <v>33</v>
      </c>
      <c r="M3" s="76" t="s">
        <v>2927</v>
      </c>
      <c r="N3" s="77">
        <v>52</v>
      </c>
      <c r="O3" s="77">
        <v>16</v>
      </c>
      <c r="P3" s="77">
        <v>57.5</v>
      </c>
    </row>
    <row r="4" spans="1:16" ht="18.75">
      <c r="A4" s="4">
        <v>3</v>
      </c>
      <c r="B4" s="4" t="s">
        <v>2928</v>
      </c>
      <c r="C4" s="4">
        <v>2255</v>
      </c>
      <c r="D4" s="4" t="str">
        <f>=VLOOKUP(B4,[2]在校生综合信息查询!$A$560:$C$604,2,0)</f>
        <v>24q7401010181</v>
      </c>
      <c r="E4" s="4">
        <f>=VLOOKUP(B4,$M$1:$P$45,2,FALSE)</f>
        <v>0</v>
      </c>
      <c r="F4" s="12">
        <f>=VLOOKUP(B4,$M$1:$P$45,3,FALSE)</f>
        <v>0</v>
      </c>
      <c r="G4" s="98">
        <f>=VLOOKUP(B4,$M$1:$P$45,4,FALSE)</f>
        <v>0</v>
      </c>
      <c r="H4" s="5" t="s"/>
      <c r="I4" s="5" t="s"/>
      <c r="J4" s="5" t="s"/>
      <c r="K4" s="5">
        <f>=SUM(E4:J4)</f>
        <v>0</v>
      </c>
      <c r="L4" s="5">
        <f>=RANK(K4,$K$2:$K$45,0)</f>
        <v>41</v>
      </c>
      <c r="M4" s="76" t="s">
        <v>2930</v>
      </c>
      <c r="N4" s="77">
        <v>70</v>
      </c>
      <c r="O4" s="77">
        <v>30</v>
      </c>
      <c r="P4" s="77">
        <v>37</v>
      </c>
    </row>
    <row r="5" spans="1:16" ht="18.75">
      <c r="A5" s="4">
        <v>4</v>
      </c>
      <c r="B5" s="4" t="s">
        <v>2931</v>
      </c>
      <c r="C5" s="4">
        <v>2256</v>
      </c>
      <c r="D5" s="4" t="str">
        <f>=VLOOKUP(B5,[2]在校生综合信息查询!$A$560:$C$604,2,0)</f>
        <v>24q740101004</v>
      </c>
      <c r="E5" s="4">
        <f>=VLOOKUP(B5,$M$1:$P$45,2,FALSE)</f>
        <v>0</v>
      </c>
      <c r="F5" s="12">
        <f>=VLOOKUP(B5,$M$1:$P$45,3,FALSE)</f>
        <v>0</v>
      </c>
      <c r="G5" s="98">
        <f>=VLOOKUP(B5,$M$1:$P$45,4,FALSE)</f>
        <v>0</v>
      </c>
      <c r="H5" s="5" t="s"/>
      <c r="I5" s="5" t="s"/>
      <c r="J5" s="5" t="s"/>
      <c r="K5" s="5">
        <f>=SUM(E5:J5)</f>
        <v>0</v>
      </c>
      <c r="L5" s="5">
        <f>=RANK(K5,$K$2:$K$45,0)</f>
        <v>41</v>
      </c>
      <c r="M5" s="76" t="s">
        <v>2933</v>
      </c>
      <c r="N5" s="77">
        <v>25</v>
      </c>
      <c r="O5" s="77">
        <v>4</v>
      </c>
      <c r="P5" s="77">
        <v>49.5</v>
      </c>
    </row>
    <row r="6" spans="1:16" ht="18.75">
      <c r="A6" s="4">
        <v>5</v>
      </c>
      <c r="B6" s="4" t="s">
        <v>2934</v>
      </c>
      <c r="C6" s="4">
        <v>2294</v>
      </c>
      <c r="D6" s="4" t="str">
        <f>=VLOOKUP(B6,[2]在校生综合信息查询!$A$560:$C$604,2,0)</f>
        <v>24q740101005</v>
      </c>
      <c r="E6" s="4">
        <f>=VLOOKUP(B6,$M$1:$P$45,2,FALSE)</f>
        <v>24</v>
      </c>
      <c r="F6" s="12">
        <f>=VLOOKUP(B6,$M$1:$P$45,3,FALSE)</f>
        <v>12</v>
      </c>
      <c r="G6" s="98">
        <f>=VLOOKUP(B6,$M$1:$P$45,4,FALSE)</f>
        <v>17</v>
      </c>
      <c r="H6" s="6">
        <v>46.5</v>
      </c>
      <c r="I6" s="6">
        <v>34</v>
      </c>
      <c r="J6" s="6">
        <v>29</v>
      </c>
      <c r="K6" s="5">
        <f>=SUM(E6:J6)</f>
        <v>162.5</v>
      </c>
      <c r="L6" s="5">
        <f>=RANK(K6,$K$2:$K$45,0)</f>
        <v>18</v>
      </c>
      <c r="M6" s="76" t="s">
        <v>2936</v>
      </c>
      <c r="N6" s="77">
        <v>9</v>
      </c>
      <c r="O6" s="77">
        <v>32</v>
      </c>
      <c r="P6" s="77">
        <v>17.5</v>
      </c>
    </row>
    <row r="7" spans="1:16" ht="18.75">
      <c r="A7" s="4">
        <v>6</v>
      </c>
      <c r="B7" s="4" t="s">
        <v>2937</v>
      </c>
      <c r="C7" s="4">
        <v>2257</v>
      </c>
      <c r="D7" s="4" t="str">
        <f>=VLOOKUP(B7,[2]在校生综合信息查询!$A$560:$C$604,2,0)</f>
        <v>20241306</v>
      </c>
      <c r="E7" s="4">
        <f>=VLOOKUP(B7,$M$1:$P$45,2,FALSE)</f>
        <v>37</v>
      </c>
      <c r="F7" s="12">
        <f>=VLOOKUP(B7,$M$1:$P$45,3,FALSE)</f>
        <v>32</v>
      </c>
      <c r="G7" s="98">
        <f>=VLOOKUP(B7,$M$1:$P$45,4,FALSE)</f>
        <v>10.5</v>
      </c>
      <c r="H7" s="6">
        <v>34</v>
      </c>
      <c r="I7" s="6">
        <v>51.5</v>
      </c>
      <c r="J7" s="6">
        <v>42.5</v>
      </c>
      <c r="K7" s="5">
        <f>=SUM(E7:J7)</f>
        <v>207.5</v>
      </c>
      <c r="L7" s="5">
        <f>=RANK(K7,$K$2:$K$45,0)</f>
        <v>5</v>
      </c>
      <c r="M7" s="76" t="s">
        <v>2939</v>
      </c>
      <c r="N7" s="77">
        <v>12</v>
      </c>
      <c r="O7" s="77">
        <v>32</v>
      </c>
      <c r="P7" s="77">
        <v>17.5</v>
      </c>
    </row>
    <row r="8" spans="1:16" ht="18.75">
      <c r="A8" s="4">
        <v>7</v>
      </c>
      <c r="B8" s="4" t="s">
        <v>2940</v>
      </c>
      <c r="C8" s="4">
        <v>2289</v>
      </c>
      <c r="D8" s="4" t="str">
        <f>=VLOOKUP(B8,[2]在校生综合信息查询!$A$560:$C$604,2,0)</f>
        <v>24q740101007</v>
      </c>
      <c r="E8" s="4">
        <f>=VLOOKUP(B8,$M$1:$P$45,2,FALSE)</f>
        <v>13</v>
      </c>
      <c r="F8" s="12">
        <f>=VLOOKUP(B8,$M$1:$P$45,3,FALSE)</f>
        <v>8</v>
      </c>
      <c r="G8" s="98">
        <f>=VLOOKUP(B8,$M$1:$P$45,4,FALSE)</f>
        <v>20.5</v>
      </c>
      <c r="H8" s="6">
        <v>37</v>
      </c>
      <c r="I8" s="6">
        <v>25</v>
      </c>
      <c r="J8" s="6">
        <v>26.5</v>
      </c>
      <c r="K8" s="5">
        <f>=SUM(E8:J8)</f>
        <v>130</v>
      </c>
      <c r="L8" s="5">
        <f>=RANK(K8,$K$2:$K$45,0)</f>
        <v>32</v>
      </c>
      <c r="M8" s="76" t="s">
        <v>2942</v>
      </c>
      <c r="N8" s="77">
        <v>21</v>
      </c>
      <c r="O8" s="77">
        <v>32</v>
      </c>
      <c r="P8" s="77">
        <v>20.5</v>
      </c>
    </row>
    <row r="9" spans="1:16" ht="18.75">
      <c r="A9" s="4">
        <v>8</v>
      </c>
      <c r="B9" s="4" t="s">
        <v>2943</v>
      </c>
      <c r="C9" s="4">
        <v>2290</v>
      </c>
      <c r="D9" s="4" t="str">
        <f>=VLOOKUP(B9,[2]在校生综合信息查询!$A$560:$C$604,2,0)</f>
        <v>24q740101075</v>
      </c>
      <c r="E9" s="4">
        <f>=VLOOKUP(B9,$M$1:$P$45,2,FALSE)</f>
        <v>28</v>
      </c>
      <c r="F9" s="12">
        <f>=VLOOKUP(B9,$M$1:$P$45,3,FALSE)</f>
        <v>16</v>
      </c>
      <c r="G9" s="98">
        <f>=VLOOKUP(B9,$M$1:$P$45,4,FALSE)</f>
        <v>23</v>
      </c>
      <c r="H9" s="6">
        <v>29.5</v>
      </c>
      <c r="I9" s="6">
        <v>20</v>
      </c>
      <c r="J9" s="6">
        <v>14.5</v>
      </c>
      <c r="K9" s="5">
        <f>=SUM(E9:J9)</f>
        <v>131</v>
      </c>
      <c r="L9" s="5">
        <f>=RANK(K9,$K$2:$K$45,0)</f>
        <v>30</v>
      </c>
      <c r="M9" s="76" t="s">
        <v>2937</v>
      </c>
      <c r="N9" s="77">
        <v>37</v>
      </c>
      <c r="O9" s="77">
        <v>32</v>
      </c>
      <c r="P9" s="77">
        <v>10.5</v>
      </c>
    </row>
    <row r="10" spans="1:16" ht="18.75">
      <c r="A10" s="4">
        <v>9</v>
      </c>
      <c r="B10" s="4" t="s">
        <v>2945</v>
      </c>
      <c r="C10" s="4">
        <v>2258</v>
      </c>
      <c r="D10" s="4" t="str">
        <f>=VLOOKUP(B10,[2]在校生综合信息查询!$A$560:$C$604,2,0)</f>
        <v>24q740101076</v>
      </c>
      <c r="E10" s="4">
        <f>=VLOOKUP(B10,$M$1:$P$45,2,FALSE)</f>
        <v>17</v>
      </c>
      <c r="F10" s="12">
        <f>=VLOOKUP(B10,$M$1:$P$45,3,FALSE)</f>
        <v>24</v>
      </c>
      <c r="G10" s="98">
        <f>=VLOOKUP(B10,$M$1:$P$45,4,FALSE)</f>
        <v>37</v>
      </c>
      <c r="H10" s="6">
        <v>20.5</v>
      </c>
      <c r="I10" s="6">
        <v>35</v>
      </c>
      <c r="J10" s="6">
        <v>19.5</v>
      </c>
      <c r="K10" s="5">
        <f>=SUM(E10:J10)</f>
        <v>153</v>
      </c>
      <c r="L10" s="5">
        <f>=RANK(K10,$K$2:$K$45,0)</f>
        <v>22</v>
      </c>
      <c r="M10" s="76" t="s">
        <v>2947</v>
      </c>
      <c r="N10" s="77">
        <v>48</v>
      </c>
      <c r="O10" s="77">
        <v>13</v>
      </c>
      <c r="P10" s="77">
        <v>49</v>
      </c>
    </row>
    <row r="11" spans="1:16" ht="18.75">
      <c r="A11" s="4">
        <v>10</v>
      </c>
      <c r="B11" s="4" t="s">
        <v>2933</v>
      </c>
      <c r="C11" s="4">
        <v>2259</v>
      </c>
      <c r="D11" s="4" t="str">
        <f>=VLOOKUP(B11,[2]在校生综合信息查询!$A$560:$C$604,2,0)</f>
        <v>24q740101011</v>
      </c>
      <c r="E11" s="4">
        <f>=VLOOKUP(B11,$M$1:$P$45,2,FALSE)</f>
        <v>25</v>
      </c>
      <c r="F11" s="12">
        <f>=VLOOKUP(B11,$M$1:$P$45,3,FALSE)</f>
        <v>4</v>
      </c>
      <c r="G11" s="98">
        <f>=VLOOKUP(B11,$M$1:$P$45,4,FALSE)</f>
        <v>49.5</v>
      </c>
      <c r="H11" s="6">
        <v>40</v>
      </c>
      <c r="I11" s="6">
        <v>50</v>
      </c>
      <c r="J11" s="6">
        <v>30</v>
      </c>
      <c r="K11" s="5">
        <f>=SUM(E11:J11)</f>
        <v>198.5</v>
      </c>
      <c r="L11" s="5">
        <f>=RANK(K11,$K$2:$K$45,0)</f>
        <v>7</v>
      </c>
      <c r="M11" s="76" t="s">
        <v>1988</v>
      </c>
      <c r="N11" s="77">
        <v>22</v>
      </c>
      <c r="O11" s="77">
        <v>20</v>
      </c>
      <c r="P11" s="77">
        <v>41</v>
      </c>
    </row>
    <row r="12" spans="1:16" ht="18.75">
      <c r="A12" s="4">
        <v>11</v>
      </c>
      <c r="B12" s="4" t="s">
        <v>2949</v>
      </c>
      <c r="C12" s="4">
        <v>2260</v>
      </c>
      <c r="D12" s="4" t="str">
        <f>=VLOOKUP(B12,[2]在校生综合信息查询!$A$560:$C$604,2,0)</f>
        <v>24q740101013</v>
      </c>
      <c r="E12" s="4">
        <f>=VLOOKUP(B12,$M$1:$P$45,2,FALSE)</f>
        <v>21</v>
      </c>
      <c r="F12" s="12">
        <f>=VLOOKUP(B12,$M$1:$P$45,3,FALSE)</f>
        <v>16</v>
      </c>
      <c r="G12" s="98">
        <f>=VLOOKUP(B12,$M$1:$P$45,4,FALSE)</f>
        <v>19.5</v>
      </c>
      <c r="H12" s="6">
        <v>47.5</v>
      </c>
      <c r="I12" s="6">
        <v>46</v>
      </c>
      <c r="J12" s="6">
        <v>54.5</v>
      </c>
      <c r="K12" s="5">
        <f>=SUM(E12:J12)</f>
        <v>204.5</v>
      </c>
      <c r="L12" s="5">
        <f>=RANK(K12,$K$2:$K$45,0)</f>
        <v>6</v>
      </c>
      <c r="M12" s="76" t="s">
        <v>2951</v>
      </c>
      <c r="N12" s="77">
        <v>41</v>
      </c>
      <c r="O12" s="77">
        <v>24</v>
      </c>
      <c r="P12" s="77">
        <v>20.5</v>
      </c>
    </row>
    <row r="13" spans="1:16" ht="18.75">
      <c r="A13" s="4">
        <v>12</v>
      </c>
      <c r="B13" s="4" t="s">
        <v>2924</v>
      </c>
      <c r="C13" s="4">
        <v>2261</v>
      </c>
      <c r="D13" s="4" t="str">
        <f>=VLOOKUP(B13,[2]在校生综合信息查询!$A$560:$C$604,2,0)</f>
        <v>24q740101014</v>
      </c>
      <c r="E13" s="4">
        <f>=VLOOKUP(B13,$M$1:$P$45,2,FALSE)</f>
        <v>18</v>
      </c>
      <c r="F13" s="12">
        <f>=VLOOKUP(B13,$M$1:$P$45,3,FALSE)</f>
        <v>36</v>
      </c>
      <c r="G13" s="98">
        <f>=VLOOKUP(B13,$M$1:$P$45,4,FALSE)</f>
        <v>25.5</v>
      </c>
      <c r="H13" s="6">
        <v>43</v>
      </c>
      <c r="I13" s="6">
        <v>32</v>
      </c>
      <c r="J13" s="6">
        <v>26</v>
      </c>
      <c r="K13" s="5">
        <f>=SUM(E13:J13)</f>
        <v>180.5</v>
      </c>
      <c r="L13" s="5">
        <f>=RANK(K13,$K$2:$K$45,0)</f>
        <v>11</v>
      </c>
      <c r="M13" s="76" t="s">
        <v>2953</v>
      </c>
      <c r="N13" s="77">
        <v>38</v>
      </c>
      <c r="O13" s="77">
        <v>16</v>
      </c>
      <c r="P13" s="77">
        <v>27</v>
      </c>
    </row>
    <row r="14" spans="1:16" ht="18.75">
      <c r="A14" s="4">
        <v>13</v>
      </c>
      <c r="B14" s="4" t="s">
        <v>2927</v>
      </c>
      <c r="C14" s="4">
        <v>2295</v>
      </c>
      <c r="D14" s="4" t="str">
        <f>=VLOOKUP(B14,[2]在校生综合信息查询!$A$560:$C$604,2,0)</f>
        <v>24q740101015</v>
      </c>
      <c r="E14" s="4">
        <f>=VLOOKUP(B14,$M$1:$P$45,2,FALSE)</f>
        <v>52</v>
      </c>
      <c r="F14" s="12">
        <f>=VLOOKUP(B14,$M$1:$P$45,3,FALSE)</f>
        <v>16</v>
      </c>
      <c r="G14" s="98">
        <f>=VLOOKUP(B14,$M$1:$P$45,4,FALSE)</f>
        <v>57.5</v>
      </c>
      <c r="H14" s="6">
        <v>26</v>
      </c>
      <c r="I14" s="6">
        <v>52.5</v>
      </c>
      <c r="J14" s="6">
        <v>28.5</v>
      </c>
      <c r="K14" s="5">
        <f>=SUM(E14:J14)</f>
        <v>232.5</v>
      </c>
      <c r="L14" s="5">
        <f>=RANK(K14,$K$2:$K$45,0)</f>
        <v>2</v>
      </c>
      <c r="M14" s="76" t="s">
        <v>2945</v>
      </c>
      <c r="N14" s="77">
        <v>17</v>
      </c>
      <c r="O14" s="77">
        <v>24</v>
      </c>
      <c r="P14" s="77">
        <v>37</v>
      </c>
    </row>
    <row r="15" spans="1:16" ht="18.75">
      <c r="A15" s="4">
        <v>14</v>
      </c>
      <c r="B15" s="4" t="s">
        <v>2955</v>
      </c>
      <c r="C15" s="4">
        <v>2262</v>
      </c>
      <c r="D15" s="4" t="str">
        <f>=VLOOKUP(B15,[2]在校生综合信息查询!$A$560:$C$604,2,0)</f>
        <v>20240551</v>
      </c>
      <c r="E15" s="4">
        <f>=VLOOKUP(B15,$M$1:$P$45,2,FALSE)</f>
        <v>30</v>
      </c>
      <c r="F15" s="12">
        <f>=VLOOKUP(B15,$M$1:$P$45,3,FALSE)</f>
        <v>12</v>
      </c>
      <c r="G15" s="98">
        <f>=VLOOKUP(B15,$M$1:$P$45,4,FALSE)</f>
        <v>22</v>
      </c>
      <c r="H15" s="6">
        <v>33.5</v>
      </c>
      <c r="I15" s="6">
        <v>34</v>
      </c>
      <c r="J15" s="6">
        <v>62.5</v>
      </c>
      <c r="K15" s="5">
        <f>=SUM(E15:J15)</f>
        <v>194</v>
      </c>
      <c r="L15" s="5">
        <f>=RANK(K15,$K$2:$K$45,0)</f>
        <v>9</v>
      </c>
      <c r="M15" s="76" t="s">
        <v>2957</v>
      </c>
      <c r="N15" s="77">
        <v>24</v>
      </c>
      <c r="O15" s="77">
        <v>12</v>
      </c>
      <c r="P15" s="77">
        <v>31.5</v>
      </c>
    </row>
    <row r="16" spans="1:16" ht="18.75">
      <c r="A16" s="4">
        <v>15</v>
      </c>
      <c r="B16" s="4" t="s">
        <v>2930</v>
      </c>
      <c r="C16" s="4">
        <v>2263</v>
      </c>
      <c r="D16" s="4" t="str">
        <f>=VLOOKUP(B16,[2]在校生综合信息查询!$A$560:$C$604,2,0)</f>
        <v>24q740101016</v>
      </c>
      <c r="E16" s="4">
        <f>=VLOOKUP(B16,$M$1:$P$45,2,FALSE)</f>
        <v>70</v>
      </c>
      <c r="F16" s="12">
        <f>=VLOOKUP(B16,$M$1:$P$45,3,FALSE)</f>
        <v>30</v>
      </c>
      <c r="G16" s="98">
        <f>=VLOOKUP(B16,$M$1:$P$45,4,FALSE)</f>
        <v>37</v>
      </c>
      <c r="H16" s="6">
        <v>3</v>
      </c>
      <c r="I16" s="6">
        <v>58</v>
      </c>
      <c r="J16" s="6">
        <v>23.5</v>
      </c>
      <c r="K16" s="5">
        <f>=SUM(E16:J16)</f>
        <v>221.5</v>
      </c>
      <c r="L16" s="5">
        <f>=RANK(K16,$K$2:$K$45,0)</f>
        <v>3</v>
      </c>
      <c r="M16" s="76" t="s">
        <v>2959</v>
      </c>
      <c r="N16" s="77">
        <v>34</v>
      </c>
      <c r="O16" s="77">
        <v>28</v>
      </c>
      <c r="P16" s="77">
        <v>15</v>
      </c>
    </row>
    <row r="17" spans="1:16" ht="18.75">
      <c r="A17" s="4">
        <v>16</v>
      </c>
      <c r="B17" s="4" t="s">
        <v>2953</v>
      </c>
      <c r="C17" s="4">
        <v>2264</v>
      </c>
      <c r="D17" s="4" t="str">
        <f>=VLOOKUP(B17,[2]在校生综合信息查询!$A$560:$C$604,2,0)</f>
        <v>24q740101018</v>
      </c>
      <c r="E17" s="4">
        <f>=VLOOKUP(B17,$M$1:$P$45,2,FALSE)</f>
        <v>38</v>
      </c>
      <c r="F17" s="12">
        <f>=VLOOKUP(B17,$M$1:$P$45,3,FALSE)</f>
        <v>16</v>
      </c>
      <c r="G17" s="98">
        <f>=VLOOKUP(B17,$M$1:$P$45,4,FALSE)</f>
        <v>27</v>
      </c>
      <c r="H17" s="6">
        <v>40.5</v>
      </c>
      <c r="I17" s="6">
        <v>50.5</v>
      </c>
      <c r="J17" s="6">
        <v>42</v>
      </c>
      <c r="K17" s="5">
        <f>=SUM(E17:J17)</f>
        <v>214</v>
      </c>
      <c r="L17" s="5">
        <f>=RANK(K17,$K$2:$K$45,0)</f>
        <v>4</v>
      </c>
      <c r="M17" s="76" t="s">
        <v>2961</v>
      </c>
      <c r="N17" s="77">
        <v>30</v>
      </c>
      <c r="O17" s="77">
        <v>20</v>
      </c>
      <c r="P17" s="77">
        <v>22</v>
      </c>
    </row>
    <row r="18" spans="1:16" ht="18.75">
      <c r="A18" s="4">
        <v>17</v>
      </c>
      <c r="B18" s="4" t="s">
        <v>2961</v>
      </c>
      <c r="C18" s="4">
        <v>2265</v>
      </c>
      <c r="D18" s="4" t="str">
        <f>=VLOOKUP(B18,[2]在校生综合信息查询!$A$560:$C$604,2,0)</f>
        <v>24q740101019</v>
      </c>
      <c r="E18" s="4">
        <f>=VLOOKUP(B18,$M$1:$P$45,2,FALSE)</f>
        <v>30</v>
      </c>
      <c r="F18" s="12">
        <f>=VLOOKUP(B18,$M$1:$P$45,3,FALSE)</f>
        <v>20</v>
      </c>
      <c r="G18" s="98">
        <f>=VLOOKUP(B18,$M$1:$P$45,4,FALSE)</f>
        <v>22</v>
      </c>
      <c r="H18" s="6">
        <v>27.5</v>
      </c>
      <c r="I18" s="6">
        <v>52.5</v>
      </c>
      <c r="J18" s="6">
        <v>25.5</v>
      </c>
      <c r="K18" s="5">
        <f>=SUM(E18:J18)</f>
        <v>177.5</v>
      </c>
      <c r="L18" s="5">
        <f>=RANK(K18,$K$2:$K$45,0)</f>
        <v>12</v>
      </c>
      <c r="M18" s="76" t="s">
        <v>2963</v>
      </c>
      <c r="N18" s="77">
        <v>19</v>
      </c>
      <c r="O18" s="77">
        <v>16</v>
      </c>
      <c r="P18" s="77">
        <v>29</v>
      </c>
    </row>
    <row r="19" spans="1:16" ht="18.75">
      <c r="A19" s="4">
        <v>18</v>
      </c>
      <c r="B19" s="4" t="s">
        <v>2964</v>
      </c>
      <c r="C19" s="4">
        <v>2266</v>
      </c>
      <c r="D19" s="4" t="str">
        <f>=VLOOKUP(B19,[2]在校生综合信息查询!$A$560:$C$604,2,0)</f>
        <v>24q740101021</v>
      </c>
      <c r="E19" s="4">
        <f>=VLOOKUP(B19,$M$1:$P$45,2,FALSE)</f>
        <v>0</v>
      </c>
      <c r="F19" s="12">
        <f>=VLOOKUP(B19,$M$1:$P$45,3,FALSE)</f>
        <v>0</v>
      </c>
      <c r="G19" s="98">
        <f>=VLOOKUP(B19,$M$1:$P$45,4,FALSE)</f>
        <v>0</v>
      </c>
      <c r="H19" s="5" t="s"/>
      <c r="I19" s="5" t="s"/>
      <c r="J19" s="5" t="s"/>
      <c r="K19" s="5">
        <f>=SUM(E19:J19)</f>
        <v>0</v>
      </c>
      <c r="L19" s="5">
        <f>=RANK(K19,$K$2:$K$45,0)</f>
        <v>41</v>
      </c>
      <c r="M19" s="76" t="s">
        <v>2955</v>
      </c>
      <c r="N19" s="77">
        <v>30</v>
      </c>
      <c r="O19" s="77">
        <v>12</v>
      </c>
      <c r="P19" s="77">
        <v>22</v>
      </c>
    </row>
    <row r="20" spans="1:16" ht="18.75">
      <c r="A20" s="4">
        <v>19</v>
      </c>
      <c r="B20" s="4" t="s">
        <v>2936</v>
      </c>
      <c r="C20" s="4">
        <v>2287</v>
      </c>
      <c r="D20" s="4" t="str">
        <f>=VLOOKUP(B20,[2]在校生综合信息查询!$A$560:$C$604,2,0)</f>
        <v>24q740101022</v>
      </c>
      <c r="E20" s="4">
        <f>=VLOOKUP(B20,$M$1:$P$45,2,FALSE)</f>
        <v>9</v>
      </c>
      <c r="F20" s="12">
        <f>=VLOOKUP(B20,$M$1:$P$45,3,FALSE)</f>
        <v>32</v>
      </c>
      <c r="G20" s="98">
        <f>=VLOOKUP(B20,$M$1:$P$45,4,FALSE)</f>
        <v>17.5</v>
      </c>
      <c r="H20" s="6">
        <v>30</v>
      </c>
      <c r="I20" s="6">
        <v>44</v>
      </c>
      <c r="J20" s="6">
        <v>19.5</v>
      </c>
      <c r="K20" s="5">
        <f>=SUM(E20:J20)</f>
        <v>152</v>
      </c>
      <c r="L20" s="5">
        <f>=RANK(K20,$K$2:$K$45,0)</f>
        <v>23</v>
      </c>
      <c r="M20" s="76" t="s">
        <v>2967</v>
      </c>
      <c r="N20" s="77">
        <v>25</v>
      </c>
      <c r="O20" s="77">
        <v>4</v>
      </c>
      <c r="P20" s="77">
        <v>28</v>
      </c>
    </row>
    <row r="21" spans="1:16" ht="18.75">
      <c r="A21" s="4">
        <v>20</v>
      </c>
      <c r="B21" s="4" t="s">
        <v>2951</v>
      </c>
      <c r="C21" s="4">
        <v>2267</v>
      </c>
      <c r="D21" s="4" t="str">
        <f>=VLOOKUP(B21,[2]在校生综合信息查询!$A$560:$C$604,2,0)</f>
        <v>24q71010328622</v>
      </c>
      <c r="E21" s="4">
        <f>=VLOOKUP(B21,$M$1:$P$45,2,FALSE)</f>
        <v>41</v>
      </c>
      <c r="F21" s="12">
        <f>=VLOOKUP(B21,$M$1:$P$45,3,FALSE)</f>
        <v>24</v>
      </c>
      <c r="G21" s="98">
        <f>=VLOOKUP(B21,$M$1:$P$45,4,FALSE)</f>
        <v>20.5</v>
      </c>
      <c r="H21" s="6">
        <v>27.5</v>
      </c>
      <c r="I21" s="6">
        <v>33</v>
      </c>
      <c r="J21" s="6">
        <v>21</v>
      </c>
      <c r="K21" s="5">
        <f>=SUM(E21:J21)</f>
        <v>167</v>
      </c>
      <c r="L21" s="5">
        <f>=RANK(K21,$K$2:$K$45,0)</f>
        <v>15</v>
      </c>
      <c r="M21" s="76" t="s">
        <v>2922</v>
      </c>
      <c r="N21" s="77">
        <v>20</v>
      </c>
      <c r="O21" s="77">
        <v>12</v>
      </c>
      <c r="P21" s="77">
        <v>27</v>
      </c>
    </row>
    <row r="22" spans="1:16" ht="18.75">
      <c r="A22" s="4">
        <v>21</v>
      </c>
      <c r="B22" s="4" t="s">
        <v>2957</v>
      </c>
      <c r="C22" s="4">
        <v>2288</v>
      </c>
      <c r="D22" s="4" t="str">
        <f>=VLOOKUP(B22,[2]在校生综合信息查询!$A$560:$C$604,2,0)</f>
        <v>24q740101026</v>
      </c>
      <c r="E22" s="4">
        <f>=VLOOKUP(B22,$M$1:$P$45,2,FALSE)</f>
        <v>24</v>
      </c>
      <c r="F22" s="12">
        <f>=VLOOKUP(B22,$M$1:$P$45,3,FALSE)</f>
        <v>12</v>
      </c>
      <c r="G22" s="98">
        <f>=VLOOKUP(B22,$M$1:$P$45,4,FALSE)</f>
        <v>31.5</v>
      </c>
      <c r="H22" s="6">
        <v>26</v>
      </c>
      <c r="I22" s="6">
        <v>46</v>
      </c>
      <c r="J22" s="6">
        <v>25</v>
      </c>
      <c r="K22" s="5">
        <f>=SUM(E22:J22)</f>
        <v>164.5</v>
      </c>
      <c r="L22" s="5">
        <f>=RANK(K22,$K$2:$K$45,0)</f>
        <v>17</v>
      </c>
      <c r="M22" s="76" t="s">
        <v>2970</v>
      </c>
      <c r="N22" s="77">
        <v>10</v>
      </c>
      <c r="O22" s="77">
        <v>20</v>
      </c>
      <c r="P22" s="77">
        <v>27</v>
      </c>
    </row>
    <row r="23" spans="1:16" ht="18.75">
      <c r="A23" s="4">
        <v>22</v>
      </c>
      <c r="B23" s="4" t="s">
        <v>2971</v>
      </c>
      <c r="C23" s="4">
        <v>2268</v>
      </c>
      <c r="D23" s="4" t="str">
        <f>=VLOOKUP(B23,[2]在校生综合信息查询!$A$560:$C$604,2,0)</f>
        <v>740101026</v>
      </c>
      <c r="E23" s="4">
        <f>=VLOOKUP(B23,$M$1:$P$45,2,FALSE)</f>
        <v>11</v>
      </c>
      <c r="F23" s="12">
        <f>=VLOOKUP(B23,$M$1:$P$45,3,FALSE)</f>
        <v>16</v>
      </c>
      <c r="G23" s="98">
        <f>=VLOOKUP(B23,$M$1:$P$45,4,FALSE)</f>
        <v>17.5</v>
      </c>
      <c r="H23" s="6">
        <v>27</v>
      </c>
      <c r="I23" s="6">
        <v>37</v>
      </c>
      <c r="J23" s="6">
        <v>22.5</v>
      </c>
      <c r="K23" s="5">
        <f>=SUM(E23:J23)</f>
        <v>131</v>
      </c>
      <c r="L23" s="5">
        <f>=RANK(K23,$K$2:$K$45,0)</f>
        <v>30</v>
      </c>
      <c r="M23" s="76" t="s">
        <v>2973</v>
      </c>
      <c r="N23" s="77">
        <v>25</v>
      </c>
      <c r="O23" s="77">
        <v>20</v>
      </c>
      <c r="P23" s="77">
        <v>20</v>
      </c>
    </row>
    <row r="24" spans="1:16" ht="18.75">
      <c r="A24" s="4">
        <v>23</v>
      </c>
      <c r="B24" s="4" t="s">
        <v>2974</v>
      </c>
      <c r="C24" s="4">
        <v>2269</v>
      </c>
      <c r="D24" s="4" t="str">
        <f>=VLOOKUP(B24,[2]在校生综合信息查询!$A$560:$C$604,2,0)</f>
        <v>24q740101028</v>
      </c>
      <c r="E24" s="4">
        <f>=VLOOKUP(B24,$M$1:$P$45,2,FALSE)</f>
        <v>23</v>
      </c>
      <c r="F24" s="12">
        <f>=VLOOKUP(B24,$M$1:$P$45,3,FALSE)</f>
        <v>12</v>
      </c>
      <c r="G24" s="98">
        <f>=VLOOKUP(B24,$M$1:$P$45,4,FALSE)</f>
        <v>16.5</v>
      </c>
      <c r="H24" s="6">
        <v>43.5</v>
      </c>
      <c r="I24" s="6">
        <v>44</v>
      </c>
      <c r="J24" s="6">
        <v>43</v>
      </c>
      <c r="K24" s="5">
        <f>=SUM(E24:J24)</f>
        <v>182</v>
      </c>
      <c r="L24" s="5">
        <f>=RANK(K24,$K$2:$K$45,0)</f>
        <v>10</v>
      </c>
      <c r="M24" s="76" t="s">
        <v>2976</v>
      </c>
      <c r="N24" s="77">
        <v>8</v>
      </c>
      <c r="O24" s="77">
        <v>20</v>
      </c>
      <c r="P24" s="77">
        <v>0</v>
      </c>
    </row>
    <row r="25" spans="1:16" ht="18.75">
      <c r="A25" s="4">
        <v>24</v>
      </c>
      <c r="B25" s="4" t="s">
        <v>2959</v>
      </c>
      <c r="C25" s="4">
        <v>2270</v>
      </c>
      <c r="D25" s="4" t="str">
        <f>=VLOOKUP(B25,[2]在校生综合信息查询!$A$560:$C$604,2,0)</f>
        <v>24q740101029</v>
      </c>
      <c r="E25" s="4">
        <f>=VLOOKUP(B25,$M$1:$P$45,2,FALSE)</f>
        <v>34</v>
      </c>
      <c r="F25" s="12">
        <f>=VLOOKUP(B25,$M$1:$P$45,3,FALSE)</f>
        <v>28</v>
      </c>
      <c r="G25" s="98">
        <f>=VLOOKUP(B25,$M$1:$P$45,4,FALSE)</f>
        <v>15</v>
      </c>
      <c r="H25" s="6">
        <v>19.5</v>
      </c>
      <c r="I25" s="6">
        <v>37</v>
      </c>
      <c r="J25" s="6">
        <v>25</v>
      </c>
      <c r="K25" s="5">
        <f>=SUM(E25:J25)</f>
        <v>158.5</v>
      </c>
      <c r="L25" s="5">
        <f>=RANK(K25,$K$2:$K$45,0)</f>
        <v>19</v>
      </c>
      <c r="M25" s="76" t="s">
        <v>2978</v>
      </c>
      <c r="N25" s="77">
        <v>17</v>
      </c>
      <c r="O25" s="77">
        <v>20</v>
      </c>
      <c r="P25" s="77">
        <v>21</v>
      </c>
    </row>
    <row r="26" spans="1:16" ht="18.75">
      <c r="A26" s="4">
        <v>25</v>
      </c>
      <c r="B26" s="4" t="s">
        <v>1988</v>
      </c>
      <c r="C26" s="4">
        <v>2271</v>
      </c>
      <c r="D26" s="4" t="str">
        <f>=VLOOKUP(B26,[2]在校生综合信息查询!$A$560:$C$604,2,0)</f>
        <v>24q740101031</v>
      </c>
      <c r="E26" s="4">
        <f>=VLOOKUP(B26,$M$1:$P$45,2,FALSE)</f>
        <v>22</v>
      </c>
      <c r="F26" s="12">
        <f>=VLOOKUP(B26,$M$1:$P$45,3,FALSE)</f>
        <v>20</v>
      </c>
      <c r="G26" s="98">
        <f>=VLOOKUP(B26,$M$1:$P$45,4,FALSE)</f>
        <v>41</v>
      </c>
      <c r="H26" s="6">
        <v>41.5</v>
      </c>
      <c r="I26" s="6">
        <v>48</v>
      </c>
      <c r="J26" s="6">
        <v>23</v>
      </c>
      <c r="K26" s="5">
        <f>=SUM(E26:J26)</f>
        <v>195.5</v>
      </c>
      <c r="L26" s="5">
        <f>=RANK(K26,$K$2:$K$45,0)</f>
        <v>8</v>
      </c>
      <c r="M26" s="76" t="s">
        <v>2943</v>
      </c>
      <c r="N26" s="77">
        <v>28</v>
      </c>
      <c r="O26" s="77">
        <v>16</v>
      </c>
      <c r="P26" s="77">
        <v>23</v>
      </c>
    </row>
    <row r="27" spans="1:16" ht="18.75">
      <c r="A27" s="4">
        <v>26</v>
      </c>
      <c r="B27" s="4" t="s">
        <v>2980</v>
      </c>
      <c r="C27" s="4">
        <v>2272</v>
      </c>
      <c r="D27" s="4" t="e">
        <f>=VLOOKUP(B27,[2]在校生综合信息查询!$A$560:$C$604,2,0)</f>
        <v>#N/A</v>
      </c>
      <c r="E27" s="4">
        <f>=VLOOKUP(B27,$M$1:$P$45,2,FALSE)</f>
        <v>15</v>
      </c>
      <c r="F27" s="12">
        <f>=VLOOKUP(B27,$M$1:$P$45,3,FALSE)</f>
        <v>8</v>
      </c>
      <c r="G27" s="98">
        <f>=VLOOKUP(B27,$M$1:$P$45,4,FALSE)</f>
        <v>24</v>
      </c>
      <c r="H27" s="6">
        <v>20</v>
      </c>
      <c r="I27" s="6">
        <v>47</v>
      </c>
      <c r="J27" s="6">
        <v>28</v>
      </c>
      <c r="K27" s="5">
        <f>=SUM(E27:J27)</f>
        <v>142</v>
      </c>
      <c r="L27" s="5">
        <f>=RANK(K27,$K$2:$K$45,0)</f>
        <v>26</v>
      </c>
      <c r="M27" s="76" t="s">
        <v>2934</v>
      </c>
      <c r="N27" s="77">
        <v>24</v>
      </c>
      <c r="O27" s="77">
        <v>12</v>
      </c>
      <c r="P27" s="77">
        <v>17</v>
      </c>
    </row>
    <row r="28" spans="1:16" ht="18.75">
      <c r="A28" s="4">
        <v>27</v>
      </c>
      <c r="B28" s="4" t="s">
        <v>2981</v>
      </c>
      <c r="C28" s="4">
        <v>2273</v>
      </c>
      <c r="D28" s="4" t="str">
        <f>=VLOOKUP(B28,[2]在校生综合信息查询!$A$560:$C$604,2,0)</f>
        <v>24q740101036</v>
      </c>
      <c r="E28" s="4">
        <f>=VLOOKUP(B28,$M$1:$P$45,2,FALSE)</f>
        <v>11</v>
      </c>
      <c r="F28" s="12">
        <f>=VLOOKUP(B28,$M$1:$P$45,3,FALSE)</f>
        <v>16</v>
      </c>
      <c r="G28" s="98">
        <f>=VLOOKUP(B28,$M$1:$P$45,4,FALSE)</f>
        <v>16</v>
      </c>
      <c r="H28" s="6">
        <v>24</v>
      </c>
      <c r="I28" s="6">
        <v>50</v>
      </c>
      <c r="J28" s="6">
        <v>31</v>
      </c>
      <c r="K28" s="5">
        <f>=SUM(E28:J28)</f>
        <v>148</v>
      </c>
      <c r="L28" s="5">
        <f>=RANK(K28,$K$2:$K$45,0)</f>
        <v>24</v>
      </c>
      <c r="M28" s="76" t="s">
        <v>2980</v>
      </c>
      <c r="N28" s="77">
        <v>15</v>
      </c>
      <c r="O28" s="77">
        <v>8</v>
      </c>
      <c r="P28" s="77">
        <v>24</v>
      </c>
    </row>
    <row r="29" spans="1:16" ht="18.75">
      <c r="A29" s="4">
        <v>28</v>
      </c>
      <c r="B29" s="4" t="s">
        <v>2983</v>
      </c>
      <c r="C29" s="4">
        <v>2274</v>
      </c>
      <c r="D29" s="4" t="str">
        <f>=VLOOKUP(B29,[2]在校生综合信息查询!$A$560:$C$604,2,0)</f>
        <v>24q740101039</v>
      </c>
      <c r="E29" s="4">
        <f>=VLOOKUP(B29,$M$1:$P$45,2,FALSE)</f>
        <v>12</v>
      </c>
      <c r="F29" s="12">
        <f>=VLOOKUP(B29,$M$1:$P$45,3,FALSE)</f>
        <v>12</v>
      </c>
      <c r="G29" s="98">
        <f>=VLOOKUP(B29,$M$1:$P$45,4,FALSE)</f>
        <v>18.5</v>
      </c>
      <c r="H29" s="6">
        <v>36</v>
      </c>
      <c r="I29" s="6">
        <v>23</v>
      </c>
      <c r="J29" s="6">
        <v>33</v>
      </c>
      <c r="K29" s="5">
        <f>=SUM(E29:J29)</f>
        <v>134.5</v>
      </c>
      <c r="L29" s="5">
        <f>=RANK(K29,$K$2:$K$45,0)</f>
        <v>29</v>
      </c>
      <c r="M29" s="76" t="s">
        <v>2925</v>
      </c>
      <c r="N29" s="77">
        <v>9</v>
      </c>
      <c r="O29" s="77">
        <v>16</v>
      </c>
      <c r="P29" s="77">
        <v>21.5</v>
      </c>
    </row>
    <row r="30" spans="1:16" ht="18.75">
      <c r="A30" s="4">
        <v>29</v>
      </c>
      <c r="B30" s="4" t="s">
        <v>2970</v>
      </c>
      <c r="C30" s="4">
        <v>2292</v>
      </c>
      <c r="D30" s="4" t="str">
        <f>=VLOOKUP(B30,[2]在校生综合信息查询!$A$560:$C$604,2,0)</f>
        <v>24q740101040</v>
      </c>
      <c r="E30" s="4">
        <f>=VLOOKUP(B30,$M$1:$P$45,2,FALSE)</f>
        <v>10</v>
      </c>
      <c r="F30" s="12">
        <f>=VLOOKUP(B30,$M$1:$P$45,3,FALSE)</f>
        <v>20</v>
      </c>
      <c r="G30" s="98">
        <f>=VLOOKUP(B30,$M$1:$P$45,4,FALSE)</f>
        <v>27</v>
      </c>
      <c r="H30" s="6">
        <v>24.5</v>
      </c>
      <c r="I30" s="5" t="s"/>
      <c r="J30" s="6">
        <v>31</v>
      </c>
      <c r="K30" s="5">
        <f>=SUM(E30:J30)</f>
        <v>112.5</v>
      </c>
      <c r="L30" s="5">
        <f>=RANK(K30,$K$2:$K$45,0)</f>
        <v>36</v>
      </c>
      <c r="M30" s="76" t="s">
        <v>2949</v>
      </c>
      <c r="N30" s="77">
        <v>21</v>
      </c>
      <c r="O30" s="77">
        <v>16</v>
      </c>
      <c r="P30" s="77">
        <v>19.5</v>
      </c>
    </row>
    <row r="31" spans="1:16" ht="18.75">
      <c r="A31" s="4">
        <v>30</v>
      </c>
      <c r="B31" s="4" t="s">
        <v>2986</v>
      </c>
      <c r="C31" s="4">
        <v>2275</v>
      </c>
      <c r="D31" s="4" t="str">
        <f>=VLOOKUP(B31,[2]在校生综合信息查询!$A$560:$C$604,2,0)</f>
        <v>24q7401010121</v>
      </c>
      <c r="E31" s="4">
        <f>=VLOOKUP(B31,$M$1:$P$45,2,FALSE)</f>
        <v>0</v>
      </c>
      <c r="F31" s="12">
        <f>=VLOOKUP(B31,$M$1:$P$45,3,FALSE)</f>
        <v>0</v>
      </c>
      <c r="G31" s="98">
        <f>=VLOOKUP(B31,$M$1:$P$45,4,FALSE)</f>
        <v>0</v>
      </c>
      <c r="H31" s="5" t="s"/>
      <c r="I31" s="5" t="s"/>
      <c r="J31" s="5" t="s"/>
      <c r="K31" s="5">
        <f>=SUM(E31:J31)</f>
        <v>0</v>
      </c>
      <c r="L31" s="5">
        <f>=RANK(K31,$K$2:$K$45,0)</f>
        <v>41</v>
      </c>
      <c r="M31" s="76" t="s">
        <v>2974</v>
      </c>
      <c r="N31" s="77">
        <v>23</v>
      </c>
      <c r="O31" s="77">
        <v>12</v>
      </c>
      <c r="P31" s="77">
        <v>16.5</v>
      </c>
    </row>
    <row r="32" spans="1:16" ht="18.75">
      <c r="A32" s="4">
        <v>31</v>
      </c>
      <c r="B32" s="4" t="s">
        <v>2973</v>
      </c>
      <c r="C32" s="4">
        <v>2276</v>
      </c>
      <c r="D32" s="4" t="str">
        <f>=VLOOKUP(B32,[2]在校生综合信息查询!$A$560:$C$604,2,0)</f>
        <v>24q740101041</v>
      </c>
      <c r="E32" s="4">
        <f>=VLOOKUP(B32,$M$1:$P$45,2,FALSE)</f>
        <v>25</v>
      </c>
      <c r="F32" s="12">
        <f>=VLOOKUP(B32,$M$1:$P$45,3,FALSE)</f>
        <v>20</v>
      </c>
      <c r="G32" s="98">
        <f>=VLOOKUP(B32,$M$1:$P$45,4,FALSE)</f>
        <v>20</v>
      </c>
      <c r="H32" s="6">
        <v>31.5</v>
      </c>
      <c r="I32" s="6">
        <v>18</v>
      </c>
      <c r="J32" s="6">
        <v>29.5</v>
      </c>
      <c r="K32" s="5">
        <f>=SUM(E32:J32)</f>
        <v>144</v>
      </c>
      <c r="L32" s="5">
        <f>=RANK(K32,$K$2:$K$45,0)</f>
        <v>25</v>
      </c>
      <c r="M32" s="76" t="s">
        <v>2981</v>
      </c>
      <c r="N32" s="77">
        <v>11</v>
      </c>
      <c r="O32" s="77">
        <v>16</v>
      </c>
      <c r="P32" s="77">
        <v>16</v>
      </c>
    </row>
    <row r="33" spans="1:16" ht="18.75">
      <c r="A33" s="4">
        <v>32</v>
      </c>
      <c r="B33" s="4" t="s">
        <v>2939</v>
      </c>
      <c r="C33" s="4">
        <v>2277</v>
      </c>
      <c r="D33" s="4" t="str">
        <f>=VLOOKUP(B33,[2]在校生综合信息查询!$A$560:$C$604,2,0)</f>
        <v>24q740101042</v>
      </c>
      <c r="E33" s="4">
        <f>=VLOOKUP(B33,$M$1:$P$45,2,FALSE)</f>
        <v>12</v>
      </c>
      <c r="F33" s="12">
        <f>=VLOOKUP(B33,$M$1:$P$45,3,FALSE)</f>
        <v>32</v>
      </c>
      <c r="G33" s="98">
        <f>=VLOOKUP(B33,$M$1:$P$45,4,FALSE)</f>
        <v>17.5</v>
      </c>
      <c r="H33" s="6">
        <v>13.5</v>
      </c>
      <c r="I33" s="6">
        <v>23</v>
      </c>
      <c r="J33" s="6">
        <v>20</v>
      </c>
      <c r="K33" s="5">
        <f>=SUM(E33:J33)</f>
        <v>118</v>
      </c>
      <c r="L33" s="5">
        <f>=RANK(K33,$K$2:$K$45,0)</f>
        <v>35</v>
      </c>
      <c r="M33" s="76" t="s">
        <v>2990</v>
      </c>
      <c r="N33" s="77">
        <v>23</v>
      </c>
      <c r="O33" s="77">
        <v>12</v>
      </c>
      <c r="P33" s="77">
        <v>22</v>
      </c>
    </row>
    <row r="34" spans="1:16" ht="18.75">
      <c r="A34" s="4">
        <v>33</v>
      </c>
      <c r="B34" s="4" t="s">
        <v>2976</v>
      </c>
      <c r="C34" s="4">
        <v>2278</v>
      </c>
      <c r="D34" s="4" t="str">
        <f>=VLOOKUP(B34,[2]在校生综合信息查询!$A$560:$C$604,2,0)</f>
        <v>24q740101043</v>
      </c>
      <c r="E34" s="4">
        <f>=VLOOKUP(B34,$M$1:$P$45,2,FALSE)</f>
        <v>8</v>
      </c>
      <c r="F34" s="12">
        <f>=VLOOKUP(B34,$M$1:$P$45,3,FALSE)</f>
        <v>20</v>
      </c>
      <c r="G34" s="98">
        <f>=VLOOKUP(B34,$M$1:$P$45,4,FALSE)</f>
        <v>0</v>
      </c>
      <c r="H34" s="6">
        <v>16.5</v>
      </c>
      <c r="I34" s="6">
        <v>24</v>
      </c>
      <c r="J34" s="6">
        <v>30.5</v>
      </c>
      <c r="K34" s="5">
        <f>=SUM(E34:J34)</f>
        <v>99</v>
      </c>
      <c r="L34" s="5">
        <f>=RANK(K34,$K$2:$K$45,0)</f>
        <v>38</v>
      </c>
      <c r="M34" s="76" t="s">
        <v>2971</v>
      </c>
      <c r="N34" s="77">
        <v>11</v>
      </c>
      <c r="O34" s="77">
        <v>16</v>
      </c>
      <c r="P34" s="77">
        <v>17.5</v>
      </c>
    </row>
    <row r="35" spans="1:16" ht="18.75">
      <c r="A35" s="4">
        <v>34</v>
      </c>
      <c r="B35" s="4" t="s">
        <v>2963</v>
      </c>
      <c r="C35" s="4">
        <v>2279</v>
      </c>
      <c r="D35" s="4" t="str">
        <f>=VLOOKUP(B35,[2]在校生综合信息查询!$A$560:$C$604,2,0)</f>
        <v>24q740101044</v>
      </c>
      <c r="E35" s="4">
        <f>=VLOOKUP(B35,$M$1:$P$45,2,FALSE)</f>
        <v>19</v>
      </c>
      <c r="F35" s="12">
        <f>=VLOOKUP(B35,$M$1:$P$45,3,FALSE)</f>
        <v>16</v>
      </c>
      <c r="G35" s="98">
        <f>=VLOOKUP(B35,$M$1:$P$45,4,FALSE)</f>
        <v>29</v>
      </c>
      <c r="H35" s="6">
        <v>21</v>
      </c>
      <c r="I35" s="6">
        <v>31</v>
      </c>
      <c r="J35" s="6">
        <v>37.5</v>
      </c>
      <c r="K35" s="5">
        <f>=SUM(E35:J35)</f>
        <v>153.5</v>
      </c>
      <c r="L35" s="5">
        <f>=RANK(K35,$K$2:$K$45,0)</f>
        <v>21</v>
      </c>
      <c r="M35" s="76" t="s">
        <v>2940</v>
      </c>
      <c r="N35" s="77">
        <v>13</v>
      </c>
      <c r="O35" s="77">
        <v>8</v>
      </c>
      <c r="P35" s="77">
        <v>20.5</v>
      </c>
    </row>
    <row r="36" spans="1:16" ht="18.75">
      <c r="A36" s="4">
        <v>35</v>
      </c>
      <c r="B36" s="4" t="s">
        <v>2993</v>
      </c>
      <c r="C36" s="4" t="s"/>
      <c r="D36" s="4" t="str">
        <f>=VLOOKUP(B36,[2]在校生综合信息查询!$A$560:$C$604,2,0)</f>
        <v>24q740101045</v>
      </c>
      <c r="E36" s="4">
        <f>=VLOOKUP(B36,$M$1:$P$45,2,FALSE)</f>
        <v>11</v>
      </c>
      <c r="F36" s="12">
        <f>=VLOOKUP(B36,$M$1:$P$45,3,FALSE)</f>
        <v>12</v>
      </c>
      <c r="G36" s="98">
        <f>=VLOOKUP(B36,$M$1:$P$45,4,FALSE)</f>
        <v>16.5</v>
      </c>
      <c r="H36" s="6">
        <v>16</v>
      </c>
      <c r="I36" s="6">
        <v>25</v>
      </c>
      <c r="J36" s="6">
        <v>27.5</v>
      </c>
      <c r="K36" s="5">
        <f>=SUM(E36:J36)</f>
        <v>108</v>
      </c>
      <c r="L36" s="5">
        <f>=RANK(K36,$K$2:$K$45,0)</f>
        <v>37</v>
      </c>
      <c r="M36" s="76" t="s">
        <v>2995</v>
      </c>
      <c r="N36" s="77">
        <v>16</v>
      </c>
      <c r="O36" s="77">
        <v>12</v>
      </c>
      <c r="P36" s="77">
        <v>20.5</v>
      </c>
    </row>
    <row r="37" spans="1:16" ht="18.75">
      <c r="A37" s="4">
        <v>36</v>
      </c>
      <c r="B37" s="4" t="s">
        <v>2996</v>
      </c>
      <c r="C37" s="4" t="s"/>
      <c r="D37" s="4" t="str">
        <f>=VLOOKUP(B37,[2]在校生综合信息查询!$A$560:$C$604,2,0)</f>
        <v>24q740101047</v>
      </c>
      <c r="E37" s="4">
        <f>=VLOOKUP(B37,$M$1:$P$45,2,FALSE)</f>
        <v>8</v>
      </c>
      <c r="F37" s="12">
        <f>=VLOOKUP(B37,$M$1:$P$45,3,FALSE)</f>
        <v>8</v>
      </c>
      <c r="G37" s="98">
        <f>=VLOOKUP(B37,$M$1:$P$45,4,FALSE)</f>
        <v>20</v>
      </c>
      <c r="H37" s="6">
        <v>27.5</v>
      </c>
      <c r="I37" s="6">
        <v>46</v>
      </c>
      <c r="J37" s="6">
        <v>27</v>
      </c>
      <c r="K37" s="5">
        <f>=SUM(E37:J37)</f>
        <v>136.5</v>
      </c>
      <c r="L37" s="5">
        <f>=RANK(K37,$K$2:$K$45,0)</f>
        <v>28</v>
      </c>
      <c r="M37" s="76" t="s">
        <v>2983</v>
      </c>
      <c r="N37" s="77">
        <v>12</v>
      </c>
      <c r="O37" s="77">
        <v>12</v>
      </c>
      <c r="P37" s="77">
        <v>18.5</v>
      </c>
    </row>
    <row r="38" spans="1:16" ht="18.75">
      <c r="A38" s="4">
        <v>37</v>
      </c>
      <c r="B38" s="4" t="s">
        <v>2990</v>
      </c>
      <c r="C38" s="4" t="s"/>
      <c r="D38" s="4" t="str">
        <f>=VLOOKUP(B38,[2]在校生综合信息查询!$A$560:$C$604,2,0)</f>
        <v>24q740101048</v>
      </c>
      <c r="E38" s="4">
        <f>=VLOOKUP(B38,$M$1:$P$45,2,FALSE)</f>
        <v>23</v>
      </c>
      <c r="F38" s="12">
        <f>=VLOOKUP(B38,$M$1:$P$45,3,FALSE)</f>
        <v>12</v>
      </c>
      <c r="G38" s="98">
        <f>=VLOOKUP(B38,$M$1:$P$45,4,FALSE)</f>
        <v>22</v>
      </c>
      <c r="H38" s="6">
        <v>28.5</v>
      </c>
      <c r="I38" s="6">
        <v>44</v>
      </c>
      <c r="J38" s="6">
        <v>36</v>
      </c>
      <c r="K38" s="5">
        <f>=SUM(E38:J38)</f>
        <v>165.5</v>
      </c>
      <c r="L38" s="5">
        <f>=RANK(K38,$K$2:$K$45,0)</f>
        <v>16</v>
      </c>
      <c r="M38" s="76" t="s">
        <v>2993</v>
      </c>
      <c r="N38" s="77">
        <v>11</v>
      </c>
      <c r="O38" s="77">
        <v>12</v>
      </c>
      <c r="P38" s="77">
        <v>16.5</v>
      </c>
    </row>
    <row r="39" spans="1:16" ht="18.75">
      <c r="A39" s="4">
        <v>38</v>
      </c>
      <c r="B39" s="4" t="s">
        <v>2947</v>
      </c>
      <c r="C39" s="4" t="s"/>
      <c r="D39" s="4" t="str">
        <f>=VLOOKUP(B39,[2]在校生综合信息查询!$A$560:$C$604,2,0)</f>
        <v>24q740101050</v>
      </c>
      <c r="E39" s="4">
        <f>=VLOOKUP(B39,$M$1:$P$45,2,FALSE)</f>
        <v>48</v>
      </c>
      <c r="F39" s="12">
        <f>=VLOOKUP(B39,$M$1:$P$45,3,FALSE)</f>
        <v>13</v>
      </c>
      <c r="G39" s="98">
        <f>=VLOOKUP(B39,$M$1:$P$45,4,FALSE)</f>
        <v>49</v>
      </c>
      <c r="H39" s="6">
        <v>41.5</v>
      </c>
      <c r="I39" s="6">
        <v>60</v>
      </c>
      <c r="J39" s="6">
        <v>67</v>
      </c>
      <c r="K39" s="5">
        <f>=SUM(E39:J39)</f>
        <v>278.5</v>
      </c>
      <c r="L39" s="5">
        <f>=RANK(K39,$K$2:$K$45,0)</f>
        <v>1</v>
      </c>
      <c r="M39" s="76" t="s">
        <v>2996</v>
      </c>
      <c r="N39" s="77">
        <v>8</v>
      </c>
      <c r="O39" s="77">
        <v>8</v>
      </c>
      <c r="P39" s="77">
        <v>20</v>
      </c>
    </row>
    <row r="40" spans="1:16" ht="18.75">
      <c r="A40" s="4">
        <v>39</v>
      </c>
      <c r="B40" s="4" t="s">
        <v>3000</v>
      </c>
      <c r="C40" s="4" t="s"/>
      <c r="D40" s="4" t="str">
        <f>=VLOOKUP(B40,[2]在校生综合信息查询!$A$560:$C$604,2,0)</f>
        <v>20240064</v>
      </c>
      <c r="E40" s="4">
        <f>=VLOOKUP(B40,$M$1:$P$45,2,FALSE)</f>
        <v>12</v>
      </c>
      <c r="F40" s="12">
        <f>=VLOOKUP(B40,$M$1:$P$45,3,FALSE)</f>
        <v>8</v>
      </c>
      <c r="G40" s="98">
        <f>=VLOOKUP(B40,$M$1:$P$45,4,FALSE)</f>
        <v>13.5</v>
      </c>
      <c r="H40" s="6">
        <v>14</v>
      </c>
      <c r="I40" s="6">
        <v>25</v>
      </c>
      <c r="J40" s="6">
        <v>24</v>
      </c>
      <c r="K40" s="5">
        <f>=SUM(E40:J40)</f>
        <v>96.5</v>
      </c>
      <c r="L40" s="5">
        <f>=RANK(K40,$K$2:$K$45,0)</f>
        <v>39</v>
      </c>
      <c r="M40" s="76" t="s">
        <v>3000</v>
      </c>
      <c r="N40" s="77">
        <v>12</v>
      </c>
      <c r="O40" s="77">
        <v>8</v>
      </c>
      <c r="P40" s="77">
        <v>13.5</v>
      </c>
    </row>
    <row r="41" spans="1:16" ht="18.75">
      <c r="A41" s="4">
        <v>40</v>
      </c>
      <c r="B41" s="4" t="s">
        <v>2995</v>
      </c>
      <c r="C41" s="4" t="s"/>
      <c r="D41" s="4" t="str">
        <f>=VLOOKUP(B41,[2]在校生综合信息查询!$A$560:$C$604,2,0)</f>
        <v>24q740101052</v>
      </c>
      <c r="E41" s="4">
        <f>=VLOOKUP(B41,$M$1:$P$45,2,FALSE)</f>
        <v>16</v>
      </c>
      <c r="F41" s="12">
        <f>=VLOOKUP(B41,$M$1:$P$45,3,FALSE)</f>
        <v>12</v>
      </c>
      <c r="G41" s="98">
        <f>=VLOOKUP(B41,$M$1:$P$45,4,FALSE)</f>
        <v>20.5</v>
      </c>
      <c r="H41" s="6">
        <v>28</v>
      </c>
      <c r="I41" s="6">
        <v>38</v>
      </c>
      <c r="J41" s="6">
        <v>27.5</v>
      </c>
      <c r="K41" s="5">
        <f>=SUM(E41:J41)</f>
        <v>142</v>
      </c>
      <c r="L41" s="5">
        <f>=RANK(K41,$K$2:$K$45,0)</f>
        <v>26</v>
      </c>
      <c r="M41" s="76" t="s">
        <v>3003</v>
      </c>
      <c r="N41" s="77">
        <v>9</v>
      </c>
      <c r="O41" s="77">
        <v>8</v>
      </c>
      <c r="P41" s="77">
        <v>16.5</v>
      </c>
    </row>
    <row r="42" spans="1:16" ht="18.75">
      <c r="A42" s="4">
        <v>41</v>
      </c>
      <c r="B42" s="4" t="s">
        <v>2942</v>
      </c>
      <c r="C42" s="4" t="s"/>
      <c r="D42" s="4" t="str">
        <f>=VLOOKUP(B42,[2]在校生综合信息查询!$A$560:$C$604,2,0)</f>
        <v>24q740101106</v>
      </c>
      <c r="E42" s="4">
        <f>=VLOOKUP(B42,$M$1:$P$45,2,FALSE)</f>
        <v>21</v>
      </c>
      <c r="F42" s="12">
        <f>=VLOOKUP(B42,$M$1:$P$45,3,FALSE)</f>
        <v>32</v>
      </c>
      <c r="G42" s="98">
        <f>=VLOOKUP(B42,$M$1:$P$45,4,FALSE)</f>
        <v>20.5</v>
      </c>
      <c r="H42" s="6">
        <v>16.5</v>
      </c>
      <c r="I42" s="6">
        <v>53</v>
      </c>
      <c r="J42" s="6">
        <v>28.5</v>
      </c>
      <c r="K42" s="5">
        <f>=SUM(E42:J42)</f>
        <v>171.5</v>
      </c>
      <c r="L42" s="5">
        <f>=RANK(K42,$K$2:$K$45,0)</f>
        <v>14</v>
      </c>
      <c r="M42" s="76" t="s">
        <v>2931</v>
      </c>
      <c r="N42" s="77">
        <v>0</v>
      </c>
      <c r="O42" s="77">
        <v>0</v>
      </c>
      <c r="P42" s="77">
        <v>0</v>
      </c>
    </row>
    <row r="43" spans="1:16" ht="18.75">
      <c r="A43" s="4">
        <v>42</v>
      </c>
      <c r="B43" s="4" t="s">
        <v>2967</v>
      </c>
      <c r="C43" s="4" t="s"/>
      <c r="D43" s="4" t="str">
        <f>=VLOOKUP(B43,[2]在校生综合信息查询!$A$560:$C$604,2,0)</f>
        <v>24q740101053</v>
      </c>
      <c r="E43" s="4">
        <f>=VLOOKUP(B43,$M$1:$P$45,2,FALSE)</f>
        <v>25</v>
      </c>
      <c r="F43" s="12">
        <f>=VLOOKUP(B43,$M$1:$P$45,3,FALSE)</f>
        <v>4</v>
      </c>
      <c r="G43" s="98">
        <f>=VLOOKUP(B43,$M$1:$P$45,4,FALSE)</f>
        <v>28</v>
      </c>
      <c r="H43" s="6">
        <v>22.5</v>
      </c>
      <c r="I43" s="6">
        <v>24</v>
      </c>
      <c r="J43" s="6">
        <v>15</v>
      </c>
      <c r="K43" s="5">
        <f>=SUM(E43:J43)</f>
        <v>118.5</v>
      </c>
      <c r="L43" s="5">
        <f>=RANK(K43,$K$2:$K$45,0)</f>
        <v>34</v>
      </c>
      <c r="M43" s="76" t="s">
        <v>2964</v>
      </c>
      <c r="N43" s="77">
        <v>0</v>
      </c>
      <c r="O43" s="77">
        <v>0</v>
      </c>
      <c r="P43" s="77">
        <v>0</v>
      </c>
    </row>
    <row r="44" spans="1:16" ht="18.75">
      <c r="A44" s="4">
        <v>43</v>
      </c>
      <c r="B44" s="4" t="s">
        <v>2978</v>
      </c>
      <c r="C44" s="4" t="s"/>
      <c r="D44" s="4" t="str">
        <f>=VLOOKUP(B44,[2]在校生综合信息查询!$A$560:$C$604,2,0)</f>
        <v>24q740101054</v>
      </c>
      <c r="E44" s="4">
        <f>=VLOOKUP(B44,$M$1:$P$45,2,FALSE)</f>
        <v>17</v>
      </c>
      <c r="F44" s="12">
        <f>=VLOOKUP(B44,$M$1:$P$45,3,FALSE)</f>
        <v>20</v>
      </c>
      <c r="G44" s="98">
        <f>=VLOOKUP(B44,$M$1:$P$45,4,FALSE)</f>
        <v>21</v>
      </c>
      <c r="H44" s="6">
        <v>27</v>
      </c>
      <c r="I44" s="6">
        <v>43</v>
      </c>
      <c r="J44" s="6">
        <v>29</v>
      </c>
      <c r="K44" s="5">
        <f>=SUM(E44:J44)</f>
        <v>157</v>
      </c>
      <c r="L44" s="5">
        <f>=RANK(K44,$K$2:$K$45,0)</f>
        <v>20</v>
      </c>
      <c r="M44" s="76" t="s">
        <v>2986</v>
      </c>
      <c r="N44" s="77">
        <v>0</v>
      </c>
      <c r="O44" s="77">
        <v>0</v>
      </c>
      <c r="P44" s="77">
        <v>0</v>
      </c>
    </row>
    <row r="45" spans="1:16" ht="18.75">
      <c r="A45" s="4">
        <v>44</v>
      </c>
      <c r="B45" s="12" t="s">
        <v>3003</v>
      </c>
      <c r="C45" s="4" t="s"/>
      <c r="D45" s="4" t="str">
        <f>=VLOOKUP(B45,[2]在校生综合信息查询!$A$560:$C$604,2,0)</f>
        <v>24q740101056</v>
      </c>
      <c r="E45" s="4">
        <f>=VLOOKUP(B45,$M$1:$P$45,2,FALSE)</f>
        <v>9</v>
      </c>
      <c r="F45" s="12">
        <f>=VLOOKUP(B45,$M$1:$P$45,3,FALSE)</f>
        <v>8</v>
      </c>
      <c r="G45" s="98">
        <f>=VLOOKUP(B45,$M$1:$P$45,4,FALSE)</f>
        <v>16.5</v>
      </c>
      <c r="H45" s="6">
        <v>14.5</v>
      </c>
      <c r="I45" s="6">
        <v>19</v>
      </c>
      <c r="J45" s="6">
        <v>27.5</v>
      </c>
      <c r="K45" s="5">
        <f>=SUM(E45:J45)</f>
        <v>94.5</v>
      </c>
      <c r="L45" s="5">
        <f>=RANK(K45,$K$2:$K$45,0)</f>
        <v>40</v>
      </c>
      <c r="M45" s="76" t="s">
        <v>2928</v>
      </c>
      <c r="N45" s="77">
        <v>0</v>
      </c>
      <c r="O45" s="77">
        <v>0</v>
      </c>
      <c r="P45" s="77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/>
  <dimension ref="K44"/>
  <sheetViews>
    <sheetView showGridLines="1" workbookViewId="0"/>
  </sheetViews>
  <sheetFormatPr defaultColWidth="8.75" defaultRowHeight="13.5"/>
  <cols>
    <col min="1" max="1" width="8.75" style="123"/>
    <col min="2" max="2" width="7.75" style="123"/>
    <col min="3" max="3" width="0" style="123" hidden="1" customWidth="1"/>
    <col min="4" max="4" width="16.375" style="123" customWidth="1"/>
    <col min="5" max="7" width="8.75" style="123"/>
    <col min="8" max="8" width="21.25" style="123" customWidth="1"/>
    <col min="9" max="9" width="19.375" style="123" customWidth="1"/>
    <col min="10" max="11" width="16.25" style="123" customWidth="1"/>
  </cols>
  <sheetData>
    <row r="1" spans="1:13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1458</v>
      </c>
      <c r="I1" s="4" t="s">
        <v>1459</v>
      </c>
      <c r="J1" s="4" t="s">
        <v>1460</v>
      </c>
      <c r="K1" s="4" t="s">
        <v>1461</v>
      </c>
      <c r="L1" s="5" t="s">
        <v>11</v>
      </c>
      <c r="M1" s="5" t="s">
        <v>12</v>
      </c>
    </row>
    <row r="2" spans="1:13" ht="18.75">
      <c r="A2" s="4">
        <v>1</v>
      </c>
      <c r="B2" s="4" t="s">
        <v>3008</v>
      </c>
      <c r="C2" s="4">
        <v>2001</v>
      </c>
      <c r="D2" s="4" t="str">
        <f>=VLOOKUP(B2,[2]在校生综合信息查询!$A$652:$C$691,2,0)</f>
        <v>24q660701002</v>
      </c>
      <c r="E2" s="12">
        <v>15</v>
      </c>
      <c r="F2" s="12">
        <v>0</v>
      </c>
      <c r="G2" s="12">
        <v>21.5</v>
      </c>
      <c r="H2" s="12">
        <v>18</v>
      </c>
      <c r="I2" s="12">
        <v>40</v>
      </c>
      <c r="J2" s="12">
        <v>36</v>
      </c>
      <c r="K2" s="49">
        <v>30</v>
      </c>
      <c r="L2" s="16">
        <v>160.5</v>
      </c>
      <c r="M2" s="16">
        <v>38</v>
      </c>
    </row>
    <row r="3" spans="1:13" ht="18.75">
      <c r="A3" s="4">
        <v>2</v>
      </c>
      <c r="B3" s="4" t="s">
        <v>3010</v>
      </c>
      <c r="C3" s="4">
        <v>2002</v>
      </c>
      <c r="D3" s="4" t="str">
        <f>=VLOOKUP(B3,[2]在校生综合信息查询!$A$652:$C$691,2,0)</f>
        <v>24q660701003</v>
      </c>
      <c r="E3" s="12">
        <v>21</v>
      </c>
      <c r="F3" s="12">
        <v>20</v>
      </c>
      <c r="G3" s="12">
        <v>20.5</v>
      </c>
      <c r="H3" s="12">
        <v>25</v>
      </c>
      <c r="I3" s="12">
        <v>66</v>
      </c>
      <c r="J3" s="12">
        <v>38</v>
      </c>
      <c r="K3" s="50">
        <v>21</v>
      </c>
      <c r="L3" s="16">
        <v>211.5</v>
      </c>
      <c r="M3" s="16">
        <v>24</v>
      </c>
    </row>
    <row r="4" spans="1:13" ht="18.75">
      <c r="A4" s="4">
        <v>3</v>
      </c>
      <c r="B4" s="4" t="s">
        <v>3012</v>
      </c>
      <c r="C4" s="4">
        <v>2003</v>
      </c>
      <c r="D4" s="4" t="str">
        <f>=VLOOKUP(B4,[2]在校生综合信息查询!$A$652:$C$691,2,0)</f>
        <v>24q660701004</v>
      </c>
      <c r="E4" s="12">
        <v>27</v>
      </c>
      <c r="F4" s="12">
        <v>20</v>
      </c>
      <c r="G4" s="12">
        <v>17</v>
      </c>
      <c r="H4" s="12">
        <v>33</v>
      </c>
      <c r="I4" s="12">
        <v>66</v>
      </c>
      <c r="J4" s="12">
        <v>54</v>
      </c>
      <c r="K4" s="51">
        <v>30</v>
      </c>
      <c r="L4" s="16">
        <v>247</v>
      </c>
      <c r="M4" s="16">
        <v>16</v>
      </c>
    </row>
    <row r="5" spans="1:13" ht="18.75">
      <c r="A5" s="4">
        <v>4</v>
      </c>
      <c r="B5" s="4" t="s">
        <v>3014</v>
      </c>
      <c r="C5" s="4">
        <v>2004</v>
      </c>
      <c r="D5" s="4" t="str">
        <f>=VLOOKUP(B5,[2]在校生综合信息查询!$A$652:$C$691,2,0)</f>
        <v>24q660701005</v>
      </c>
      <c r="E5" s="12">
        <v>11</v>
      </c>
      <c r="F5" s="12">
        <v>28</v>
      </c>
      <c r="G5" s="12">
        <v>14.5</v>
      </c>
      <c r="H5" s="12">
        <v>31</v>
      </c>
      <c r="I5" s="12">
        <v>48</v>
      </c>
      <c r="J5" s="12">
        <v>52</v>
      </c>
      <c r="K5" s="50">
        <v>21</v>
      </c>
      <c r="L5" s="16">
        <v>205.5</v>
      </c>
      <c r="M5" s="16">
        <v>25</v>
      </c>
    </row>
    <row r="6" spans="1:13" ht="18.75">
      <c r="A6" s="4">
        <v>5</v>
      </c>
      <c r="B6" s="4" t="s">
        <v>3016</v>
      </c>
      <c r="C6" s="4">
        <v>2005</v>
      </c>
      <c r="D6" s="4" t="str">
        <f>=VLOOKUP(B6,[2]在校生综合信息查询!$A$652:$C$691,2,0)</f>
        <v>24q660701007</v>
      </c>
      <c r="E6" s="12">
        <v>3</v>
      </c>
      <c r="F6" s="12">
        <v>20</v>
      </c>
      <c r="G6" s="12">
        <v>19</v>
      </c>
      <c r="H6" s="12">
        <v>23</v>
      </c>
      <c r="I6" s="12">
        <v>26</v>
      </c>
      <c r="J6" s="12">
        <v>40</v>
      </c>
      <c r="K6" s="51">
        <v>36</v>
      </c>
      <c r="L6" s="16">
        <v>167</v>
      </c>
      <c r="M6" s="16">
        <v>36</v>
      </c>
    </row>
    <row r="7" spans="1:13" ht="18.75">
      <c r="A7" s="4">
        <v>6</v>
      </c>
      <c r="B7" s="4" t="s">
        <v>3018</v>
      </c>
      <c r="C7" s="4">
        <v>2006</v>
      </c>
      <c r="D7" s="4" t="str">
        <f>=VLOOKUP(B7,[2]在校生综合信息查询!$A$652:$C$691,2,0)</f>
        <v>24q660701008</v>
      </c>
      <c r="E7" s="12">
        <v>14</v>
      </c>
      <c r="F7" s="12">
        <v>24</v>
      </c>
      <c r="G7" s="12">
        <v>23.5</v>
      </c>
      <c r="H7" s="12">
        <v>23</v>
      </c>
      <c r="I7" s="12">
        <v>28</v>
      </c>
      <c r="J7" s="12">
        <v>50</v>
      </c>
      <c r="K7" s="50">
        <v>32</v>
      </c>
      <c r="L7" s="16">
        <v>194.5</v>
      </c>
      <c r="M7" s="16">
        <v>28</v>
      </c>
    </row>
    <row r="8" spans="1:13" ht="18.75">
      <c r="A8" s="4">
        <v>7</v>
      </c>
      <c r="B8" s="4" t="s">
        <v>3020</v>
      </c>
      <c r="C8" s="4">
        <v>2007</v>
      </c>
      <c r="D8" s="4" t="str">
        <f>=VLOOKUP(B8,[2]在校生综合信息查询!$A$652:$C$691,2,0)</f>
        <v>24q660701009</v>
      </c>
      <c r="E8" s="12">
        <v>46</v>
      </c>
      <c r="F8" s="12">
        <v>12</v>
      </c>
      <c r="G8" s="12">
        <v>36</v>
      </c>
      <c r="H8" s="12">
        <v>44</v>
      </c>
      <c r="I8" s="12">
        <v>73</v>
      </c>
      <c r="J8" s="12">
        <v>74</v>
      </c>
      <c r="K8" s="51">
        <v>44</v>
      </c>
      <c r="L8" s="16">
        <v>304</v>
      </c>
      <c r="M8" s="16">
        <v>5</v>
      </c>
    </row>
    <row r="9" spans="1:13" ht="18.75">
      <c r="A9" s="4">
        <v>8</v>
      </c>
      <c r="B9" s="4" t="s">
        <v>3022</v>
      </c>
      <c r="C9" s="4">
        <v>2008</v>
      </c>
      <c r="D9" s="4" t="str">
        <f>=VLOOKUP(B9,[2]在校生综合信息查询!$A$652:$C$691,2,0)</f>
        <v>24q660701011</v>
      </c>
      <c r="E9" s="12">
        <v>30</v>
      </c>
      <c r="F9" s="12">
        <v>28</v>
      </c>
      <c r="G9" s="12">
        <v>20</v>
      </c>
      <c r="H9" s="12">
        <v>25</v>
      </c>
      <c r="I9" s="12">
        <v>38</v>
      </c>
      <c r="J9" s="12">
        <v>32</v>
      </c>
      <c r="K9" s="50">
        <v>18</v>
      </c>
      <c r="L9" s="16">
        <v>191</v>
      </c>
      <c r="M9" s="16">
        <v>29</v>
      </c>
    </row>
    <row r="10" spans="1:13" ht="18.75">
      <c r="A10" s="4">
        <v>9</v>
      </c>
      <c r="B10" s="4" t="s">
        <v>3024</v>
      </c>
      <c r="C10" s="4">
        <v>2009</v>
      </c>
      <c r="D10" s="4" t="str">
        <f>=VLOOKUP(B10,[2]在校生综合信息查询!$A$652:$C$691,2,0)</f>
        <v>24q660701013</v>
      </c>
      <c r="E10" s="12">
        <v>31</v>
      </c>
      <c r="F10" s="12">
        <v>12</v>
      </c>
      <c r="G10" s="12">
        <v>22.5</v>
      </c>
      <c r="H10" s="12">
        <v>30</v>
      </c>
      <c r="I10" s="12">
        <v>18</v>
      </c>
      <c r="J10" s="12">
        <v>48</v>
      </c>
      <c r="K10" s="51">
        <v>44</v>
      </c>
      <c r="L10" s="16">
        <v>205.5</v>
      </c>
      <c r="M10" s="16">
        <v>26</v>
      </c>
    </row>
    <row r="11" spans="1:13" ht="18.75">
      <c r="A11" s="4">
        <v>10</v>
      </c>
      <c r="B11" s="4" t="s">
        <v>3026</v>
      </c>
      <c r="C11" s="4">
        <v>2039</v>
      </c>
      <c r="D11" s="4" t="str">
        <f>=VLOOKUP(B11,[2]在校生综合信息查询!$A$652:$C$691,2,0)</f>
        <v>2409022</v>
      </c>
      <c r="E11" s="12">
        <v>12</v>
      </c>
      <c r="F11" s="12">
        <v>8</v>
      </c>
      <c r="G11" s="12">
        <v>18.5</v>
      </c>
      <c r="H11" s="12">
        <v>38</v>
      </c>
      <c r="I11" s="12">
        <v>56</v>
      </c>
      <c r="J11" s="12">
        <v>42</v>
      </c>
      <c r="K11" s="50">
        <v>24</v>
      </c>
      <c r="L11" s="16">
        <v>198.5</v>
      </c>
      <c r="M11" s="16">
        <v>27</v>
      </c>
    </row>
    <row r="12" spans="1:13" ht="18.75">
      <c r="A12" s="4">
        <v>11</v>
      </c>
      <c r="B12" s="4" t="s">
        <v>3028</v>
      </c>
      <c r="C12" s="4">
        <v>2010</v>
      </c>
      <c r="D12" s="4" t="str">
        <f>=VLOOKUP(B12,[2]在校生综合信息查询!$A$652:$C$691,2,0)</f>
        <v>24q660701014</v>
      </c>
      <c r="E12" s="12">
        <v>3</v>
      </c>
      <c r="F12" s="12">
        <v>20</v>
      </c>
      <c r="G12" s="12">
        <v>15.5</v>
      </c>
      <c r="H12" s="12">
        <v>15</v>
      </c>
      <c r="I12" s="12">
        <v>50</v>
      </c>
      <c r="J12" s="12">
        <v>42</v>
      </c>
      <c r="K12" s="51">
        <v>23</v>
      </c>
      <c r="L12" s="16">
        <v>168.5</v>
      </c>
      <c r="M12" s="16">
        <v>35</v>
      </c>
    </row>
    <row r="13" spans="1:13" ht="18.75">
      <c r="A13" s="4">
        <v>12</v>
      </c>
      <c r="B13" s="4" t="s">
        <v>3030</v>
      </c>
      <c r="C13" s="4">
        <v>2011</v>
      </c>
      <c r="D13" s="4" t="str">
        <f>=VLOOKUP(B13,[2]在校生综合信息查询!$A$652:$C$691,2,0)</f>
        <v>24q660701015</v>
      </c>
      <c r="E13" s="12">
        <v>27</v>
      </c>
      <c r="F13" s="12">
        <v>0</v>
      </c>
      <c r="G13" s="12">
        <v>24</v>
      </c>
      <c r="H13" s="12">
        <v>26</v>
      </c>
      <c r="I13" s="12">
        <v>60</v>
      </c>
      <c r="J13" s="12">
        <v>78</v>
      </c>
      <c r="K13" s="50">
        <v>51</v>
      </c>
      <c r="L13" s="16">
        <v>266</v>
      </c>
      <c r="M13" s="16">
        <v>11</v>
      </c>
    </row>
    <row r="14" spans="1:13" ht="18.75">
      <c r="A14" s="4">
        <v>13</v>
      </c>
      <c r="B14" s="4" t="s">
        <v>3032</v>
      </c>
      <c r="C14" s="4">
        <v>2012</v>
      </c>
      <c r="D14" s="4" t="str">
        <f>=VLOOKUP(B14,[2]在校生综合信息查询!$A$652:$C$691,2,0)</f>
        <v>24q660701017</v>
      </c>
      <c r="E14" s="12">
        <v>52</v>
      </c>
      <c r="F14" s="12">
        <v>13</v>
      </c>
      <c r="G14" s="12">
        <v>40.5</v>
      </c>
      <c r="H14" s="12">
        <v>57</v>
      </c>
      <c r="I14" s="12">
        <v>62</v>
      </c>
      <c r="J14" s="12">
        <v>52</v>
      </c>
      <c r="K14" s="51">
        <v>63</v>
      </c>
      <c r="L14" s="16">
        <v>342.5</v>
      </c>
      <c r="M14" s="16">
        <v>2</v>
      </c>
    </row>
    <row r="15" spans="1:13" ht="18.75">
      <c r="A15" s="4">
        <v>14</v>
      </c>
      <c r="B15" s="4" t="s">
        <v>3034</v>
      </c>
      <c r="C15" s="4">
        <v>2013</v>
      </c>
      <c r="D15" s="4" t="str">
        <f>=VLOOKUP(B15,[2]在校生综合信息查询!$A$652:$C$691,2,0)</f>
        <v>24q660701018</v>
      </c>
      <c r="E15" s="12">
        <v>27</v>
      </c>
      <c r="F15" s="12">
        <v>8</v>
      </c>
      <c r="G15" s="12">
        <v>24.5</v>
      </c>
      <c r="H15" s="12">
        <v>40</v>
      </c>
      <c r="I15" s="12">
        <v>62</v>
      </c>
      <c r="J15" s="12">
        <v>54</v>
      </c>
      <c r="K15" s="50">
        <v>36</v>
      </c>
      <c r="L15" s="16">
        <v>263.5</v>
      </c>
      <c r="M15" s="16">
        <v>13</v>
      </c>
    </row>
    <row r="16" spans="1:13" ht="18.75">
      <c r="A16" s="4">
        <v>15</v>
      </c>
      <c r="B16" s="4" t="s">
        <v>3036</v>
      </c>
      <c r="C16" s="4">
        <v>2037</v>
      </c>
      <c r="D16" s="4" t="str">
        <f>=VLOOKUP(B16,[2]在校生综合信息查询!$A$652:$C$691,2,0)</f>
        <v>24q660103023</v>
      </c>
      <c r="E16" s="12">
        <v>49</v>
      </c>
      <c r="F16" s="12">
        <v>12</v>
      </c>
      <c r="G16" s="12">
        <v>32</v>
      </c>
      <c r="H16" s="12">
        <v>25</v>
      </c>
      <c r="I16" s="12">
        <v>70</v>
      </c>
      <c r="J16" s="12">
        <v>74</v>
      </c>
      <c r="K16" s="51">
        <v>35</v>
      </c>
      <c r="L16" s="16">
        <v>297</v>
      </c>
      <c r="M16" s="16">
        <v>6</v>
      </c>
    </row>
    <row r="17" spans="1:13" ht="18.75">
      <c r="A17" s="4">
        <v>16</v>
      </c>
      <c r="B17" s="4" t="s">
        <v>3038</v>
      </c>
      <c r="C17" s="4">
        <v>2038</v>
      </c>
      <c r="D17" s="4" t="str">
        <f>=VLOOKUP(B17,[2]在校生综合信息查询!$A$652:$C$691,2,0)</f>
        <v>24q660103168</v>
      </c>
      <c r="E17" s="12">
        <v>24</v>
      </c>
      <c r="F17" s="12">
        <v>24</v>
      </c>
      <c r="G17" s="12">
        <v>44</v>
      </c>
      <c r="H17" s="12">
        <v>33</v>
      </c>
      <c r="I17" s="12">
        <v>60</v>
      </c>
      <c r="J17" s="12">
        <v>66</v>
      </c>
      <c r="K17" s="50">
        <v>42</v>
      </c>
      <c r="L17" s="16">
        <v>293</v>
      </c>
      <c r="M17" s="16">
        <v>7</v>
      </c>
    </row>
    <row r="18" spans="1:13" ht="18.75">
      <c r="A18" s="4">
        <v>17</v>
      </c>
      <c r="B18" s="4" t="s">
        <v>3040</v>
      </c>
      <c r="C18" s="4">
        <v>2014</v>
      </c>
      <c r="D18" s="4" t="str">
        <f>=VLOOKUP(B18,[2]在校生综合信息查询!$A$652:$C$691,2,0)</f>
        <v>24q740101089</v>
      </c>
      <c r="E18" s="12">
        <v>0</v>
      </c>
      <c r="F18" s="12">
        <v>8</v>
      </c>
      <c r="G18" s="12">
        <v>0</v>
      </c>
      <c r="H18" s="12">
        <v>0</v>
      </c>
      <c r="I18" s="12" t="s">
        <v>105</v>
      </c>
      <c r="J18" s="12" t="s">
        <v>105</v>
      </c>
      <c r="K18" s="99" t="s">
        <v>105</v>
      </c>
      <c r="L18" s="16">
        <v>8</v>
      </c>
      <c r="M18" s="16">
        <v>40</v>
      </c>
    </row>
    <row r="19" spans="1:13" ht="18.75">
      <c r="A19" s="4">
        <v>18</v>
      </c>
      <c r="B19" s="4" t="s">
        <v>3042</v>
      </c>
      <c r="C19" s="4">
        <v>2015</v>
      </c>
      <c r="D19" s="4" t="str">
        <f>=VLOOKUP(B19,[2]在校生综合信息查询!$A$652:$C$691,2,0)</f>
        <v>24q660701022</v>
      </c>
      <c r="E19" s="12">
        <v>37</v>
      </c>
      <c r="F19" s="12">
        <v>24</v>
      </c>
      <c r="G19" s="12">
        <v>24.5</v>
      </c>
      <c r="H19" s="12">
        <v>58</v>
      </c>
      <c r="I19" s="12">
        <v>82</v>
      </c>
      <c r="J19" s="12">
        <v>52</v>
      </c>
      <c r="K19" s="50">
        <v>51</v>
      </c>
      <c r="L19" s="16">
        <v>328.5</v>
      </c>
      <c r="M19" s="16">
        <v>3</v>
      </c>
    </row>
    <row r="20" spans="1:13" ht="18.75">
      <c r="A20" s="4">
        <v>19</v>
      </c>
      <c r="B20" s="4" t="s">
        <v>3044</v>
      </c>
      <c r="C20" s="4">
        <v>2016</v>
      </c>
      <c r="D20" s="4" t="str">
        <f>=VLOOKUP(B20,[2]在校生综合信息查询!$A$652:$C$691,2,0)</f>
        <v>24q660701023</v>
      </c>
      <c r="E20" s="12">
        <v>19</v>
      </c>
      <c r="F20" s="12">
        <v>20</v>
      </c>
      <c r="G20" s="12">
        <v>26</v>
      </c>
      <c r="H20" s="12">
        <v>11</v>
      </c>
      <c r="I20" s="12">
        <v>38</v>
      </c>
      <c r="J20" s="12">
        <v>36</v>
      </c>
      <c r="K20" s="51">
        <v>33</v>
      </c>
      <c r="L20" s="16">
        <v>183</v>
      </c>
      <c r="M20" s="16">
        <v>31</v>
      </c>
    </row>
    <row r="21" spans="1:13" ht="18.75">
      <c r="A21" s="4">
        <v>20</v>
      </c>
      <c r="B21" s="4" t="s">
        <v>3046</v>
      </c>
      <c r="C21" s="4">
        <v>2017</v>
      </c>
      <c r="D21" s="4" t="str">
        <f>=VLOOKUP(B21,[2]在校生综合信息查询!$A$652:$C$691,2,0)</f>
        <v>24q660701024</v>
      </c>
      <c r="E21" s="12">
        <v>19</v>
      </c>
      <c r="F21" s="12">
        <v>16</v>
      </c>
      <c r="G21" s="12">
        <v>26</v>
      </c>
      <c r="H21" s="12">
        <v>27</v>
      </c>
      <c r="I21" s="12">
        <v>50</v>
      </c>
      <c r="J21" s="12">
        <v>60</v>
      </c>
      <c r="K21" s="50">
        <v>41</v>
      </c>
      <c r="L21" s="16">
        <v>245</v>
      </c>
      <c r="M21" s="16">
        <v>17</v>
      </c>
    </row>
    <row r="22" spans="1:13" ht="18.75">
      <c r="A22" s="4">
        <v>21</v>
      </c>
      <c r="B22" s="4" t="s">
        <v>3048</v>
      </c>
      <c r="C22" s="4">
        <v>2018</v>
      </c>
      <c r="D22" s="4" t="str">
        <f>=VLOOKUP(B22,[2]在校生综合信息查询!$A$652:$C$691,2,0)</f>
        <v>24q660701025</v>
      </c>
      <c r="E22" s="12">
        <v>18</v>
      </c>
      <c r="F22" s="12">
        <v>12</v>
      </c>
      <c r="G22" s="12">
        <v>17.5</v>
      </c>
      <c r="H22" s="12">
        <v>21</v>
      </c>
      <c r="I22" s="12">
        <v>44</v>
      </c>
      <c r="J22" s="12">
        <v>34</v>
      </c>
      <c r="K22" s="51">
        <v>33</v>
      </c>
      <c r="L22" s="16">
        <v>179.5</v>
      </c>
      <c r="M22" s="16">
        <v>32</v>
      </c>
    </row>
    <row r="23" spans="1:13" ht="18.75">
      <c r="A23" s="4">
        <v>22</v>
      </c>
      <c r="B23" s="4" t="s">
        <v>3050</v>
      </c>
      <c r="C23" s="4">
        <v>2019</v>
      </c>
      <c r="D23" s="4" t="str">
        <f>=VLOOKUP(B23,[2]在校生综合信息查询!$A$652:$C$691,2,0)</f>
        <v>24q6607010112</v>
      </c>
      <c r="E23" s="12">
        <v>16</v>
      </c>
      <c r="F23" s="12">
        <v>20</v>
      </c>
      <c r="G23" s="12">
        <v>17.5</v>
      </c>
      <c r="H23" s="12">
        <v>14</v>
      </c>
      <c r="I23" s="12">
        <v>30</v>
      </c>
      <c r="J23" s="12">
        <v>60</v>
      </c>
      <c r="K23" s="50">
        <v>30</v>
      </c>
      <c r="L23" s="16">
        <v>187.5</v>
      </c>
      <c r="M23" s="16">
        <v>30</v>
      </c>
    </row>
    <row r="24" spans="1:13" ht="18.75">
      <c r="A24" s="4">
        <v>23</v>
      </c>
      <c r="B24" s="4" t="s">
        <v>2292</v>
      </c>
      <c r="C24" s="4">
        <v>2020</v>
      </c>
      <c r="D24" s="4" t="str">
        <f>=VLOOKUP(B24,[2]在校生综合信息查询!$A$652:$C$691,2,0)</f>
        <v>24q660701026</v>
      </c>
      <c r="E24" s="12">
        <v>20</v>
      </c>
      <c r="F24" s="12">
        <v>4</v>
      </c>
      <c r="G24" s="12">
        <v>23</v>
      </c>
      <c r="H24" s="12">
        <v>20</v>
      </c>
      <c r="I24" s="12">
        <v>66</v>
      </c>
      <c r="J24" s="12">
        <v>58</v>
      </c>
      <c r="K24" s="51">
        <v>27</v>
      </c>
      <c r="L24" s="16">
        <v>218</v>
      </c>
      <c r="M24" s="16">
        <v>20</v>
      </c>
    </row>
    <row r="25" spans="1:13" ht="18.75">
      <c r="A25" s="4">
        <v>24</v>
      </c>
      <c r="B25" s="4" t="s">
        <v>3053</v>
      </c>
      <c r="C25" s="4">
        <v>2021</v>
      </c>
      <c r="D25" s="4" t="str">
        <f>=VLOOKUP(B25,[2]在校生综合信息查询!$A$652:$C$691,2,0)</f>
        <v>24q660701027</v>
      </c>
      <c r="E25" s="12">
        <v>20</v>
      </c>
      <c r="F25" s="12">
        <v>12</v>
      </c>
      <c r="G25" s="12">
        <v>28</v>
      </c>
      <c r="H25" s="12">
        <v>34</v>
      </c>
      <c r="I25" s="12">
        <v>48</v>
      </c>
      <c r="J25" s="12">
        <v>38</v>
      </c>
      <c r="K25" s="50">
        <v>32</v>
      </c>
      <c r="L25" s="16">
        <v>212</v>
      </c>
      <c r="M25" s="16">
        <v>23</v>
      </c>
    </row>
    <row r="26" spans="1:13" ht="18.75">
      <c r="A26" s="4">
        <v>25</v>
      </c>
      <c r="B26" s="4" t="s">
        <v>2707</v>
      </c>
      <c r="C26" s="4">
        <v>2022</v>
      </c>
      <c r="D26" s="4" t="str">
        <f>=VLOOKUP(B26,[2]在校生综合信息查询!$A$652:$C$691,2,0)</f>
        <v>24q660701028</v>
      </c>
      <c r="E26" s="12">
        <v>26</v>
      </c>
      <c r="F26" s="12">
        <v>12</v>
      </c>
      <c r="G26" s="12">
        <v>17</v>
      </c>
      <c r="H26" s="12">
        <v>23</v>
      </c>
      <c r="I26" s="12">
        <v>36</v>
      </c>
      <c r="J26" s="12">
        <v>64</v>
      </c>
      <c r="K26" s="51">
        <v>39</v>
      </c>
      <c r="L26" s="16">
        <v>217</v>
      </c>
      <c r="M26" s="16">
        <v>21</v>
      </c>
    </row>
    <row r="27" spans="1:13" ht="18.75">
      <c r="A27" s="4">
        <v>26</v>
      </c>
      <c r="B27" s="4" t="s">
        <v>3056</v>
      </c>
      <c r="C27" s="4">
        <v>2023</v>
      </c>
      <c r="D27" s="4" t="str">
        <f>=VLOOKUP(B27,[2]在校生综合信息查询!$A$652:$C$691,2,0)</f>
        <v>24q660701029</v>
      </c>
      <c r="E27" s="12">
        <v>26</v>
      </c>
      <c r="F27" s="12">
        <v>12</v>
      </c>
      <c r="G27" s="12">
        <v>21</v>
      </c>
      <c r="H27" s="12">
        <v>22</v>
      </c>
      <c r="I27" s="12">
        <v>58</v>
      </c>
      <c r="J27" s="12">
        <v>56</v>
      </c>
      <c r="K27" s="50">
        <v>37</v>
      </c>
      <c r="L27" s="16">
        <v>232</v>
      </c>
      <c r="M27" s="16">
        <v>18</v>
      </c>
    </row>
    <row r="28" spans="1:13" ht="18.75">
      <c r="A28" s="4">
        <v>27</v>
      </c>
      <c r="B28" s="4" t="s">
        <v>3058</v>
      </c>
      <c r="C28" s="4">
        <v>2024</v>
      </c>
      <c r="D28" s="4" t="str">
        <f>=VLOOKUP(B28,[2]在校生综合信息查询!$A$652:$C$691,2,0)</f>
        <v>24q660701032</v>
      </c>
      <c r="E28" s="12">
        <v>22</v>
      </c>
      <c r="F28" s="12">
        <v>16</v>
      </c>
      <c r="G28" s="12">
        <v>19</v>
      </c>
      <c r="H28" s="12">
        <v>26</v>
      </c>
      <c r="I28" s="12">
        <v>36</v>
      </c>
      <c r="J28" s="12">
        <v>58</v>
      </c>
      <c r="K28" s="51">
        <v>36</v>
      </c>
      <c r="L28" s="16">
        <v>213</v>
      </c>
      <c r="M28" s="16">
        <v>22</v>
      </c>
    </row>
    <row r="29" spans="1:13" ht="18.75">
      <c r="A29" s="4">
        <v>28</v>
      </c>
      <c r="B29" s="4" t="s">
        <v>3060</v>
      </c>
      <c r="C29" s="4">
        <v>2025</v>
      </c>
      <c r="D29" s="4" t="str">
        <f>=VLOOKUP(B29,[2]在校生综合信息查询!$A$652:$C$691,2,0)</f>
        <v>24q660701033</v>
      </c>
      <c r="E29" s="12">
        <v>40</v>
      </c>
      <c r="F29" s="12">
        <v>20</v>
      </c>
      <c r="G29" s="12">
        <v>15.5</v>
      </c>
      <c r="H29" s="12">
        <v>32</v>
      </c>
      <c r="I29" s="12">
        <v>72</v>
      </c>
      <c r="J29" s="12">
        <v>52</v>
      </c>
      <c r="K29" s="50">
        <v>39</v>
      </c>
      <c r="L29" s="16">
        <v>270.5</v>
      </c>
      <c r="M29" s="16">
        <v>10</v>
      </c>
    </row>
    <row r="30" spans="1:13" ht="18.75">
      <c r="A30" s="4">
        <v>29</v>
      </c>
      <c r="B30" s="4" t="s">
        <v>3062</v>
      </c>
      <c r="C30" s="4">
        <v>2026</v>
      </c>
      <c r="D30" s="4" t="str">
        <f>=VLOOKUP(B30,[2]在校生综合信息查询!$A$652:$C$691,2,0)</f>
        <v>24q770303039</v>
      </c>
      <c r="E30" s="12">
        <v>6</v>
      </c>
      <c r="F30" s="12">
        <v>16</v>
      </c>
      <c r="G30" s="12">
        <v>25</v>
      </c>
      <c r="H30" s="12">
        <v>15</v>
      </c>
      <c r="I30" s="12">
        <v>30</v>
      </c>
      <c r="J30" s="12">
        <v>28</v>
      </c>
      <c r="K30" s="51">
        <v>15</v>
      </c>
      <c r="L30" s="16">
        <v>135</v>
      </c>
      <c r="M30" s="16">
        <v>39</v>
      </c>
    </row>
    <row r="31" spans="1:13" ht="18.75">
      <c r="A31" s="4">
        <v>30</v>
      </c>
      <c r="B31" s="4" t="s">
        <v>3064</v>
      </c>
      <c r="C31" s="4">
        <v>2027</v>
      </c>
      <c r="D31" s="4" t="str">
        <f>=VLOOKUP(B31,[2]在校生综合信息查询!$A$652:$C$691,2,0)</f>
        <v>24q660701034</v>
      </c>
      <c r="E31" s="12">
        <v>44</v>
      </c>
      <c r="F31" s="12">
        <v>12</v>
      </c>
      <c r="G31" s="12">
        <v>17</v>
      </c>
      <c r="H31" s="12">
        <v>42</v>
      </c>
      <c r="I31" s="12">
        <v>62</v>
      </c>
      <c r="J31" s="12">
        <v>68</v>
      </c>
      <c r="K31" s="50">
        <v>47</v>
      </c>
      <c r="L31" s="16">
        <v>292</v>
      </c>
      <c r="M31" s="16">
        <v>8</v>
      </c>
    </row>
    <row r="32" spans="1:13" ht="18.75">
      <c r="A32" s="4">
        <v>31</v>
      </c>
      <c r="B32" s="4" t="s">
        <v>3066</v>
      </c>
      <c r="C32" s="4">
        <v>2028</v>
      </c>
      <c r="D32" s="4" t="str">
        <f>=VLOOKUP(B32,[2]在校生综合信息查询!$A$652:$C$691,2,0)</f>
        <v>24q660701035</v>
      </c>
      <c r="E32" s="12">
        <v>23</v>
      </c>
      <c r="F32" s="12">
        <v>12</v>
      </c>
      <c r="G32" s="12">
        <v>40.5</v>
      </c>
      <c r="H32" s="12">
        <v>54</v>
      </c>
      <c r="I32" s="12">
        <v>73</v>
      </c>
      <c r="J32" s="12">
        <v>74</v>
      </c>
      <c r="K32" s="51">
        <v>31</v>
      </c>
      <c r="L32" s="16">
        <v>317.5</v>
      </c>
      <c r="M32" s="16">
        <v>4</v>
      </c>
    </row>
    <row r="33" spans="1:13" ht="18.75">
      <c r="A33" s="4">
        <v>32</v>
      </c>
      <c r="B33" s="4" t="s">
        <v>3068</v>
      </c>
      <c r="C33" s="4">
        <v>2029</v>
      </c>
      <c r="D33" s="4" t="str">
        <f>=VLOOKUP(B33,[2]在校生综合信息查询!$A$652:$C$691,2,0)</f>
        <v>24q770303041</v>
      </c>
      <c r="E33" s="12">
        <v>8</v>
      </c>
      <c r="F33" s="12">
        <v>12</v>
      </c>
      <c r="G33" s="12">
        <v>23.5</v>
      </c>
      <c r="H33" s="12">
        <v>23</v>
      </c>
      <c r="I33" s="12">
        <v>34</v>
      </c>
      <c r="J33" s="12">
        <v>38</v>
      </c>
      <c r="K33" s="50">
        <v>39</v>
      </c>
      <c r="L33" s="16">
        <v>177.5</v>
      </c>
      <c r="M33" s="100">
        <v>33</v>
      </c>
    </row>
    <row r="34" spans="1:13" ht="18.75">
      <c r="A34" s="4">
        <v>33</v>
      </c>
      <c r="B34" s="4" t="s">
        <v>3070</v>
      </c>
      <c r="C34" s="4">
        <v>2040</v>
      </c>
      <c r="D34" s="4" t="e">
        <f>=VLOOKUP(B34,[2]在校生综合信息查询!$A$652:$C$691,2,0)</f>
        <v>#N/A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51">
        <v>0</v>
      </c>
      <c r="L34" s="100">
        <v>0</v>
      </c>
      <c r="M34" s="100">
        <v>41</v>
      </c>
    </row>
    <row r="35" spans="1:13" ht="18.75">
      <c r="A35" s="4">
        <v>34</v>
      </c>
      <c r="B35" s="4" t="s">
        <v>3071</v>
      </c>
      <c r="C35" s="4">
        <v>2030</v>
      </c>
      <c r="D35" s="4" t="str">
        <f>=VLOOKUP(B35,[2]在校生综合信息查询!$A$652:$C$691,2,0)</f>
        <v>24q660701037</v>
      </c>
      <c r="E35" s="12">
        <v>8</v>
      </c>
      <c r="F35" s="12">
        <v>4</v>
      </c>
      <c r="G35" s="12">
        <v>17</v>
      </c>
      <c r="H35" s="12">
        <v>22</v>
      </c>
      <c r="I35" s="12">
        <v>42</v>
      </c>
      <c r="J35" s="12">
        <v>44</v>
      </c>
      <c r="K35" s="50">
        <v>30</v>
      </c>
      <c r="L35" s="100">
        <v>167</v>
      </c>
      <c r="M35" s="101">
        <v>37</v>
      </c>
    </row>
    <row r="36" spans="1:13" ht="18.75">
      <c r="A36" s="4">
        <v>35</v>
      </c>
      <c r="B36" s="4" t="s">
        <v>3073</v>
      </c>
      <c r="C36" s="4">
        <v>2031</v>
      </c>
      <c r="D36" s="4" t="str">
        <f>=VLOOKUP(B36,[2]在校生综合信息查询!$A$652:$C$691,2,0)</f>
        <v>24q660701038</v>
      </c>
      <c r="E36" s="12">
        <v>42</v>
      </c>
      <c r="F36" s="12">
        <v>24</v>
      </c>
      <c r="G36" s="12">
        <v>28.5</v>
      </c>
      <c r="H36" s="12">
        <v>71</v>
      </c>
      <c r="I36" s="12">
        <v>76</v>
      </c>
      <c r="J36" s="12">
        <v>66</v>
      </c>
      <c r="K36" s="51">
        <v>66</v>
      </c>
      <c r="L36" s="100">
        <v>373.5</v>
      </c>
      <c r="M36" s="100">
        <v>1</v>
      </c>
    </row>
    <row r="37" spans="1:13" ht="18.75">
      <c r="A37" s="4">
        <v>36</v>
      </c>
      <c r="B37" s="4" t="s">
        <v>3075</v>
      </c>
      <c r="C37" s="4">
        <v>2032</v>
      </c>
      <c r="D37" s="4" t="str">
        <f>=VLOOKUP(B37,[2]在校生综合信息查询!$A$652:$C$691,2,0)</f>
        <v>24q6607010011</v>
      </c>
      <c r="E37" s="12">
        <v>26</v>
      </c>
      <c r="F37" s="12">
        <v>24</v>
      </c>
      <c r="G37" s="12">
        <v>14.5</v>
      </c>
      <c r="H37" s="12">
        <v>33</v>
      </c>
      <c r="I37" s="12">
        <v>56</v>
      </c>
      <c r="J37" s="12">
        <v>50</v>
      </c>
      <c r="K37" s="50">
        <v>47</v>
      </c>
      <c r="L37" s="100">
        <v>250.5</v>
      </c>
      <c r="M37" s="100">
        <v>15</v>
      </c>
    </row>
    <row r="38" spans="1:13" ht="18.75">
      <c r="A38" s="4">
        <v>37</v>
      </c>
      <c r="B38" s="4" t="s">
        <v>3077</v>
      </c>
      <c r="C38" s="4">
        <v>2033</v>
      </c>
      <c r="D38" s="4" t="str">
        <f>=VLOOKUP(B38,[2]在校生综合信息查询!$A$652:$C$691,2,0)</f>
        <v>24q660701039</v>
      </c>
      <c r="E38" s="12">
        <v>39</v>
      </c>
      <c r="F38" s="12">
        <v>20</v>
      </c>
      <c r="G38" s="12">
        <v>21</v>
      </c>
      <c r="H38" s="12">
        <v>17</v>
      </c>
      <c r="I38" s="12">
        <v>72</v>
      </c>
      <c r="J38" s="12">
        <v>52</v>
      </c>
      <c r="K38" s="51">
        <v>30</v>
      </c>
      <c r="L38" s="100">
        <v>251</v>
      </c>
      <c r="M38" s="100">
        <v>14</v>
      </c>
    </row>
    <row r="39" spans="1:13" ht="18.75">
      <c r="A39" s="4">
        <v>38</v>
      </c>
      <c r="B39" s="4" t="s">
        <v>3079</v>
      </c>
      <c r="C39" s="4">
        <v>2034</v>
      </c>
      <c r="D39" s="4" t="str">
        <f>=VLOOKUP(B39,[2]在校生综合信息查询!$A$652:$C$691,2,0)</f>
        <v>24q660701041</v>
      </c>
      <c r="E39" s="12">
        <v>27</v>
      </c>
      <c r="F39" s="12">
        <v>12</v>
      </c>
      <c r="G39" s="12">
        <v>17.5</v>
      </c>
      <c r="H39" s="12">
        <v>54</v>
      </c>
      <c r="I39" s="12">
        <v>56</v>
      </c>
      <c r="J39" s="12">
        <v>70</v>
      </c>
      <c r="K39" s="50">
        <v>42</v>
      </c>
      <c r="L39" s="100">
        <v>278.5</v>
      </c>
      <c r="M39" s="100">
        <v>9</v>
      </c>
    </row>
    <row r="40" spans="1:13" ht="18.75">
      <c r="A40" s="4">
        <v>39</v>
      </c>
      <c r="B40" s="4" t="s">
        <v>3081</v>
      </c>
      <c r="C40" s="4">
        <v>2035</v>
      </c>
      <c r="D40" s="4" t="str">
        <f>=VLOOKUP(B40,[2]在校生综合信息查询!$A$652:$C$691,2,0)</f>
        <v>24q660701043</v>
      </c>
      <c r="E40" s="12">
        <v>32</v>
      </c>
      <c r="F40" s="12">
        <v>20</v>
      </c>
      <c r="G40" s="12">
        <v>10.5</v>
      </c>
      <c r="H40" s="12">
        <v>18</v>
      </c>
      <c r="I40" s="12">
        <v>36</v>
      </c>
      <c r="J40" s="12">
        <v>36</v>
      </c>
      <c r="K40" s="51">
        <v>24</v>
      </c>
      <c r="L40" s="100">
        <v>176.5</v>
      </c>
      <c r="M40" s="100">
        <v>34</v>
      </c>
    </row>
    <row r="41" spans="1:13" ht="18.75">
      <c r="A41" s="4">
        <v>40</v>
      </c>
      <c r="B41" s="4" t="s">
        <v>3083</v>
      </c>
      <c r="C41" s="4">
        <v>2036</v>
      </c>
      <c r="D41" s="4" t="str">
        <f>=VLOOKUP(B41,[2]在校生综合信息查询!$A$652:$C$691,2,0)</f>
        <v>24q660701044</v>
      </c>
      <c r="E41" s="12">
        <v>24</v>
      </c>
      <c r="F41" s="12">
        <v>16</v>
      </c>
      <c r="G41" s="12">
        <v>32.5</v>
      </c>
      <c r="H41" s="12">
        <v>36</v>
      </c>
      <c r="I41" s="12">
        <v>58</v>
      </c>
      <c r="J41" s="12">
        <v>60</v>
      </c>
      <c r="K41" s="50">
        <v>38</v>
      </c>
      <c r="L41" s="100">
        <v>264.5</v>
      </c>
      <c r="M41" s="100">
        <v>12</v>
      </c>
    </row>
    <row r="42" spans="1:13">
      <c r="A42" s="102">
        <v>41</v>
      </c>
      <c r="B42" s="103" t="s">
        <v>3085</v>
      </c>
      <c r="D42" s="104" t="s"/>
      <c r="E42" s="105">
        <v>28</v>
      </c>
      <c r="F42" s="14">
        <v>0</v>
      </c>
      <c r="G42" s="14">
        <v>14</v>
      </c>
      <c r="H42" s="14">
        <v>19</v>
      </c>
      <c r="I42" s="14">
        <v>58</v>
      </c>
      <c r="J42" s="14">
        <v>56</v>
      </c>
      <c r="K42" s="106">
        <v>42</v>
      </c>
      <c r="L42" s="100">
        <v>225</v>
      </c>
      <c r="M42" s="100">
        <v>19</v>
      </c>
    </row>
    <row r="43" spans="1:13">
      <c r="A43" s="88" t="s"/>
      <c r="C43" s="88" t="s"/>
      <c r="M43" s="107" t="s"/>
    </row>
    <row r="44" spans="1:1">
      <c r="A44" s="88" t="s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/>
  <dimension ref="K48"/>
  <sheetViews>
    <sheetView showGridLines="1" topLeftCell="A40" workbookViewId="0"/>
  </sheetViews>
  <sheetFormatPr defaultColWidth="8.75" defaultRowHeight="13.5"/>
  <cols>
    <col min="1" max="1" width="8.75" style="123"/>
    <col min="2" max="2" width="10.5" style="123" customWidth="1"/>
    <col min="3" max="3" width="0" style="123" hidden="1" customWidth="1"/>
    <col min="4" max="4" width="17.625" style="123" customWidth="1"/>
    <col min="5" max="5" width="10.4219" style="123" customWidth="1"/>
    <col min="6" max="6" width="10.793" style="123" customWidth="1"/>
    <col min="7" max="7" width="14.7109" style="123" customWidth="1"/>
    <col min="8" max="8" width="12.625" style="123" customWidth="1"/>
    <col min="9" max="9" width="16.125" style="123" customWidth="1"/>
    <col min="10" max="10" width="13.625" style="123" customWidth="1"/>
    <col min="11" max="11" width="13" style="123" customWidth="1"/>
  </cols>
  <sheetData>
    <row r="1" spans="1:13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1587</v>
      </c>
      <c r="I1" s="4" t="s">
        <v>3086</v>
      </c>
      <c r="J1" s="4" t="s">
        <v>1585</v>
      </c>
      <c r="K1" s="4" t="s">
        <v>3087</v>
      </c>
      <c r="L1" s="5" t="s">
        <v>11</v>
      </c>
      <c r="M1" s="5" t="s">
        <v>12</v>
      </c>
    </row>
    <row r="2" spans="1:13" ht="18.75">
      <c r="A2" s="4">
        <v>1</v>
      </c>
      <c r="B2" s="4" t="s">
        <v>3088</v>
      </c>
      <c r="C2" s="4">
        <v>2166</v>
      </c>
      <c r="D2" s="4" t="str">
        <f>=VLOOKUP(B2,[2]在校生综合信息查询!$A$692:$C$740,2,0)</f>
        <v>24q660103001</v>
      </c>
      <c r="E2" s="7">
        <v>24</v>
      </c>
      <c r="F2" s="108">
        <v>24</v>
      </c>
      <c r="G2" s="108">
        <v>29.5</v>
      </c>
      <c r="H2" s="12">
        <v>33</v>
      </c>
      <c r="I2" s="12">
        <v>30</v>
      </c>
      <c r="J2" s="12">
        <v>16</v>
      </c>
      <c r="K2" s="12">
        <v>18</v>
      </c>
      <c r="L2" s="18" t="s"/>
      <c r="M2" s="18" t="s"/>
    </row>
    <row r="3" spans="1:13" ht="18.75">
      <c r="A3" s="4">
        <v>2</v>
      </c>
      <c r="B3" s="4" t="s">
        <v>3090</v>
      </c>
      <c r="C3" s="4">
        <v>2167</v>
      </c>
      <c r="D3" s="4" t="str">
        <f>=VLOOKUP(B3,[2]在校生综合信息查询!$A$692:$C$740,2,0)</f>
        <v>24q660103002</v>
      </c>
      <c r="E3" s="109">
        <v>12</v>
      </c>
      <c r="F3" s="110">
        <v>16</v>
      </c>
      <c r="G3" s="110">
        <v>23</v>
      </c>
      <c r="H3" s="12">
        <v>18</v>
      </c>
      <c r="I3" s="12">
        <v>22</v>
      </c>
      <c r="J3" s="12">
        <v>18</v>
      </c>
      <c r="K3" s="12">
        <v>32</v>
      </c>
      <c r="L3" s="18" t="s"/>
      <c r="M3" s="18" t="s"/>
    </row>
    <row r="4" spans="1:13" ht="18.75">
      <c r="A4" s="4">
        <v>3</v>
      </c>
      <c r="B4" s="4" t="s">
        <v>3092</v>
      </c>
      <c r="C4" s="4">
        <v>4381</v>
      </c>
      <c r="D4" s="4" t="str">
        <f>=VLOOKUP(B4,[2]在校生综合信息查询!$A$692:$C$740,2,0)</f>
        <v>24q660103003</v>
      </c>
      <c r="E4" s="109">
        <v>9</v>
      </c>
      <c r="F4" s="110">
        <v>16</v>
      </c>
      <c r="G4" s="110">
        <v>12</v>
      </c>
      <c r="H4" s="12">
        <v>30</v>
      </c>
      <c r="I4" s="12">
        <v>21</v>
      </c>
      <c r="J4" s="12">
        <v>16</v>
      </c>
      <c r="K4" s="12">
        <v>36</v>
      </c>
      <c r="L4" s="18" t="s"/>
      <c r="M4" s="18" t="s"/>
    </row>
    <row r="5" spans="1:13" ht="18.75">
      <c r="A5" s="4">
        <v>4</v>
      </c>
      <c r="B5" s="4" t="s">
        <v>3094</v>
      </c>
      <c r="C5" s="4">
        <v>2206</v>
      </c>
      <c r="D5" s="4" t="str">
        <f>=VLOOKUP(B5,[2]在校生综合信息查询!$A$692:$C$740,2,0)</f>
        <v>24q710201757</v>
      </c>
      <c r="E5" s="109">
        <v>31</v>
      </c>
      <c r="F5" s="110">
        <v>8</v>
      </c>
      <c r="G5" s="110">
        <v>23</v>
      </c>
      <c r="H5" s="12">
        <v>44</v>
      </c>
      <c r="I5" s="12">
        <v>22</v>
      </c>
      <c r="J5" s="12">
        <v>26</v>
      </c>
      <c r="K5" s="12">
        <v>32</v>
      </c>
      <c r="L5" s="18" t="s"/>
      <c r="M5" s="18" t="s"/>
    </row>
    <row r="6" spans="1:13" ht="18.75">
      <c r="A6" s="4">
        <v>5</v>
      </c>
      <c r="B6" s="4" t="s">
        <v>3096</v>
      </c>
      <c r="C6" s="4">
        <v>2200</v>
      </c>
      <c r="D6" s="4" t="str">
        <f>=VLOOKUP(B6,[2]在校生综合信息查询!$A$692:$C$740,2,0)</f>
        <v>24q710103284</v>
      </c>
      <c r="E6" s="109">
        <v>23</v>
      </c>
      <c r="F6" s="110">
        <v>12</v>
      </c>
      <c r="G6" s="110">
        <v>21.5</v>
      </c>
      <c r="H6" s="12">
        <v>35</v>
      </c>
      <c r="I6" s="12">
        <v>38</v>
      </c>
      <c r="J6" s="12">
        <v>30</v>
      </c>
      <c r="K6" s="12">
        <v>37</v>
      </c>
      <c r="L6" s="18" t="s"/>
      <c r="M6" s="18" t="s"/>
    </row>
    <row r="7" spans="1:13" ht="18.75">
      <c r="A7" s="4">
        <v>6</v>
      </c>
      <c r="B7" s="4" t="s">
        <v>3098</v>
      </c>
      <c r="C7" s="4">
        <v>2169</v>
      </c>
      <c r="D7" s="4" t="str">
        <f>=VLOOKUP(B7,[2]在校生综合信息查询!$A$692:$C$740,2,0)</f>
        <v>24q660103005</v>
      </c>
      <c r="E7" s="109">
        <v>40</v>
      </c>
      <c r="F7" s="110">
        <v>24</v>
      </c>
      <c r="G7" s="110">
        <v>17</v>
      </c>
      <c r="H7" s="12">
        <v>38</v>
      </c>
      <c r="I7" s="12">
        <v>26</v>
      </c>
      <c r="J7" s="12">
        <v>24</v>
      </c>
      <c r="K7" s="12">
        <v>32</v>
      </c>
      <c r="L7" s="18" t="s"/>
      <c r="M7" s="18" t="s"/>
    </row>
    <row r="8" spans="1:13" ht="18.75">
      <c r="A8" s="4">
        <v>7</v>
      </c>
      <c r="B8" s="4" t="s">
        <v>3100</v>
      </c>
      <c r="C8" s="4">
        <v>2212</v>
      </c>
      <c r="D8" s="4" t="str">
        <f>=VLOOKUP(B8,[2]在校生综合信息查询!$A$692:$C$740,2,0)</f>
        <v>24q660103149</v>
      </c>
      <c r="E8" s="109">
        <v>39</v>
      </c>
      <c r="F8" s="110">
        <v>38</v>
      </c>
      <c r="G8" s="110">
        <v>30</v>
      </c>
      <c r="H8" s="12">
        <v>75</v>
      </c>
      <c r="I8" s="12">
        <v>70</v>
      </c>
      <c r="J8" s="12">
        <v>44</v>
      </c>
      <c r="K8" s="12">
        <v>47</v>
      </c>
      <c r="L8" s="18" t="s"/>
      <c r="M8" s="18" t="s"/>
    </row>
    <row r="9" spans="1:13" ht="18.75">
      <c r="A9" s="4">
        <v>8</v>
      </c>
      <c r="B9" s="4" t="s">
        <v>3102</v>
      </c>
      <c r="C9" s="4">
        <v>2170</v>
      </c>
      <c r="D9" s="4" t="str">
        <f>=VLOOKUP(B9,[2]在校生综合信息查询!$A$692:$C$740,2,0)</f>
        <v>24q660103006</v>
      </c>
      <c r="E9" s="109">
        <v>9</v>
      </c>
      <c r="F9" s="110">
        <v>8</v>
      </c>
      <c r="G9" s="110">
        <v>29</v>
      </c>
      <c r="H9" s="12">
        <v>35</v>
      </c>
      <c r="I9" s="12">
        <v>18</v>
      </c>
      <c r="J9" s="12">
        <v>22</v>
      </c>
      <c r="K9" s="12">
        <v>18</v>
      </c>
      <c r="L9" s="18" t="s"/>
      <c r="M9" s="18" t="s"/>
    </row>
    <row r="10" spans="1:13" ht="18.75">
      <c r="A10" s="4">
        <v>9</v>
      </c>
      <c r="B10" s="4" t="s">
        <v>3104</v>
      </c>
      <c r="C10" s="4">
        <v>2171</v>
      </c>
      <c r="D10" s="4" t="str">
        <f>=VLOOKUP(B10,[2]在校生综合信息查询!$A$692:$C$740,2,0)</f>
        <v>24q660103007</v>
      </c>
      <c r="E10" s="109">
        <v>17</v>
      </c>
      <c r="F10" s="110">
        <v>24</v>
      </c>
      <c r="G10" s="110">
        <v>23.5</v>
      </c>
      <c r="H10" s="12">
        <v>26</v>
      </c>
      <c r="I10" s="12">
        <v>20</v>
      </c>
      <c r="J10" s="12">
        <v>24</v>
      </c>
      <c r="K10" s="12">
        <v>28</v>
      </c>
      <c r="L10" s="18" t="s"/>
      <c r="M10" s="18" t="s"/>
    </row>
    <row r="11" spans="1:13" ht="18.75">
      <c r="A11" s="4">
        <v>10</v>
      </c>
      <c r="B11" s="4" t="s">
        <v>3106</v>
      </c>
      <c r="C11" s="4">
        <v>2172</v>
      </c>
      <c r="D11" s="4" t="str">
        <f>=VLOOKUP(B11,[2]在校生综合信息查询!$A$692:$C$740,2,0)</f>
        <v>24q660103008</v>
      </c>
      <c r="E11" s="109">
        <v>18</v>
      </c>
      <c r="F11" s="110">
        <v>20</v>
      </c>
      <c r="G11" s="110">
        <v>18</v>
      </c>
      <c r="H11" s="12">
        <v>26</v>
      </c>
      <c r="I11" s="12">
        <v>20</v>
      </c>
      <c r="J11" s="12">
        <v>26</v>
      </c>
      <c r="K11" s="12">
        <v>28</v>
      </c>
      <c r="L11" s="18" t="s"/>
      <c r="M11" s="18" t="s"/>
    </row>
    <row r="12" spans="1:13" ht="18.75">
      <c r="A12" s="4">
        <v>11</v>
      </c>
      <c r="B12" s="4" t="s">
        <v>3108</v>
      </c>
      <c r="C12" s="4">
        <v>2173</v>
      </c>
      <c r="D12" s="4" t="str">
        <f>=VLOOKUP(B12,[2]在校生综合信息查询!$A$692:$C$740,2,0)</f>
        <v>24q660103009</v>
      </c>
      <c r="E12" s="109">
        <v>9</v>
      </c>
      <c r="F12" s="110">
        <v>12</v>
      </c>
      <c r="G12" s="110">
        <v>32</v>
      </c>
      <c r="H12" s="12">
        <v>29</v>
      </c>
      <c r="I12" s="12">
        <v>32</v>
      </c>
      <c r="J12" s="12">
        <v>16</v>
      </c>
      <c r="K12" s="12">
        <v>30</v>
      </c>
      <c r="L12" s="18" t="s"/>
      <c r="M12" s="18" t="s"/>
    </row>
    <row r="13" spans="1:13" ht="18.75">
      <c r="A13" s="4">
        <v>12</v>
      </c>
      <c r="B13" s="4" t="s">
        <v>3110</v>
      </c>
      <c r="C13" s="4">
        <v>2174</v>
      </c>
      <c r="D13" s="4" t="str">
        <f>=VLOOKUP(B13,[2]在校生综合信息查询!$A$692:$C$740,2,0)</f>
        <v>24q660103010</v>
      </c>
      <c r="E13" s="109">
        <v>18</v>
      </c>
      <c r="F13" s="110">
        <v>32</v>
      </c>
      <c r="G13" s="110">
        <v>28.5</v>
      </c>
      <c r="H13" s="12">
        <v>29</v>
      </c>
      <c r="I13" s="12">
        <v>28</v>
      </c>
      <c r="J13" s="12">
        <v>30</v>
      </c>
      <c r="K13" s="12">
        <v>18</v>
      </c>
      <c r="L13" s="18" t="s"/>
      <c r="M13" s="18" t="s"/>
    </row>
    <row r="14" spans="1:13" ht="18.75">
      <c r="A14" s="4">
        <v>13</v>
      </c>
      <c r="B14" s="4" t="s">
        <v>3112</v>
      </c>
      <c r="C14" s="4">
        <v>2175</v>
      </c>
      <c r="D14" s="4" t="str">
        <f>=VLOOKUP(B14,[2]在校生综合信息查询!$A$692:$C$740,2,0)</f>
        <v>24q660103011</v>
      </c>
      <c r="E14" s="109">
        <v>32</v>
      </c>
      <c r="F14" s="110">
        <v>20</v>
      </c>
      <c r="G14" s="110">
        <v>12.5</v>
      </c>
      <c r="H14" s="12">
        <v>35</v>
      </c>
      <c r="I14" s="12">
        <v>30</v>
      </c>
      <c r="J14" s="12">
        <v>22</v>
      </c>
      <c r="K14" s="12">
        <v>32</v>
      </c>
      <c r="L14" s="18" t="s"/>
      <c r="M14" s="18" t="s"/>
    </row>
    <row r="15" spans="1:13" ht="18.75">
      <c r="A15" s="4">
        <v>14</v>
      </c>
      <c r="B15" s="4" t="s">
        <v>3114</v>
      </c>
      <c r="C15" s="4">
        <v>2176</v>
      </c>
      <c r="D15" s="4" t="str">
        <f>=VLOOKUP(B15,[2]在校生综合信息查询!$A$692:$C$740,2,0)</f>
        <v>24q660103012</v>
      </c>
      <c r="E15" s="109">
        <v>22</v>
      </c>
      <c r="F15" s="110">
        <v>24</v>
      </c>
      <c r="G15" s="110">
        <v>24.5</v>
      </c>
      <c r="H15" s="12">
        <v>18</v>
      </c>
      <c r="I15" s="12">
        <v>24</v>
      </c>
      <c r="J15" s="12">
        <v>18</v>
      </c>
      <c r="K15" s="12">
        <v>26</v>
      </c>
      <c r="L15" s="18" t="s"/>
      <c r="M15" s="18" t="s"/>
    </row>
    <row r="16" spans="1:13" ht="18.75">
      <c r="A16" s="4">
        <v>15</v>
      </c>
      <c r="B16" s="4" t="s">
        <v>3116</v>
      </c>
      <c r="C16" s="4">
        <v>2211</v>
      </c>
      <c r="D16" s="4" t="str">
        <f>=VLOOKUP(B16,[2]在校生综合信息查询!$A$692:$C$740,2,0)</f>
        <v>24q660103157</v>
      </c>
      <c r="E16" s="109">
        <v>21</v>
      </c>
      <c r="F16" s="110">
        <v>20</v>
      </c>
      <c r="G16" s="110">
        <v>57.5</v>
      </c>
      <c r="H16" s="12">
        <v>66</v>
      </c>
      <c r="I16" s="12">
        <v>68</v>
      </c>
      <c r="J16" s="12">
        <v>42</v>
      </c>
      <c r="K16" s="12">
        <v>40</v>
      </c>
      <c r="L16" s="18" t="s"/>
      <c r="M16" s="18" t="s"/>
    </row>
    <row r="17" spans="1:13" ht="18.75">
      <c r="A17" s="4">
        <v>16</v>
      </c>
      <c r="B17" s="4" t="s">
        <v>3118</v>
      </c>
      <c r="C17" s="4">
        <v>2177</v>
      </c>
      <c r="D17" s="4" t="str">
        <f>=VLOOKUP(B17,[2]在校生综合信息查询!$A$692:$C$740,2,0)</f>
        <v>24q660103013</v>
      </c>
      <c r="E17" s="109">
        <v>27</v>
      </c>
      <c r="F17" s="110">
        <v>24</v>
      </c>
      <c r="G17" s="110">
        <v>11.5</v>
      </c>
      <c r="H17" s="12">
        <v>35</v>
      </c>
      <c r="I17" s="12">
        <v>18</v>
      </c>
      <c r="J17" s="12">
        <v>30</v>
      </c>
      <c r="K17" s="12">
        <v>42</v>
      </c>
      <c r="L17" s="18" t="s"/>
      <c r="M17" s="18" t="s"/>
    </row>
    <row r="18" spans="1:13" ht="18.75">
      <c r="A18" s="4">
        <v>17</v>
      </c>
      <c r="B18" s="4" t="s">
        <v>3120</v>
      </c>
      <c r="C18" s="4">
        <v>2178</v>
      </c>
      <c r="D18" s="4" t="str">
        <f>=VLOOKUP(B18,[2]在校生综合信息查询!$A$692:$C$740,2,0)</f>
        <v>24q660103014</v>
      </c>
      <c r="E18" s="109">
        <v>22</v>
      </c>
      <c r="F18" s="110">
        <v>4</v>
      </c>
      <c r="G18" s="110">
        <v>22</v>
      </c>
      <c r="H18" s="12">
        <v>29</v>
      </c>
      <c r="I18" s="12">
        <v>45</v>
      </c>
      <c r="J18" s="12">
        <v>26</v>
      </c>
      <c r="K18" s="12">
        <v>42</v>
      </c>
      <c r="L18" s="18" t="s"/>
      <c r="M18" s="18" t="s"/>
    </row>
    <row r="19" spans="1:13" ht="18.75">
      <c r="A19" s="4">
        <v>18</v>
      </c>
      <c r="B19" s="4" t="s">
        <v>3122</v>
      </c>
      <c r="C19" s="4">
        <v>2179</v>
      </c>
      <c r="D19" s="4" t="str">
        <f>=VLOOKUP(B19,[2]在校生综合信息查询!$A$692:$C$740,2,0)</f>
        <v>24q660103015</v>
      </c>
      <c r="E19" s="109">
        <v>11</v>
      </c>
      <c r="F19" s="110">
        <v>4</v>
      </c>
      <c r="G19" s="110">
        <v>21</v>
      </c>
      <c r="H19" s="12">
        <v>33</v>
      </c>
      <c r="I19" s="12">
        <v>28</v>
      </c>
      <c r="J19" s="12">
        <v>14</v>
      </c>
      <c r="K19" s="12">
        <v>18</v>
      </c>
      <c r="L19" s="18" t="s"/>
      <c r="M19" s="18" t="s"/>
    </row>
    <row r="20" spans="1:13" ht="18.75">
      <c r="A20" s="4">
        <v>19</v>
      </c>
      <c r="B20" s="4" t="s">
        <v>3124</v>
      </c>
      <c r="C20" s="4">
        <v>2180</v>
      </c>
      <c r="D20" s="4" t="str">
        <f>=VLOOKUP(B20,[2]在校生综合信息查询!$A$692:$C$740,2,0)</f>
        <v>24q660103017</v>
      </c>
      <c r="E20" s="109">
        <v>9</v>
      </c>
      <c r="F20" s="110">
        <v>12</v>
      </c>
      <c r="G20" s="110">
        <v>13</v>
      </c>
      <c r="H20" s="12">
        <v>23</v>
      </c>
      <c r="I20" s="12">
        <v>32</v>
      </c>
      <c r="J20" s="12">
        <v>22</v>
      </c>
      <c r="K20" s="12">
        <v>24</v>
      </c>
      <c r="L20" s="18" t="s"/>
      <c r="M20" s="18" t="s"/>
    </row>
    <row r="21" spans="1:13" ht="18.75">
      <c r="A21" s="4">
        <v>20</v>
      </c>
      <c r="B21" s="4" t="s">
        <v>3126</v>
      </c>
      <c r="C21" s="4">
        <v>2181</v>
      </c>
      <c r="D21" s="4" t="str">
        <f>=VLOOKUP(B21,[2]在校生综合信息查询!$A$692:$C$740,2,0)</f>
        <v>24q660103020</v>
      </c>
      <c r="E21" s="109">
        <v>14</v>
      </c>
      <c r="F21" s="110">
        <v>12</v>
      </c>
      <c r="G21" s="110">
        <v>19.5</v>
      </c>
      <c r="H21" s="12">
        <v>41</v>
      </c>
      <c r="I21" s="12">
        <v>33</v>
      </c>
      <c r="J21" s="12">
        <v>14</v>
      </c>
      <c r="K21" s="12">
        <v>33</v>
      </c>
      <c r="L21" s="18" t="s"/>
      <c r="M21" s="18" t="s"/>
    </row>
    <row r="22" spans="1:13" ht="18.75">
      <c r="A22" s="4">
        <v>21</v>
      </c>
      <c r="B22" s="4" t="s">
        <v>296</v>
      </c>
      <c r="C22" s="4">
        <v>2205</v>
      </c>
      <c r="D22" s="4" t="str">
        <f>=VLOOKUP(B22,[2]在校生综合信息查询!$A$692:$C$740,2,0)</f>
        <v>24q660103163</v>
      </c>
      <c r="E22" s="109">
        <v>40</v>
      </c>
      <c r="F22" s="110">
        <v>26</v>
      </c>
      <c r="G22" s="110">
        <v>22.5</v>
      </c>
      <c r="H22" s="12">
        <v>57</v>
      </c>
      <c r="I22" s="12">
        <v>54</v>
      </c>
      <c r="J22" s="12">
        <v>39</v>
      </c>
      <c r="K22" s="12">
        <v>39</v>
      </c>
      <c r="L22" s="18" t="s"/>
      <c r="M22" s="18" t="s"/>
    </row>
    <row r="23" spans="1:13" ht="18.75">
      <c r="A23" s="4">
        <v>22</v>
      </c>
      <c r="B23" s="4" t="s">
        <v>3129</v>
      </c>
      <c r="C23" s="4">
        <v>2182</v>
      </c>
      <c r="D23" s="4" t="str">
        <f>=VLOOKUP(B23,[2]在校生综合信息查询!$A$692:$C$740,2,0)</f>
        <v>24q660103021</v>
      </c>
      <c r="E23" s="109">
        <v>12</v>
      </c>
      <c r="F23" s="110">
        <v>20</v>
      </c>
      <c r="G23" s="110">
        <v>16</v>
      </c>
      <c r="H23" s="12">
        <v>23</v>
      </c>
      <c r="I23" s="12">
        <v>19</v>
      </c>
      <c r="J23" s="12">
        <v>24</v>
      </c>
      <c r="K23" s="12">
        <v>42</v>
      </c>
      <c r="L23" s="18" t="s"/>
      <c r="M23" s="18" t="s"/>
    </row>
    <row r="24" spans="1:13" ht="18.75">
      <c r="A24" s="4">
        <v>23</v>
      </c>
      <c r="B24" s="4" t="s">
        <v>3131</v>
      </c>
      <c r="C24" s="4">
        <v>2183</v>
      </c>
      <c r="D24" s="4" t="str">
        <f>=VLOOKUP(B24,[2]在校生综合信息查询!$A$692:$C$740,2,0)</f>
        <v>24q660103022</v>
      </c>
      <c r="E24" s="109">
        <v>33</v>
      </c>
      <c r="F24" s="110">
        <v>4</v>
      </c>
      <c r="G24" s="110">
        <v>16.5</v>
      </c>
      <c r="H24" s="12">
        <v>40</v>
      </c>
      <c r="I24" s="12">
        <v>20</v>
      </c>
      <c r="J24" s="12">
        <v>20</v>
      </c>
      <c r="K24" s="12">
        <v>22</v>
      </c>
      <c r="L24" s="18" t="s"/>
      <c r="M24" s="18" t="s"/>
    </row>
    <row r="25" spans="1:13" ht="18.75">
      <c r="A25" s="4">
        <v>24</v>
      </c>
      <c r="B25" s="4" t="s">
        <v>3133</v>
      </c>
      <c r="C25" s="4">
        <v>2204</v>
      </c>
      <c r="D25" s="4" t="str">
        <f>=VLOOKUP(B25,[2]在校生综合信息查询!$A$692:$C$740,2,0)</f>
        <v>24q660103165</v>
      </c>
      <c r="E25" s="109">
        <v>13</v>
      </c>
      <c r="F25" s="110">
        <v>16</v>
      </c>
      <c r="G25" s="110">
        <v>18.5</v>
      </c>
      <c r="H25" s="12">
        <v>31</v>
      </c>
      <c r="I25" s="12">
        <v>20</v>
      </c>
      <c r="J25" s="12">
        <v>22</v>
      </c>
      <c r="K25" s="12">
        <v>26</v>
      </c>
      <c r="L25" s="18" t="s"/>
      <c r="M25" s="18" t="s"/>
    </row>
    <row r="26" spans="1:13" ht="18.75">
      <c r="A26" s="4">
        <v>25</v>
      </c>
      <c r="B26" s="4" t="s">
        <v>3135</v>
      </c>
      <c r="C26" s="4">
        <v>2184</v>
      </c>
      <c r="D26" s="4" t="str">
        <f>=VLOOKUP(B26,[2]在校生综合信息查询!$A$692:$C$740,2,0)</f>
        <v>24q660103024</v>
      </c>
      <c r="E26" s="109">
        <v>28</v>
      </c>
      <c r="F26" s="110">
        <v>20</v>
      </c>
      <c r="G26" s="110">
        <v>25.5</v>
      </c>
      <c r="H26" s="12">
        <v>36</v>
      </c>
      <c r="I26" s="12">
        <v>47</v>
      </c>
      <c r="J26" s="12">
        <v>30</v>
      </c>
      <c r="K26" s="12">
        <v>32</v>
      </c>
      <c r="L26" s="18" t="s"/>
      <c r="M26" s="18" t="s"/>
    </row>
    <row r="27" spans="1:13" ht="18.75">
      <c r="A27" s="4">
        <v>26</v>
      </c>
      <c r="B27" s="4" t="s">
        <v>3137</v>
      </c>
      <c r="C27" s="4">
        <v>2201</v>
      </c>
      <c r="D27" s="4" t="str">
        <f>=VLOOKUP(B27,[2]在校生综合信息查询!$A$692:$C$740,2,0)</f>
        <v>24q710103169</v>
      </c>
      <c r="E27" s="109">
        <v>32</v>
      </c>
      <c r="F27" s="110">
        <v>28</v>
      </c>
      <c r="G27" s="110">
        <v>30.5</v>
      </c>
      <c r="H27" s="12">
        <v>56</v>
      </c>
      <c r="I27" s="12">
        <v>57</v>
      </c>
      <c r="J27" s="12">
        <v>32</v>
      </c>
      <c r="K27" s="12">
        <v>43</v>
      </c>
      <c r="L27" s="18" t="s"/>
      <c r="M27" s="18" t="s"/>
    </row>
    <row r="28" spans="1:13" ht="18.75">
      <c r="A28" s="4">
        <v>27</v>
      </c>
      <c r="B28" s="4" t="s">
        <v>3139</v>
      </c>
      <c r="C28" s="4">
        <v>2185</v>
      </c>
      <c r="D28" s="4" t="str">
        <f>=VLOOKUP(B28,[2]在校生综合信息查询!$A$692:$C$740,2,0)</f>
        <v>24q660103026</v>
      </c>
      <c r="E28" s="109">
        <v>18</v>
      </c>
      <c r="F28" s="110">
        <v>12</v>
      </c>
      <c r="G28" s="110">
        <v>20</v>
      </c>
      <c r="H28" s="12">
        <v>30</v>
      </c>
      <c r="I28" s="12">
        <v>26</v>
      </c>
      <c r="J28" s="12">
        <v>12</v>
      </c>
      <c r="K28" s="12">
        <v>20</v>
      </c>
      <c r="L28" s="18" t="s"/>
      <c r="M28" s="18" t="s"/>
    </row>
    <row r="29" spans="1:13" ht="18.75">
      <c r="A29" s="4">
        <v>28</v>
      </c>
      <c r="B29" s="4" t="s">
        <v>3141</v>
      </c>
      <c r="C29" s="4">
        <v>2207</v>
      </c>
      <c r="D29" s="4" t="str">
        <f>=VLOOKUP(B29,[2]在校生综合信息查询!$A$692:$C$740,2,0)</f>
        <v>24q660103171</v>
      </c>
      <c r="E29" s="109">
        <v>31</v>
      </c>
      <c r="F29" s="110">
        <v>16</v>
      </c>
      <c r="G29" s="110">
        <v>27</v>
      </c>
      <c r="H29" s="12">
        <v>37</v>
      </c>
      <c r="I29" s="12">
        <v>28</v>
      </c>
      <c r="J29" s="12">
        <v>22</v>
      </c>
      <c r="K29" s="12">
        <v>30</v>
      </c>
      <c r="L29" s="18" t="s"/>
      <c r="M29" s="18" t="s"/>
    </row>
    <row r="30" spans="1:13" ht="18.75">
      <c r="A30" s="4">
        <v>29</v>
      </c>
      <c r="B30" s="4" t="s">
        <v>3143</v>
      </c>
      <c r="C30" s="4">
        <v>2186</v>
      </c>
      <c r="D30" s="4" t="str">
        <f>=VLOOKUP(B30,[2]在校生综合信息查询!$A$692:$C$740,2,0)</f>
        <v>24q660103027</v>
      </c>
      <c r="E30" s="109">
        <v>23</v>
      </c>
      <c r="F30" s="110">
        <v>12</v>
      </c>
      <c r="G30" s="110">
        <v>25</v>
      </c>
      <c r="H30" s="12">
        <v>36</v>
      </c>
      <c r="I30" s="12">
        <v>30</v>
      </c>
      <c r="J30" s="12">
        <v>26</v>
      </c>
      <c r="K30" s="12">
        <v>28</v>
      </c>
      <c r="L30" s="18" t="s"/>
      <c r="M30" s="18" t="s"/>
    </row>
    <row r="31" spans="1:13" ht="18.75">
      <c r="A31" s="4">
        <v>30</v>
      </c>
      <c r="B31" s="4" t="s">
        <v>3145</v>
      </c>
      <c r="C31" s="4">
        <v>2199</v>
      </c>
      <c r="D31" s="4" t="str">
        <f>=VLOOKUP(B31,[2]在校生综合信息查询!$A$692:$C$740,2,0)</f>
        <v>24q710103175</v>
      </c>
      <c r="E31" s="109">
        <v>31</v>
      </c>
      <c r="F31" s="110">
        <v>20</v>
      </c>
      <c r="G31" s="110">
        <v>45.5</v>
      </c>
      <c r="H31" s="12">
        <v>45</v>
      </c>
      <c r="I31" s="12">
        <v>40</v>
      </c>
      <c r="J31" s="12">
        <v>22</v>
      </c>
      <c r="K31" s="12">
        <v>19</v>
      </c>
      <c r="L31" s="18" t="s"/>
      <c r="M31" s="18" t="s"/>
    </row>
    <row r="32" spans="1:13" ht="18.75">
      <c r="A32" s="4">
        <v>31</v>
      </c>
      <c r="B32" s="4" t="s">
        <v>3147</v>
      </c>
      <c r="C32" s="4">
        <v>2187</v>
      </c>
      <c r="D32" s="4" t="str">
        <f>=VLOOKUP(B32,[2]在校生综合信息查询!$A$692:$C$740,2,0)</f>
        <v>24q660103028</v>
      </c>
      <c r="E32" s="109">
        <v>24</v>
      </c>
      <c r="F32" s="110">
        <v>20</v>
      </c>
      <c r="G32" s="110">
        <v>6.5</v>
      </c>
      <c r="H32" s="12">
        <v>31</v>
      </c>
      <c r="I32" s="12">
        <v>16</v>
      </c>
      <c r="J32" s="12">
        <v>14</v>
      </c>
      <c r="K32" s="12">
        <v>20</v>
      </c>
      <c r="L32" s="18" t="s"/>
      <c r="M32" s="18" t="s"/>
    </row>
    <row r="33" spans="1:13" ht="18.75">
      <c r="A33" s="4">
        <v>32</v>
      </c>
      <c r="B33" s="4" t="s">
        <v>3149</v>
      </c>
      <c r="C33" s="4">
        <v>2188</v>
      </c>
      <c r="D33" s="4" t="str">
        <f>=VLOOKUP(B33,[2]在校生综合信息查询!$A$692:$C$740,2,0)</f>
        <v>24q660103029</v>
      </c>
      <c r="E33" s="109">
        <v>13</v>
      </c>
      <c r="F33" s="110">
        <v>16</v>
      </c>
      <c r="G33" s="110">
        <v>17</v>
      </c>
      <c r="H33" s="12">
        <v>49</v>
      </c>
      <c r="I33" s="12">
        <v>35</v>
      </c>
      <c r="J33" s="12">
        <v>16</v>
      </c>
      <c r="K33" s="12">
        <v>34</v>
      </c>
      <c r="L33" s="18" t="s"/>
      <c r="M33" s="18" t="s"/>
    </row>
    <row r="34" spans="1:11" ht="18.75">
      <c r="A34" s="4">
        <v>33</v>
      </c>
      <c r="B34" s="4" t="s">
        <v>3151</v>
      </c>
      <c r="C34" s="4">
        <v>2189</v>
      </c>
      <c r="D34" s="4" t="str">
        <f>=VLOOKUP(B34,[2]在校生综合信息查询!$A$692:$C$740,2,0)</f>
        <v>24q660103030</v>
      </c>
      <c r="E34" s="109">
        <v>31</v>
      </c>
      <c r="F34" s="110">
        <v>12</v>
      </c>
      <c r="G34" s="110">
        <v>29</v>
      </c>
      <c r="H34" s="12">
        <v>49</v>
      </c>
      <c r="I34" s="12">
        <v>30</v>
      </c>
      <c r="J34" s="12">
        <v>18</v>
      </c>
      <c r="K34" s="12">
        <v>36</v>
      </c>
    </row>
    <row r="35" spans="1:11" ht="18.75">
      <c r="A35" s="4">
        <v>34</v>
      </c>
      <c r="B35" s="4" t="s">
        <v>3153</v>
      </c>
      <c r="C35" s="4">
        <v>2190</v>
      </c>
      <c r="D35" s="4" t="str">
        <f>=VLOOKUP(B35,[2]在校生综合信息查询!$A$692:$C$740,2,0)</f>
        <v>24q660103031</v>
      </c>
      <c r="E35" s="109">
        <v>36</v>
      </c>
      <c r="F35" s="110">
        <v>16</v>
      </c>
      <c r="G35" s="110">
        <v>48</v>
      </c>
      <c r="H35" s="12">
        <v>20</v>
      </c>
      <c r="I35" s="12">
        <v>19</v>
      </c>
      <c r="J35" s="12">
        <v>24</v>
      </c>
      <c r="K35" s="12">
        <v>32</v>
      </c>
    </row>
    <row r="36" spans="1:11" ht="18.75">
      <c r="A36" s="4">
        <v>35</v>
      </c>
      <c r="B36" s="4" t="s">
        <v>3155</v>
      </c>
      <c r="C36" s="4">
        <v>2191</v>
      </c>
      <c r="D36" s="4" t="str">
        <f>=VLOOKUP(B36,[2]在校生综合信息查询!$A$692:$C$740,2,0)</f>
        <v>24q660103032</v>
      </c>
      <c r="E36" s="109">
        <v>12</v>
      </c>
      <c r="F36" s="110">
        <v>20</v>
      </c>
      <c r="G36" s="110">
        <v>17.5</v>
      </c>
      <c r="H36" s="12">
        <v>38</v>
      </c>
      <c r="I36" s="12">
        <v>16</v>
      </c>
      <c r="J36" s="12">
        <v>22</v>
      </c>
      <c r="K36" s="12">
        <v>24</v>
      </c>
    </row>
    <row r="37" spans="1:11" ht="18.75">
      <c r="A37" s="4">
        <v>36</v>
      </c>
      <c r="B37" s="4" t="s">
        <v>3157</v>
      </c>
      <c r="C37" s="4">
        <v>2192</v>
      </c>
      <c r="D37" s="4" t="str">
        <f>=VLOOKUP(B37,[2]在校生综合信息查询!$A$692:$C$740,2,0)</f>
        <v>24q660103033</v>
      </c>
      <c r="E37" s="109">
        <v>20</v>
      </c>
      <c r="F37" s="110">
        <v>12</v>
      </c>
      <c r="G37" s="110">
        <v>23.5</v>
      </c>
      <c r="H37" s="12">
        <v>26</v>
      </c>
      <c r="I37" s="12">
        <v>32</v>
      </c>
      <c r="J37" s="12">
        <v>18</v>
      </c>
      <c r="K37" s="12">
        <v>22</v>
      </c>
    </row>
    <row r="38" spans="1:11" ht="18.75">
      <c r="A38" s="4">
        <v>37</v>
      </c>
      <c r="B38" s="4" t="s">
        <v>3159</v>
      </c>
      <c r="C38" s="4">
        <v>2193</v>
      </c>
      <c r="D38" s="4" t="str">
        <f>=VLOOKUP(B38,[2]在校生综合信息查询!$A$692:$C$740,2,0)</f>
        <v>24q660103034</v>
      </c>
      <c r="E38" s="109">
        <v>31</v>
      </c>
      <c r="F38" s="110">
        <v>16</v>
      </c>
      <c r="G38" s="110">
        <v>22.5</v>
      </c>
      <c r="H38" s="12">
        <v>25</v>
      </c>
      <c r="I38" s="12">
        <v>23</v>
      </c>
      <c r="J38" s="12">
        <v>18</v>
      </c>
      <c r="K38" s="12">
        <v>30</v>
      </c>
    </row>
    <row r="39" spans="1:11" ht="18.75">
      <c r="A39" s="4">
        <v>38</v>
      </c>
      <c r="B39" s="4" t="s">
        <v>3161</v>
      </c>
      <c r="C39" s="4">
        <v>2194</v>
      </c>
      <c r="D39" s="4" t="str">
        <f>=VLOOKUP(B39,[2]在校生综合信息查询!$A$692:$C$740,2,0)</f>
        <v>24q660103036</v>
      </c>
      <c r="E39" s="109">
        <v>14</v>
      </c>
      <c r="F39" s="110">
        <v>36</v>
      </c>
      <c r="G39" s="110">
        <v>21</v>
      </c>
      <c r="H39" s="12">
        <v>29</v>
      </c>
      <c r="I39" s="12">
        <v>23</v>
      </c>
      <c r="J39" s="12">
        <v>22</v>
      </c>
      <c r="K39" s="12">
        <v>37</v>
      </c>
    </row>
    <row r="40" spans="1:11" ht="18.75">
      <c r="A40" s="4">
        <v>39</v>
      </c>
      <c r="B40" s="4" t="s">
        <v>3163</v>
      </c>
      <c r="C40" s="4">
        <v>2195</v>
      </c>
      <c r="D40" s="4" t="str">
        <f>=VLOOKUP(B40,[2]在校生综合信息查询!$A$692:$C$740,2,0)</f>
        <v>24q660103038</v>
      </c>
      <c r="E40" s="109">
        <v>20</v>
      </c>
      <c r="F40" s="110">
        <v>16</v>
      </c>
      <c r="G40" s="110">
        <v>21.5</v>
      </c>
      <c r="H40" s="12">
        <v>14</v>
      </c>
      <c r="I40" s="12">
        <v>13</v>
      </c>
      <c r="J40" s="12">
        <v>16</v>
      </c>
      <c r="K40" s="12">
        <v>26</v>
      </c>
    </row>
    <row r="41" spans="1:11" ht="18.75">
      <c r="A41" s="4">
        <v>40</v>
      </c>
      <c r="B41" s="4" t="s">
        <v>3165</v>
      </c>
      <c r="C41" s="4">
        <v>2210</v>
      </c>
      <c r="D41" s="4" t="str">
        <f>=VLOOKUP(B41,[2]在校生综合信息查询!$A$692:$C$740,2,0)</f>
        <v>24q660103174</v>
      </c>
      <c r="E41" s="109">
        <v>53</v>
      </c>
      <c r="F41" s="110">
        <v>58</v>
      </c>
      <c r="G41" s="110">
        <v>30.5</v>
      </c>
      <c r="H41" s="12">
        <v>59</v>
      </c>
      <c r="I41" s="12">
        <v>53</v>
      </c>
      <c r="J41" s="12">
        <v>31</v>
      </c>
      <c r="K41" s="12">
        <v>61</v>
      </c>
    </row>
    <row r="42" spans="1:11" ht="18.75">
      <c r="A42" s="4">
        <v>41</v>
      </c>
      <c r="B42" s="4" t="s">
        <v>3167</v>
      </c>
      <c r="C42" s="4">
        <v>2209</v>
      </c>
      <c r="D42" s="4" t="str">
        <f>=VLOOKUP(B42,[2]在校生综合信息查询!$A$692:$C$740,2,0)</f>
        <v>24q660103176</v>
      </c>
      <c r="E42" s="109">
        <v>37</v>
      </c>
      <c r="F42" s="110">
        <v>40</v>
      </c>
      <c r="G42" s="110">
        <v>48</v>
      </c>
      <c r="H42" s="12">
        <v>27</v>
      </c>
      <c r="I42" s="12">
        <v>33</v>
      </c>
      <c r="J42" s="12">
        <v>24</v>
      </c>
      <c r="K42" s="12">
        <v>30</v>
      </c>
    </row>
    <row r="43" spans="1:11" ht="18.75">
      <c r="A43" s="4">
        <v>42</v>
      </c>
      <c r="B43" s="4" t="s">
        <v>3169</v>
      </c>
      <c r="C43" s="4">
        <v>2196</v>
      </c>
      <c r="D43" s="4" t="str">
        <f>=VLOOKUP(B43,[2]在校生综合信息查询!$A$692:$C$740,2,0)</f>
        <v>24q660103040</v>
      </c>
      <c r="E43" s="109">
        <v>17</v>
      </c>
      <c r="F43" s="110">
        <v>44</v>
      </c>
      <c r="G43" s="110">
        <v>16</v>
      </c>
      <c r="H43" s="12">
        <v>79</v>
      </c>
      <c r="I43" s="12">
        <v>73</v>
      </c>
      <c r="J43" s="12">
        <v>46</v>
      </c>
      <c r="K43" s="12">
        <v>54</v>
      </c>
    </row>
    <row r="44" spans="1:11" ht="18.75">
      <c r="A44" s="4">
        <v>43</v>
      </c>
      <c r="B44" s="4" t="s">
        <v>3171</v>
      </c>
      <c r="C44" s="4">
        <v>2197</v>
      </c>
      <c r="D44" s="4" t="str">
        <f>=VLOOKUP(B44,[2]在校生综合信息查询!$A$692:$C$740,2,0)</f>
        <v>24q660103041</v>
      </c>
      <c r="E44" s="109">
        <v>20</v>
      </c>
      <c r="F44" s="110">
        <v>24</v>
      </c>
      <c r="G44" s="110">
        <v>29</v>
      </c>
      <c r="H44" s="12">
        <v>8</v>
      </c>
      <c r="I44" s="12">
        <v>22</v>
      </c>
      <c r="J44" s="12">
        <v>30</v>
      </c>
      <c r="K44" s="12">
        <v>21</v>
      </c>
    </row>
    <row r="45" spans="1:11" ht="18.75">
      <c r="A45" s="4">
        <v>44</v>
      </c>
      <c r="B45" s="4" t="s">
        <v>3173</v>
      </c>
      <c r="C45" s="4">
        <v>2202</v>
      </c>
      <c r="D45" s="4" t="str">
        <f>=VLOOKUP(B45,[2]在校生综合信息查询!$A$692:$C$740,2,0)</f>
        <v>24q7101032104</v>
      </c>
      <c r="E45" s="109">
        <v>30</v>
      </c>
      <c r="F45" s="110">
        <v>16</v>
      </c>
      <c r="G45" s="110">
        <v>17.5</v>
      </c>
      <c r="H45" s="12">
        <v>23</v>
      </c>
      <c r="I45" s="12">
        <v>32</v>
      </c>
      <c r="J45" s="12">
        <v>28</v>
      </c>
      <c r="K45" s="12">
        <v>32</v>
      </c>
    </row>
    <row r="46" spans="1:11" ht="18.75">
      <c r="A46" s="4">
        <v>45</v>
      </c>
      <c r="B46" s="4" t="s">
        <v>3175</v>
      </c>
      <c r="C46" s="4">
        <v>2208</v>
      </c>
      <c r="D46" s="4" t="str">
        <f>=VLOOKUP(B46,[2]在校生综合信息查询!$A$692:$C$740,2,0)</f>
        <v>24q660103184</v>
      </c>
      <c r="E46" s="109">
        <v>10</v>
      </c>
      <c r="F46" s="110">
        <v>12</v>
      </c>
      <c r="G46" s="110">
        <v>47</v>
      </c>
      <c r="H46" s="12">
        <v>48</v>
      </c>
      <c r="I46" s="12">
        <v>56</v>
      </c>
      <c r="J46" s="12">
        <v>26</v>
      </c>
      <c r="K46" s="12">
        <v>42</v>
      </c>
    </row>
    <row r="47" spans="1:11" ht="18.75">
      <c r="A47" s="4">
        <v>46</v>
      </c>
      <c r="B47" s="4" t="s">
        <v>3177</v>
      </c>
      <c r="C47" s="4">
        <v>2198</v>
      </c>
      <c r="D47" s="4" t="str">
        <f>=VLOOKUP(B47,[2]在校生综合信息查询!$A$692:$C$740,2,0)</f>
        <v>24q660103044</v>
      </c>
      <c r="E47" s="109">
        <v>33</v>
      </c>
      <c r="F47" s="110">
        <v>12</v>
      </c>
      <c r="G47" s="110">
        <v>40</v>
      </c>
      <c r="H47" s="12">
        <v>34</v>
      </c>
      <c r="I47" s="12">
        <v>30</v>
      </c>
      <c r="J47" s="12">
        <v>32</v>
      </c>
      <c r="K47" s="12">
        <v>36</v>
      </c>
    </row>
    <row r="48" spans="1:11" ht="18.75">
      <c r="A48" s="4">
        <v>47</v>
      </c>
      <c r="B48" s="4" t="s">
        <v>3179</v>
      </c>
      <c r="C48" s="4">
        <v>2203</v>
      </c>
      <c r="D48" s="4" t="str">
        <f>=VLOOKUP(B48,[2]在校生综合信息查询!$A$692:$C$740,2,0)</f>
        <v>24q660103200</v>
      </c>
      <c r="E48" s="109">
        <v>21</v>
      </c>
      <c r="F48" s="110">
        <v>16</v>
      </c>
      <c r="G48" s="110">
        <v>24.5</v>
      </c>
      <c r="H48" s="12">
        <v>15</v>
      </c>
      <c r="I48" s="12">
        <v>24</v>
      </c>
      <c r="J48" s="12">
        <v>28</v>
      </c>
      <c r="K48" s="12">
        <v>26</v>
      </c>
    </row>
  </sheetData>
  <pageMargins left="0.75" right="0.75" top="1" bottom="1" header="0.5" footer="0.5"/>
  <pageSetup paperSize="9" orientation="portrait" verticalDpi="0"/>
</worksheet>
</file>

<file path=xl/worksheets/sheet35.xml><?xml version="1.0" encoding="utf-8"?>
<worksheet xmlns="http://schemas.openxmlformats.org/spreadsheetml/2006/main">
  <sheetPr/>
  <dimension ref="K52"/>
  <sheetViews>
    <sheetView showGridLines="1" topLeftCell="A37" workbookViewId="0"/>
  </sheetViews>
  <sheetFormatPr defaultColWidth="8.75" defaultRowHeight="13.5"/>
  <cols>
    <col min="1" max="1" width="8.75" style="123"/>
    <col min="2" max="2" width="7.75" style="123"/>
    <col min="3" max="3" width="0" style="123" hidden="1" customWidth="1"/>
    <col min="4" max="4" width="29.0703" style="123" customWidth="1"/>
    <col min="5" max="5" width="10.6719" style="123" customWidth="1"/>
    <col min="6" max="6" width="9.8125" style="123" customWidth="1"/>
    <col min="7" max="7" width="12.2617" style="123" customWidth="1"/>
    <col min="8" max="8" width="12.625" style="123" customWidth="1"/>
    <col min="9" max="9" width="16.125" style="123" customWidth="1"/>
    <col min="10" max="10" width="13.625" style="123" customWidth="1"/>
    <col min="11" max="11" width="13" style="123" customWidth="1"/>
  </cols>
  <sheetData>
    <row r="1" spans="1:13" ht="18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1587</v>
      </c>
      <c r="I1" s="4" t="s">
        <v>3086</v>
      </c>
      <c r="J1" s="4" t="s">
        <v>1585</v>
      </c>
      <c r="K1" s="4" t="s">
        <v>3087</v>
      </c>
      <c r="L1" s="5" t="s">
        <v>11</v>
      </c>
      <c r="M1" s="5" t="s">
        <v>12</v>
      </c>
    </row>
    <row r="2" spans="1:13" ht="18.75">
      <c r="A2" s="4">
        <v>1</v>
      </c>
      <c r="B2" s="4" t="s">
        <v>3181</v>
      </c>
      <c r="C2" s="4">
        <v>2115</v>
      </c>
      <c r="D2" s="4" t="str">
        <f>=VLOOKUP(B2,[2]在校生综合信息查询!$A$741:$C$791,2,0)</f>
        <v>24q660103071</v>
      </c>
      <c r="E2" s="12">
        <v>20</v>
      </c>
      <c r="F2" s="12">
        <v>20</v>
      </c>
      <c r="G2" s="12">
        <v>17</v>
      </c>
      <c r="H2" s="12">
        <v>34</v>
      </c>
      <c r="I2" s="12">
        <v>28</v>
      </c>
      <c r="J2" s="12">
        <v>24</v>
      </c>
      <c r="K2" s="12">
        <v>28</v>
      </c>
      <c r="L2" s="18" t="s"/>
      <c r="M2" s="18" t="s"/>
    </row>
    <row r="3" spans="1:13" ht="18.75">
      <c r="A3" s="4">
        <v>2</v>
      </c>
      <c r="B3" s="4" t="s">
        <v>3183</v>
      </c>
      <c r="C3" s="4">
        <v>2163</v>
      </c>
      <c r="D3" s="4" t="e">
        <f>=VLOOKUP(B3,[2]在校生综合信息查询!$A$741:$C$791,2,0)</f>
        <v>#N/A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8" t="s"/>
      <c r="M3" s="18" t="s"/>
    </row>
    <row r="4" spans="1:13" ht="18.75">
      <c r="A4" s="4">
        <v>3</v>
      </c>
      <c r="B4" s="4" t="s">
        <v>3184</v>
      </c>
      <c r="C4" s="4">
        <v>2165</v>
      </c>
      <c r="D4" s="4" t="str">
        <f>=VLOOKUP(B4,[2]在校生综合信息查询!$A$741:$C$791,2,0)</f>
        <v>24q660103146</v>
      </c>
      <c r="E4" s="12">
        <v>15</v>
      </c>
      <c r="F4" s="12">
        <v>20</v>
      </c>
      <c r="G4" s="12">
        <v>17</v>
      </c>
      <c r="H4" s="12">
        <v>37</v>
      </c>
      <c r="I4" s="12">
        <v>22</v>
      </c>
      <c r="J4" s="12">
        <v>18</v>
      </c>
      <c r="K4" s="12">
        <v>28</v>
      </c>
      <c r="L4" s="18" t="s"/>
      <c r="M4" s="18" t="s"/>
    </row>
    <row r="5" spans="1:13" ht="18.75">
      <c r="A5" s="4">
        <v>4</v>
      </c>
      <c r="B5" s="4" t="s">
        <v>3186</v>
      </c>
      <c r="C5" s="4">
        <v>2162</v>
      </c>
      <c r="D5" s="4" t="str">
        <f>=VLOOKUP(B5,[2]在校生综合信息查询!$A$741:$C$791,2,0)</f>
        <v>24q660103147</v>
      </c>
      <c r="E5" s="12">
        <v>21</v>
      </c>
      <c r="F5" s="12">
        <v>12</v>
      </c>
      <c r="G5" s="12">
        <v>28.5</v>
      </c>
      <c r="H5" s="12">
        <v>12</v>
      </c>
      <c r="I5" s="12">
        <v>20</v>
      </c>
      <c r="J5" s="12">
        <v>28</v>
      </c>
      <c r="K5" s="12">
        <v>20</v>
      </c>
      <c r="L5" s="18" t="s"/>
      <c r="M5" s="18" t="s"/>
    </row>
    <row r="6" spans="1:13" ht="18.75">
      <c r="A6" s="4">
        <v>5</v>
      </c>
      <c r="B6" s="4" t="s">
        <v>3188</v>
      </c>
      <c r="C6" s="4">
        <v>2151</v>
      </c>
      <c r="D6" s="4" t="str">
        <f>=VLOOKUP(B6,[2]在校生综合信息查询!$A$741:$C$791,2,0)</f>
        <v>24q770303008</v>
      </c>
      <c r="E6" s="12">
        <v>17</v>
      </c>
      <c r="F6" s="12">
        <v>32</v>
      </c>
      <c r="G6" s="12">
        <v>20</v>
      </c>
      <c r="H6" s="12">
        <v>28</v>
      </c>
      <c r="I6" s="12">
        <v>16</v>
      </c>
      <c r="J6" s="12">
        <v>22</v>
      </c>
      <c r="K6" s="12">
        <v>18</v>
      </c>
      <c r="L6" s="18" t="s"/>
      <c r="M6" s="18" t="s"/>
    </row>
    <row r="7" spans="1:13" ht="18.75">
      <c r="A7" s="4">
        <v>6</v>
      </c>
      <c r="B7" s="4" t="s">
        <v>3190</v>
      </c>
      <c r="C7" s="4">
        <v>2116</v>
      </c>
      <c r="D7" s="4" t="str">
        <f>=VLOOKUP(B7,[2]在校生综合信息查询!$A$741:$C$791,2,0)</f>
        <v>24q660103073</v>
      </c>
      <c r="E7" s="12">
        <v>11</v>
      </c>
      <c r="F7" s="12">
        <v>12</v>
      </c>
      <c r="G7" s="12">
        <v>14</v>
      </c>
      <c r="H7" s="12">
        <v>24</v>
      </c>
      <c r="I7" s="12">
        <v>16</v>
      </c>
      <c r="J7" s="12">
        <v>24</v>
      </c>
      <c r="K7" s="12">
        <v>18</v>
      </c>
      <c r="L7" s="18" t="s"/>
      <c r="M7" s="18" t="s"/>
    </row>
    <row r="8" spans="1:13" ht="18.75">
      <c r="A8" s="4">
        <v>7</v>
      </c>
      <c r="B8" s="4" t="s">
        <v>3192</v>
      </c>
      <c r="C8" s="4">
        <v>2157</v>
      </c>
      <c r="D8" s="4" t="str">
        <f>=VLOOKUP(B8,[2]在校生综合信息查询!$A$741:$C$791,2,0)</f>
        <v>24q660103152</v>
      </c>
      <c r="E8" s="12">
        <v>15</v>
      </c>
      <c r="F8" s="12">
        <v>16</v>
      </c>
      <c r="G8" s="12">
        <v>21</v>
      </c>
      <c r="H8" s="12">
        <v>33</v>
      </c>
      <c r="I8" s="12">
        <v>22</v>
      </c>
      <c r="J8" s="12">
        <v>18</v>
      </c>
      <c r="K8" s="12">
        <v>30</v>
      </c>
      <c r="L8" s="18" t="s"/>
      <c r="M8" s="18" t="s"/>
    </row>
    <row r="9" spans="1:13" ht="18.75">
      <c r="A9" s="4">
        <v>8</v>
      </c>
      <c r="B9" s="4" t="s">
        <v>3194</v>
      </c>
      <c r="C9" s="4">
        <v>2152</v>
      </c>
      <c r="D9" s="4" t="str">
        <f>=VLOOKUP(B9,[2]在校生综合信息查询!$A$741:$C$791,2,0)</f>
        <v>24q7101032867</v>
      </c>
      <c r="E9" s="12">
        <v>17</v>
      </c>
      <c r="F9" s="12">
        <v>20</v>
      </c>
      <c r="G9" s="12">
        <v>29.5</v>
      </c>
      <c r="H9" s="12">
        <v>25</v>
      </c>
      <c r="I9" s="12">
        <v>28</v>
      </c>
      <c r="J9" s="12">
        <v>14</v>
      </c>
      <c r="K9" s="12">
        <v>24</v>
      </c>
      <c r="L9" s="18" t="s"/>
      <c r="M9" s="18" t="s"/>
    </row>
    <row r="10" spans="1:13" ht="18.75">
      <c r="A10" s="4">
        <v>9</v>
      </c>
      <c r="B10" s="4" t="s">
        <v>1045</v>
      </c>
      <c r="C10" s="4">
        <v>2149</v>
      </c>
      <c r="D10" s="4" t="str">
        <f>=VLOOKUP(B10,[2]在校生综合信息查询!$A$741:$C$791,2,0)</f>
        <v>24q6601030012</v>
      </c>
      <c r="E10" s="12">
        <v>22</v>
      </c>
      <c r="F10" s="12">
        <v>16</v>
      </c>
      <c r="G10" s="12" t="s">
        <v>3197</v>
      </c>
      <c r="H10" s="12">
        <v>11</v>
      </c>
      <c r="I10" s="12">
        <v>30</v>
      </c>
      <c r="J10" s="12">
        <v>18</v>
      </c>
      <c r="K10" s="12">
        <v>18</v>
      </c>
      <c r="L10" s="18" t="s"/>
      <c r="M10" s="18" t="s"/>
    </row>
    <row r="11" spans="1:13" ht="18.75">
      <c r="A11" s="4">
        <v>10</v>
      </c>
      <c r="B11" s="4" t="s">
        <v>3198</v>
      </c>
      <c r="C11" s="4">
        <v>2159</v>
      </c>
      <c r="D11" s="4" t="str">
        <f>=VLOOKUP(B11,[2]在校生综合信息查询!$A$741:$C$791,2,0)</f>
        <v>24q660103162</v>
      </c>
      <c r="E11" s="12">
        <v>24</v>
      </c>
      <c r="F11" s="12">
        <v>12</v>
      </c>
      <c r="G11" s="12">
        <v>17</v>
      </c>
      <c r="H11" s="12">
        <v>27</v>
      </c>
      <c r="I11" s="12">
        <v>18</v>
      </c>
      <c r="J11" s="12">
        <v>14</v>
      </c>
      <c r="K11" s="12">
        <v>22</v>
      </c>
      <c r="L11" s="18" t="s"/>
      <c r="M11" s="18" t="s"/>
    </row>
    <row r="12" spans="1:13" ht="18.75">
      <c r="A12" s="4">
        <v>11</v>
      </c>
      <c r="B12" s="4" t="s">
        <v>3200</v>
      </c>
      <c r="C12" s="4">
        <v>2154</v>
      </c>
      <c r="D12" s="4" t="str">
        <f>=VLOOKUP(B12,[2]在校生综合信息查询!$A$741:$C$791,2,0)</f>
        <v>24q660103164</v>
      </c>
      <c r="E12" s="12">
        <v>12</v>
      </c>
      <c r="F12" s="12">
        <v>16</v>
      </c>
      <c r="G12" s="12">
        <v>22</v>
      </c>
      <c r="H12" s="12">
        <v>32</v>
      </c>
      <c r="I12" s="12">
        <v>16</v>
      </c>
      <c r="J12" s="12">
        <v>22</v>
      </c>
      <c r="K12" s="12">
        <v>34</v>
      </c>
      <c r="L12" s="18" t="s"/>
      <c r="M12" s="18" t="s"/>
    </row>
    <row r="13" spans="1:13" ht="18.75">
      <c r="A13" s="4">
        <v>12</v>
      </c>
      <c r="B13" s="4" t="s">
        <v>3202</v>
      </c>
      <c r="C13" s="4">
        <v>2161</v>
      </c>
      <c r="D13" s="4" t="str">
        <f>=VLOOKUP(B13,[2]在校生综合信息查询!$A$741:$C$791,2,0)</f>
        <v>24q660103166</v>
      </c>
      <c r="E13" s="12">
        <v>25</v>
      </c>
      <c r="F13" s="12">
        <v>16</v>
      </c>
      <c r="G13" s="12">
        <v>28.5</v>
      </c>
      <c r="H13" s="12">
        <v>41</v>
      </c>
      <c r="I13" s="12">
        <v>22</v>
      </c>
      <c r="J13" s="12">
        <v>22</v>
      </c>
      <c r="K13" s="12">
        <v>20</v>
      </c>
      <c r="L13" s="18" t="s"/>
      <c r="M13" s="18" t="s"/>
    </row>
    <row r="14" spans="1:13" ht="18.75">
      <c r="A14" s="4">
        <v>13</v>
      </c>
      <c r="B14" s="4" t="s">
        <v>3204</v>
      </c>
      <c r="C14" s="4">
        <v>2155</v>
      </c>
      <c r="D14" s="4" t="str">
        <f>=VLOOKUP(B14,[2]在校生综合信息查询!$A$741:$C$791,2,0)</f>
        <v>24q660103170</v>
      </c>
      <c r="E14" s="12">
        <v>22</v>
      </c>
      <c r="F14" s="12">
        <v>28</v>
      </c>
      <c r="G14" s="12">
        <v>20.5</v>
      </c>
      <c r="H14" s="12">
        <v>18</v>
      </c>
      <c r="I14" s="12">
        <v>14</v>
      </c>
      <c r="J14" s="12">
        <v>16</v>
      </c>
      <c r="K14" s="12">
        <v>18</v>
      </c>
      <c r="L14" s="18" t="s"/>
      <c r="M14" s="18" t="s"/>
    </row>
    <row r="15" spans="1:13" ht="18.75">
      <c r="A15" s="4">
        <v>14</v>
      </c>
      <c r="B15" s="4" t="s">
        <v>3206</v>
      </c>
      <c r="C15" s="4">
        <v>2150</v>
      </c>
      <c r="D15" s="4" t="str">
        <f>=VLOOKUP(B15,[2]在校生综合信息查询!$A$741:$C$791,2,0)</f>
        <v>24q770303022</v>
      </c>
      <c r="E15" s="12">
        <v>11</v>
      </c>
      <c r="F15" s="12">
        <v>16</v>
      </c>
      <c r="G15" s="12">
        <v>16.5</v>
      </c>
      <c r="H15" s="12">
        <v>20</v>
      </c>
      <c r="I15" s="12">
        <v>24</v>
      </c>
      <c r="J15" s="12">
        <v>16</v>
      </c>
      <c r="K15" s="12">
        <v>18</v>
      </c>
      <c r="L15" s="18" t="s"/>
      <c r="M15" s="18" t="s"/>
    </row>
    <row r="16" spans="1:13" ht="18.75">
      <c r="A16" s="4">
        <v>15</v>
      </c>
      <c r="B16" s="4" t="s">
        <v>3208</v>
      </c>
      <c r="C16" s="4">
        <v>2117</v>
      </c>
      <c r="D16" s="4" t="str">
        <f>=VLOOKUP(B16,[2]在校生综合信息查询!$A$741:$C$791,2,0)</f>
        <v>24q660103076</v>
      </c>
      <c r="E16" s="12">
        <v>28</v>
      </c>
      <c r="F16" s="12">
        <v>24</v>
      </c>
      <c r="G16" s="12">
        <v>14.5</v>
      </c>
      <c r="H16" s="12">
        <v>18</v>
      </c>
      <c r="I16" s="12">
        <v>31</v>
      </c>
      <c r="J16" s="12">
        <v>22</v>
      </c>
      <c r="K16" s="12">
        <v>32</v>
      </c>
      <c r="L16" s="18" t="s"/>
      <c r="M16" s="18" t="s"/>
    </row>
    <row r="17" spans="1:13" ht="18.75">
      <c r="A17" s="4">
        <v>16</v>
      </c>
      <c r="B17" s="4" t="s">
        <v>3210</v>
      </c>
      <c r="C17" s="4">
        <v>2118</v>
      </c>
      <c r="D17" s="4" t="str">
        <f>=VLOOKUP(B17,[2]在校生综合信息查询!$A$741:$C$791,2,0)</f>
        <v>24q660103078</v>
      </c>
      <c r="E17" s="12">
        <v>20</v>
      </c>
      <c r="F17" s="12">
        <v>8</v>
      </c>
      <c r="G17" s="12">
        <v>19.5</v>
      </c>
      <c r="H17" s="12">
        <v>55</v>
      </c>
      <c r="I17" s="12">
        <v>32</v>
      </c>
      <c r="J17" s="12">
        <v>32</v>
      </c>
      <c r="K17" s="12">
        <v>0</v>
      </c>
      <c r="L17" s="18" t="s"/>
      <c r="M17" s="18" t="s"/>
    </row>
    <row r="18" spans="1:13" ht="18.75">
      <c r="A18" s="4">
        <v>17</v>
      </c>
      <c r="B18" s="4" t="s">
        <v>3212</v>
      </c>
      <c r="C18" s="4">
        <v>2164</v>
      </c>
      <c r="D18" s="4" t="str">
        <f>=VLOOKUP(B18,[2]在校生综合信息查询!$A$741:$C$791,2,0)</f>
        <v>24q660103180</v>
      </c>
      <c r="E18" s="12">
        <v>30</v>
      </c>
      <c r="F18" s="12">
        <v>12</v>
      </c>
      <c r="G18" s="12">
        <v>14.5</v>
      </c>
      <c r="H18" s="12">
        <v>50</v>
      </c>
      <c r="I18" s="12">
        <v>28</v>
      </c>
      <c r="J18" s="12">
        <v>30</v>
      </c>
      <c r="K18" s="12">
        <v>20</v>
      </c>
      <c r="L18" s="18" t="s"/>
      <c r="M18" s="18" t="s"/>
    </row>
    <row r="19" spans="1:13" ht="18.75">
      <c r="A19" s="4">
        <v>18</v>
      </c>
      <c r="B19" s="4" t="s">
        <v>3214</v>
      </c>
      <c r="C19" s="4">
        <v>2119</v>
      </c>
      <c r="D19" s="4" t="str">
        <f>=VLOOKUP(B19,[2]在校生综合信息查询!$A$741:$C$791,2,0)</f>
        <v>24q660103079</v>
      </c>
      <c r="E19" s="12">
        <v>15</v>
      </c>
      <c r="F19" s="12">
        <v>20</v>
      </c>
      <c r="G19" s="12">
        <v>30</v>
      </c>
      <c r="H19" s="12">
        <v>23</v>
      </c>
      <c r="I19" s="12">
        <v>18</v>
      </c>
      <c r="J19" s="12">
        <v>22</v>
      </c>
      <c r="K19" s="12">
        <v>14</v>
      </c>
      <c r="L19" s="18" t="s"/>
      <c r="M19" s="18" t="s"/>
    </row>
    <row r="20" spans="1:13" ht="18.75">
      <c r="A20" s="4">
        <v>19</v>
      </c>
      <c r="B20" s="4" t="s">
        <v>3216</v>
      </c>
      <c r="C20" s="4">
        <v>2156</v>
      </c>
      <c r="D20" s="4" t="str">
        <f>=VLOOKUP(B20,[2]在校生综合信息查询!$A$741:$C$791,2,0)</f>
        <v>24q660103181</v>
      </c>
      <c r="E20" s="12">
        <v>23</v>
      </c>
      <c r="F20" s="12">
        <v>20</v>
      </c>
      <c r="G20" s="12">
        <v>19</v>
      </c>
      <c r="H20" s="12">
        <v>25</v>
      </c>
      <c r="I20" s="12">
        <v>10</v>
      </c>
      <c r="J20" s="12">
        <v>20</v>
      </c>
      <c r="K20" s="12">
        <v>18</v>
      </c>
      <c r="L20" s="18" t="s"/>
      <c r="M20" s="18" t="s"/>
    </row>
    <row r="21" spans="1:13" ht="18.75">
      <c r="A21" s="4">
        <v>20</v>
      </c>
      <c r="B21" s="4" t="s">
        <v>3218</v>
      </c>
      <c r="C21" s="4">
        <v>2160</v>
      </c>
      <c r="D21" s="4" t="str">
        <f>=VLOOKUP(B21,[2]在校生综合信息查询!$A$741:$C$791,2,0)</f>
        <v>24q660103182</v>
      </c>
      <c r="E21" s="12">
        <v>12</v>
      </c>
      <c r="F21" s="12">
        <v>12</v>
      </c>
      <c r="G21" s="12">
        <v>19.5</v>
      </c>
      <c r="H21" s="12">
        <v>21</v>
      </c>
      <c r="I21" s="12">
        <v>14</v>
      </c>
      <c r="J21" s="12">
        <v>18</v>
      </c>
      <c r="K21" s="12">
        <v>30</v>
      </c>
      <c r="L21" s="18" t="s"/>
      <c r="M21" s="18" t="s"/>
    </row>
    <row r="22" spans="1:13" ht="18.75">
      <c r="A22" s="4">
        <v>21</v>
      </c>
      <c r="B22" s="4" t="s">
        <v>3220</v>
      </c>
      <c r="C22" s="4">
        <v>2120</v>
      </c>
      <c r="D22" s="4" t="str">
        <f>=VLOOKUP(B22,[2]在校生综合信息查询!$A$741:$C$791,2,0)</f>
        <v>24q660103080</v>
      </c>
      <c r="E22" s="12">
        <v>38</v>
      </c>
      <c r="F22" s="12">
        <v>12</v>
      </c>
      <c r="G22" s="12">
        <v>13.5</v>
      </c>
      <c r="H22" s="12">
        <v>18</v>
      </c>
      <c r="I22" s="12">
        <v>30</v>
      </c>
      <c r="J22" s="12">
        <v>14</v>
      </c>
      <c r="K22" s="12">
        <v>32</v>
      </c>
      <c r="L22" s="18" t="s"/>
      <c r="M22" s="18" t="s"/>
    </row>
    <row r="23" spans="1:13" ht="18.75">
      <c r="A23" s="4">
        <v>22</v>
      </c>
      <c r="B23" s="4" t="s">
        <v>3222</v>
      </c>
      <c r="C23" s="4">
        <v>2121</v>
      </c>
      <c r="D23" s="4" t="str">
        <f>=VLOOKUP(B23,[2]在校生综合信息查询!$A$741:$C$791,2,0)</f>
        <v>24q660103081</v>
      </c>
      <c r="E23" s="12">
        <v>29</v>
      </c>
      <c r="F23" s="12">
        <v>16</v>
      </c>
      <c r="G23" s="12">
        <v>18</v>
      </c>
      <c r="H23" s="12">
        <v>32</v>
      </c>
      <c r="I23" s="12">
        <v>21</v>
      </c>
      <c r="J23" s="12">
        <v>14</v>
      </c>
      <c r="K23" s="12">
        <v>22</v>
      </c>
      <c r="L23" s="18" t="s"/>
      <c r="M23" s="18" t="s"/>
    </row>
    <row r="24" spans="1:13" ht="18.75">
      <c r="A24" s="4">
        <v>23</v>
      </c>
      <c r="B24" s="4" t="s">
        <v>3224</v>
      </c>
      <c r="C24" s="4">
        <v>2122</v>
      </c>
      <c r="D24" s="4" t="str">
        <f>=VLOOKUP(B24,[2]在校生综合信息查询!$A$741:$C$791,2,0)</f>
        <v>24q660103082</v>
      </c>
      <c r="E24" s="12">
        <v>40</v>
      </c>
      <c r="F24" s="12">
        <v>12</v>
      </c>
      <c r="G24" s="12">
        <v>19</v>
      </c>
      <c r="H24" s="12">
        <v>21</v>
      </c>
      <c r="I24" s="12">
        <v>20</v>
      </c>
      <c r="J24" s="12">
        <v>18</v>
      </c>
      <c r="K24" s="12">
        <v>20</v>
      </c>
      <c r="L24" s="18" t="s"/>
      <c r="M24" s="18" t="s"/>
    </row>
    <row r="25" spans="1:13" ht="18.75">
      <c r="A25" s="4">
        <v>24</v>
      </c>
      <c r="B25" s="4" t="s">
        <v>3226</v>
      </c>
      <c r="C25" s="4">
        <v>2123</v>
      </c>
      <c r="D25" s="4" t="str">
        <f>=VLOOKUP(B25,[2]在校生综合信息查询!$A$741:$C$791,2,0)</f>
        <v>24q660103083</v>
      </c>
      <c r="E25" s="12">
        <v>12</v>
      </c>
      <c r="F25" s="12">
        <v>16</v>
      </c>
      <c r="G25" s="12">
        <v>21</v>
      </c>
      <c r="H25" s="12">
        <v>21</v>
      </c>
      <c r="I25" s="12">
        <v>26</v>
      </c>
      <c r="J25" s="12">
        <v>14</v>
      </c>
      <c r="K25" s="12">
        <v>30</v>
      </c>
      <c r="L25" s="18" t="s"/>
      <c r="M25" s="18" t="s"/>
    </row>
    <row r="26" spans="1:13" ht="18.75">
      <c r="A26" s="4">
        <v>25</v>
      </c>
      <c r="B26" s="4" t="s">
        <v>3228</v>
      </c>
      <c r="C26" s="4">
        <v>2124</v>
      </c>
      <c r="D26" s="4" t="str">
        <f>=VLOOKUP(B26,[2]在校生综合信息查询!$A$741:$C$791,2,0)</f>
        <v>24q660103084</v>
      </c>
      <c r="E26" s="12">
        <v>25</v>
      </c>
      <c r="F26" s="12">
        <v>4</v>
      </c>
      <c r="G26" s="12">
        <v>19.5</v>
      </c>
      <c r="H26" s="12">
        <v>16</v>
      </c>
      <c r="I26" s="12">
        <v>20</v>
      </c>
      <c r="J26" s="12">
        <v>20</v>
      </c>
      <c r="K26" s="12">
        <v>30</v>
      </c>
      <c r="L26" s="18" t="s"/>
      <c r="M26" s="18" t="s"/>
    </row>
    <row r="27" spans="1:13" ht="18.75">
      <c r="A27" s="4">
        <v>26</v>
      </c>
      <c r="B27" s="4" t="s">
        <v>3230</v>
      </c>
      <c r="C27" s="4">
        <v>2125</v>
      </c>
      <c r="D27" s="4" t="str">
        <f>=VLOOKUP(B27,[2]在校生综合信息查询!$A$741:$C$791,2,0)</f>
        <v>24q660103085</v>
      </c>
      <c r="E27" s="12">
        <v>15</v>
      </c>
      <c r="F27" s="12">
        <v>24</v>
      </c>
      <c r="G27" s="12">
        <v>21</v>
      </c>
      <c r="H27" s="12">
        <v>19</v>
      </c>
      <c r="I27" s="12">
        <v>26</v>
      </c>
      <c r="J27" s="12">
        <v>8</v>
      </c>
      <c r="K27" s="12">
        <v>22</v>
      </c>
      <c r="L27" s="18" t="s"/>
      <c r="M27" s="18" t="s"/>
    </row>
    <row r="28" spans="1:13" ht="18.75">
      <c r="A28" s="4">
        <v>27</v>
      </c>
      <c r="B28" s="4" t="s">
        <v>3232</v>
      </c>
      <c r="C28" s="4">
        <v>2126</v>
      </c>
      <c r="D28" s="4" t="str">
        <f>=VLOOKUP(B28,[2]在校生综合信息查询!$A$741:$C$791,2,0)</f>
        <v>24q660103086</v>
      </c>
      <c r="E28" s="12">
        <v>31</v>
      </c>
      <c r="F28" s="12">
        <v>4</v>
      </c>
      <c r="G28" s="12">
        <v>11.5</v>
      </c>
      <c r="H28" s="12">
        <v>27</v>
      </c>
      <c r="I28" s="12">
        <v>24</v>
      </c>
      <c r="J28" s="12">
        <v>26</v>
      </c>
      <c r="K28" s="12">
        <v>18</v>
      </c>
      <c r="L28" s="18" t="s"/>
      <c r="M28" s="18" t="s"/>
    </row>
    <row r="29" spans="1:13" ht="18.75">
      <c r="A29" s="4">
        <v>28</v>
      </c>
      <c r="B29" s="4" t="s">
        <v>3234</v>
      </c>
      <c r="C29" s="4">
        <v>2127</v>
      </c>
      <c r="D29" s="4" t="str">
        <f>=VLOOKUP(B29,[2]在校生综合信息查询!$A$741:$C$791,2,0)</f>
        <v>24q660103087</v>
      </c>
      <c r="E29" s="12">
        <v>16</v>
      </c>
      <c r="F29" s="12">
        <v>16</v>
      </c>
      <c r="G29" s="12">
        <v>26</v>
      </c>
      <c r="H29" s="12">
        <v>39</v>
      </c>
      <c r="I29" s="12">
        <v>30</v>
      </c>
      <c r="J29" s="12">
        <v>14</v>
      </c>
      <c r="K29" s="12">
        <v>40</v>
      </c>
      <c r="L29" s="18" t="s"/>
      <c r="M29" s="18" t="s"/>
    </row>
    <row r="30" spans="1:13" ht="18.75">
      <c r="A30" s="4">
        <v>29</v>
      </c>
      <c r="B30" s="4" t="s">
        <v>3236</v>
      </c>
      <c r="C30" s="4">
        <v>2128</v>
      </c>
      <c r="D30" s="4" t="str">
        <f>=VLOOKUP(B30,[2]在校生综合信息查询!$A$741:$C$791,2,0)</f>
        <v>24q660103088</v>
      </c>
      <c r="E30" s="12">
        <v>15</v>
      </c>
      <c r="F30" s="12">
        <v>8</v>
      </c>
      <c r="G30" s="12">
        <v>29</v>
      </c>
      <c r="H30" s="12">
        <v>39</v>
      </c>
      <c r="I30" s="12">
        <v>36</v>
      </c>
      <c r="J30" s="12">
        <v>22</v>
      </c>
      <c r="K30" s="12">
        <v>22</v>
      </c>
      <c r="L30" s="18" t="s"/>
      <c r="M30" s="18" t="s"/>
    </row>
    <row r="31" spans="1:13" ht="18.75">
      <c r="A31" s="4">
        <v>30</v>
      </c>
      <c r="B31" s="4" t="s">
        <v>3238</v>
      </c>
      <c r="C31" s="4">
        <v>2129</v>
      </c>
      <c r="D31" s="4" t="str">
        <f>=VLOOKUP(B31,[2]在校生综合信息查询!$A$741:$C$791,2,0)</f>
        <v>24q660103089</v>
      </c>
      <c r="E31" s="12">
        <v>12</v>
      </c>
      <c r="F31" s="12">
        <v>12</v>
      </c>
      <c r="G31" s="12">
        <v>17</v>
      </c>
      <c r="H31" s="12">
        <v>43</v>
      </c>
      <c r="I31" s="12">
        <v>16</v>
      </c>
      <c r="J31" s="12">
        <v>16</v>
      </c>
      <c r="K31" s="12">
        <v>36</v>
      </c>
      <c r="L31" s="18" t="s"/>
      <c r="M31" s="18" t="s"/>
    </row>
    <row r="32" spans="1:13" ht="18.75">
      <c r="A32" s="4">
        <v>31</v>
      </c>
      <c r="B32" s="4" t="s">
        <v>3240</v>
      </c>
      <c r="C32" s="4">
        <v>2130</v>
      </c>
      <c r="D32" s="4" t="str">
        <f>=VLOOKUP(B32,[2]在校生综合信息查询!$A$741:$C$791,2,0)</f>
        <v>24q660103090</v>
      </c>
      <c r="E32" s="12">
        <v>17</v>
      </c>
      <c r="F32" s="12">
        <v>12</v>
      </c>
      <c r="G32" s="12">
        <v>44</v>
      </c>
      <c r="H32" s="12">
        <v>38</v>
      </c>
      <c r="I32" s="12">
        <v>20</v>
      </c>
      <c r="J32" s="12">
        <v>15</v>
      </c>
      <c r="K32" s="12">
        <v>36</v>
      </c>
      <c r="L32" s="18" t="s"/>
      <c r="M32" s="18" t="s"/>
    </row>
    <row r="33" spans="1:13" ht="18.75">
      <c r="A33" s="4">
        <v>32</v>
      </c>
      <c r="B33" s="4" t="s">
        <v>3242</v>
      </c>
      <c r="C33" s="4">
        <v>2131</v>
      </c>
      <c r="D33" s="4" t="str">
        <f>=VLOOKUP(B33,[2]在校生综合信息查询!$A$741:$C$791,2,0)</f>
        <v>24q660103091</v>
      </c>
      <c r="E33" s="12">
        <v>22</v>
      </c>
      <c r="F33" s="12">
        <v>24</v>
      </c>
      <c r="G33" s="12">
        <v>21</v>
      </c>
      <c r="H33" s="12">
        <v>18</v>
      </c>
      <c r="I33" s="12">
        <v>14</v>
      </c>
      <c r="J33" s="12">
        <v>20</v>
      </c>
      <c r="K33" s="12">
        <v>12</v>
      </c>
      <c r="L33" s="18" t="s"/>
      <c r="M33" s="18" t="s"/>
    </row>
    <row r="34" spans="1:11" ht="18.75">
      <c r="A34" s="4">
        <v>33</v>
      </c>
      <c r="B34" s="4" t="s">
        <v>3244</v>
      </c>
      <c r="C34" s="4">
        <v>2132</v>
      </c>
      <c r="D34" s="4" t="str">
        <f>=VLOOKUP(B34,[2]在校生综合信息查询!$A$741:$C$791,2,0)</f>
        <v>24q660103092</v>
      </c>
      <c r="E34" s="12">
        <v>31</v>
      </c>
      <c r="F34" s="12">
        <v>12</v>
      </c>
      <c r="G34" s="12">
        <v>21.5</v>
      </c>
      <c r="H34" s="12">
        <v>39</v>
      </c>
      <c r="I34" s="12">
        <v>29</v>
      </c>
      <c r="J34" s="12">
        <v>30</v>
      </c>
      <c r="K34" s="12">
        <v>28</v>
      </c>
    </row>
    <row r="35" spans="1:11" ht="18.75">
      <c r="A35" s="4">
        <v>34</v>
      </c>
      <c r="B35" s="4" t="s">
        <v>3246</v>
      </c>
      <c r="C35" s="4">
        <v>2133</v>
      </c>
      <c r="D35" s="4" t="str">
        <f>=VLOOKUP(B35,[2]在校生综合信息查询!$A$741:$C$791,2,0)</f>
        <v>24q660103093</v>
      </c>
      <c r="E35" s="12">
        <v>24</v>
      </c>
      <c r="F35" s="12">
        <v>20</v>
      </c>
      <c r="G35" s="12">
        <v>20</v>
      </c>
      <c r="H35" s="12">
        <v>52</v>
      </c>
      <c r="I35" s="12">
        <v>57</v>
      </c>
      <c r="J35" s="12">
        <v>28</v>
      </c>
      <c r="K35" s="12">
        <v>32</v>
      </c>
    </row>
    <row r="36" spans="1:11" ht="18.75">
      <c r="A36" s="4">
        <v>35</v>
      </c>
      <c r="B36" s="4" t="s">
        <v>3248</v>
      </c>
      <c r="C36" s="4">
        <v>2134</v>
      </c>
      <c r="D36" s="4" t="str">
        <f>=VLOOKUP(B36,[2]在校生综合信息查询!$A$741:$C$791,2,0)</f>
        <v>24q660103094</v>
      </c>
      <c r="E36" s="12">
        <v>30</v>
      </c>
      <c r="F36" s="12">
        <v>24</v>
      </c>
      <c r="G36" s="12">
        <v>22.5</v>
      </c>
      <c r="H36" s="12">
        <v>28</v>
      </c>
      <c r="I36" s="12">
        <v>22</v>
      </c>
      <c r="J36" s="12">
        <v>26</v>
      </c>
      <c r="K36" s="12">
        <v>26</v>
      </c>
    </row>
    <row r="37" spans="1:11" ht="18.75">
      <c r="A37" s="4">
        <v>36</v>
      </c>
      <c r="B37" s="4" t="s">
        <v>3250</v>
      </c>
      <c r="C37" s="4">
        <v>2135</v>
      </c>
      <c r="D37" s="4" t="str">
        <f>=VLOOKUP(B37,[2]在校生综合信息查询!$A$741:$C$791,2,0)</f>
        <v>24q660103095</v>
      </c>
      <c r="E37" s="12">
        <v>17</v>
      </c>
      <c r="F37" s="12">
        <v>20</v>
      </c>
      <c r="G37" s="12">
        <v>19</v>
      </c>
      <c r="H37" s="12">
        <v>42</v>
      </c>
      <c r="I37" s="12">
        <v>30</v>
      </c>
      <c r="J37" s="12">
        <v>14</v>
      </c>
      <c r="K37" s="12">
        <v>12</v>
      </c>
    </row>
    <row r="38" spans="1:11" ht="18.75">
      <c r="A38" s="4">
        <v>37</v>
      </c>
      <c r="B38" s="4" t="s">
        <v>3252</v>
      </c>
      <c r="C38" s="4">
        <v>2136</v>
      </c>
      <c r="D38" s="4" t="str">
        <f>=VLOOKUP(B38,[2]在校生综合信息查询!$A$741:$C$791,2,0)</f>
        <v>24q660103096</v>
      </c>
      <c r="E38" s="12">
        <v>27</v>
      </c>
      <c r="F38" s="12">
        <v>20</v>
      </c>
      <c r="G38" s="12">
        <v>21</v>
      </c>
      <c r="H38" s="12">
        <v>32</v>
      </c>
      <c r="I38" s="12">
        <v>26</v>
      </c>
      <c r="J38" s="12">
        <v>24</v>
      </c>
      <c r="K38" s="12">
        <v>38</v>
      </c>
    </row>
    <row r="39" spans="1:11" ht="18.75">
      <c r="A39" s="4">
        <v>38</v>
      </c>
      <c r="B39" s="4" t="s">
        <v>3254</v>
      </c>
      <c r="C39" s="4">
        <v>2137</v>
      </c>
      <c r="D39" s="4" t="str">
        <f>=VLOOKUP(B39,[2]在校生综合信息查询!$A$741:$C$791,2,0)</f>
        <v>24q660103098</v>
      </c>
      <c r="E39" s="12">
        <v>34</v>
      </c>
      <c r="F39" s="12">
        <v>32</v>
      </c>
      <c r="G39" s="12">
        <v>36.5</v>
      </c>
      <c r="H39" s="12">
        <v>42</v>
      </c>
      <c r="I39" s="12">
        <v>38</v>
      </c>
      <c r="J39" s="12">
        <v>30</v>
      </c>
      <c r="K39" s="12">
        <v>22</v>
      </c>
    </row>
    <row r="40" spans="1:11" ht="18.75">
      <c r="A40" s="4">
        <v>39</v>
      </c>
      <c r="B40" s="4" t="s">
        <v>3256</v>
      </c>
      <c r="C40" s="4">
        <v>2138</v>
      </c>
      <c r="D40" s="4" t="str">
        <f>=VLOOKUP(B40,[2]在校生综合信息查询!$A$741:$C$791,2,0)</f>
        <v>24q660103099</v>
      </c>
      <c r="E40" s="12">
        <v>29</v>
      </c>
      <c r="F40" s="12">
        <v>24</v>
      </c>
      <c r="G40" s="12">
        <v>18.5</v>
      </c>
      <c r="H40" s="12">
        <v>21</v>
      </c>
      <c r="I40" s="12">
        <v>24</v>
      </c>
      <c r="J40" s="12">
        <v>22</v>
      </c>
      <c r="K40" s="12">
        <v>24</v>
      </c>
    </row>
    <row r="41" spans="1:11" ht="18.75">
      <c r="A41" s="4">
        <v>40</v>
      </c>
      <c r="B41" s="4" t="s">
        <v>3258</v>
      </c>
      <c r="C41" s="4">
        <v>2139</v>
      </c>
      <c r="D41" s="4" t="str">
        <f>=VLOOKUP(B41,[2]在校生综合信息查询!$A$741:$C$791,2,0)</f>
        <v>24q660103100</v>
      </c>
      <c r="E41" s="12">
        <v>28</v>
      </c>
      <c r="F41" s="12">
        <v>24</v>
      </c>
      <c r="G41" s="12">
        <v>23.5</v>
      </c>
      <c r="H41" s="12">
        <v>34</v>
      </c>
      <c r="I41" s="12">
        <v>30</v>
      </c>
      <c r="J41" s="12">
        <v>22</v>
      </c>
      <c r="K41" s="12">
        <v>24</v>
      </c>
    </row>
    <row r="42" spans="1:11" ht="18.75">
      <c r="A42" s="4">
        <v>41</v>
      </c>
      <c r="B42" s="4" t="s">
        <v>3260</v>
      </c>
      <c r="C42" s="4">
        <v>2140</v>
      </c>
      <c r="D42" s="4" t="str">
        <f>=VLOOKUP(B42,[2]在校生综合信息查询!$A$741:$C$791,2,0)</f>
        <v>24q660103101</v>
      </c>
      <c r="E42" s="12">
        <v>25</v>
      </c>
      <c r="F42" s="12">
        <v>32</v>
      </c>
      <c r="G42" s="12">
        <v>16</v>
      </c>
      <c r="H42" s="12">
        <v>27</v>
      </c>
      <c r="I42" s="12">
        <v>22</v>
      </c>
      <c r="J42" s="12">
        <v>20</v>
      </c>
      <c r="K42" s="12">
        <v>24</v>
      </c>
    </row>
    <row r="43" spans="1:11" ht="18.75">
      <c r="A43" s="4">
        <v>42</v>
      </c>
      <c r="B43" s="4" t="s">
        <v>3262</v>
      </c>
      <c r="C43" s="4">
        <v>2141</v>
      </c>
      <c r="D43" s="4" t="str">
        <f>=VLOOKUP(B43,[2]在校生综合信息查询!$A$741:$C$791,2,0)</f>
        <v>24q660103102</v>
      </c>
      <c r="E43" s="12">
        <v>28</v>
      </c>
      <c r="F43" s="12">
        <v>16</v>
      </c>
      <c r="G43" s="12">
        <v>32.5</v>
      </c>
      <c r="H43" s="12">
        <v>51</v>
      </c>
      <c r="I43" s="12">
        <v>32</v>
      </c>
      <c r="J43" s="12">
        <v>25</v>
      </c>
      <c r="K43" s="12">
        <v>30</v>
      </c>
    </row>
    <row r="44" spans="1:11" ht="18.75">
      <c r="A44" s="4">
        <v>43</v>
      </c>
      <c r="B44" s="4" t="s">
        <v>3264</v>
      </c>
      <c r="C44" s="4">
        <v>2142</v>
      </c>
      <c r="D44" s="4" t="str">
        <f>=VLOOKUP(B44,[2]在校生综合信息查询!$A$741:$C$791,2,0)</f>
        <v>24q660103103</v>
      </c>
      <c r="E44" s="12">
        <v>8</v>
      </c>
      <c r="F44" s="12">
        <v>8</v>
      </c>
      <c r="G44" s="12">
        <v>13</v>
      </c>
      <c r="H44" s="12">
        <v>30</v>
      </c>
      <c r="I44" s="12">
        <v>28</v>
      </c>
      <c r="J44" s="12">
        <v>18</v>
      </c>
      <c r="K44" s="12">
        <v>24</v>
      </c>
    </row>
    <row r="45" spans="1:11" ht="18.75">
      <c r="A45" s="4">
        <v>44</v>
      </c>
      <c r="B45" s="4" t="s">
        <v>3266</v>
      </c>
      <c r="C45" s="4">
        <v>2153</v>
      </c>
      <c r="D45" s="4" t="str">
        <f>=VLOOKUP(B45,[2]在校生综合信息查询!$A$741:$C$791,2,0)</f>
        <v>24q710103286151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</row>
    <row r="46" spans="1:11" ht="18.75">
      <c r="A46" s="4">
        <v>45</v>
      </c>
      <c r="B46" s="4" t="s">
        <v>3268</v>
      </c>
      <c r="C46" s="4">
        <v>2143</v>
      </c>
      <c r="D46" s="4" t="str">
        <f>=VLOOKUP(B46,[2]在校生综合信息查询!$A$741:$C$791,2,0)</f>
        <v>24q660103104</v>
      </c>
      <c r="E46" s="12">
        <v>36</v>
      </c>
      <c r="F46" s="12">
        <v>16</v>
      </c>
      <c r="G46" s="12">
        <v>20.5</v>
      </c>
      <c r="H46" s="12">
        <v>30</v>
      </c>
      <c r="I46" s="12">
        <v>22</v>
      </c>
      <c r="J46" s="12">
        <v>30</v>
      </c>
      <c r="K46" s="12">
        <v>28</v>
      </c>
    </row>
    <row r="47" spans="1:11" ht="18.75">
      <c r="A47" s="4">
        <v>46</v>
      </c>
      <c r="B47" s="4" t="s">
        <v>3270</v>
      </c>
      <c r="C47" s="4">
        <v>2144</v>
      </c>
      <c r="D47" s="4" t="str">
        <f>=VLOOKUP(B47,[2]在校生综合信息查询!$A$741:$C$791,2,0)</f>
        <v>24q660103105</v>
      </c>
      <c r="E47" s="12">
        <v>11</v>
      </c>
      <c r="F47" s="12">
        <v>16</v>
      </c>
      <c r="G47" s="12">
        <v>19</v>
      </c>
      <c r="H47" s="12">
        <v>23</v>
      </c>
      <c r="I47" s="12">
        <v>29</v>
      </c>
      <c r="J47" s="12">
        <v>12</v>
      </c>
      <c r="K47" s="12">
        <v>30</v>
      </c>
    </row>
    <row r="48" spans="1:11" ht="18.75">
      <c r="A48" s="4">
        <v>47</v>
      </c>
      <c r="B48" s="4" t="s">
        <v>3272</v>
      </c>
      <c r="C48" s="4">
        <v>2158</v>
      </c>
      <c r="D48" s="4" t="str">
        <f>=VLOOKUP(B48,[2]在校生综合信息查询!$A$741:$C$791,2,0)</f>
        <v>24q6601031461</v>
      </c>
      <c r="E48" s="12">
        <v>13</v>
      </c>
      <c r="F48" s="12">
        <v>12</v>
      </c>
      <c r="G48" s="12">
        <v>20</v>
      </c>
      <c r="H48" s="12">
        <v>23</v>
      </c>
      <c r="I48" s="12">
        <v>24</v>
      </c>
      <c r="J48" s="12">
        <v>16</v>
      </c>
      <c r="K48" s="12">
        <v>28</v>
      </c>
    </row>
    <row r="49" spans="1:11" ht="18.75">
      <c r="A49" s="4">
        <v>48</v>
      </c>
      <c r="B49" s="4" t="s">
        <v>3274</v>
      </c>
      <c r="C49" s="4">
        <v>2145</v>
      </c>
      <c r="D49" s="4" t="str">
        <f>=VLOOKUP(B49,[2]在校生综合信息查询!$A$741:$C$791,2,0)</f>
        <v>24q660103106</v>
      </c>
      <c r="E49" s="12">
        <v>37</v>
      </c>
      <c r="F49" s="12">
        <v>12</v>
      </c>
      <c r="G49" s="12">
        <v>26.5</v>
      </c>
      <c r="H49" s="12">
        <v>22</v>
      </c>
      <c r="I49" s="12">
        <v>32</v>
      </c>
      <c r="J49" s="12">
        <v>24</v>
      </c>
      <c r="K49" s="12">
        <v>32</v>
      </c>
    </row>
    <row r="50" spans="1:11" ht="18.75">
      <c r="A50" s="4">
        <v>49</v>
      </c>
      <c r="B50" s="4" t="s">
        <v>3276</v>
      </c>
      <c r="C50" s="4">
        <v>2146</v>
      </c>
      <c r="D50" s="4" t="str">
        <f>=VLOOKUP(B50,[2]在校生综合信息查询!$A$741:$C$791,2,0)</f>
        <v>24q660103107</v>
      </c>
      <c r="E50" s="12">
        <v>0</v>
      </c>
      <c r="F50" s="12">
        <v>0</v>
      </c>
      <c r="G50" s="12">
        <v>17.5</v>
      </c>
      <c r="H50" s="12">
        <v>25</v>
      </c>
      <c r="I50" s="12">
        <v>13</v>
      </c>
      <c r="J50" s="12">
        <v>15</v>
      </c>
      <c r="K50" s="12">
        <v>22</v>
      </c>
    </row>
    <row r="51" spans="1:11" ht="18.75">
      <c r="A51" s="4">
        <v>50</v>
      </c>
      <c r="B51" s="4" t="s">
        <v>3278</v>
      </c>
      <c r="C51" s="4">
        <v>2147</v>
      </c>
      <c r="D51" s="4" t="str">
        <f>=VLOOKUP(B51,[2]在校生综合信息查询!$A$741:$C$791,2,0)</f>
        <v>24q660103108</v>
      </c>
      <c r="E51" s="12">
        <v>12</v>
      </c>
      <c r="F51" s="12">
        <v>20</v>
      </c>
      <c r="G51" s="12">
        <v>24.5</v>
      </c>
      <c r="H51" s="12">
        <v>23</v>
      </c>
      <c r="I51" s="12">
        <v>18</v>
      </c>
      <c r="J51" s="12">
        <v>22</v>
      </c>
      <c r="K51" s="12">
        <v>32</v>
      </c>
    </row>
    <row r="52" spans="1:11" ht="18.75">
      <c r="A52" s="4">
        <v>51</v>
      </c>
      <c r="B52" s="4" t="s">
        <v>3280</v>
      </c>
      <c r="C52" s="4">
        <v>2148</v>
      </c>
      <c r="D52" s="4" t="str">
        <f>=VLOOKUP(B52,[2]在校生综合信息查询!$A$741:$C$791,2,0)</f>
        <v>24q660103109</v>
      </c>
      <c r="E52" s="12">
        <v>38</v>
      </c>
      <c r="F52" s="12">
        <v>12</v>
      </c>
      <c r="G52" s="12">
        <v>14.5</v>
      </c>
      <c r="H52" s="12">
        <v>19</v>
      </c>
      <c r="I52" s="12">
        <v>21</v>
      </c>
      <c r="J52" s="12">
        <v>20</v>
      </c>
      <c r="K52" s="12">
        <v>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/>
  <dimension ref="M43"/>
  <sheetViews>
    <sheetView showGridLines="1" workbookViewId="0"/>
  </sheetViews>
  <sheetFormatPr defaultColWidth="8.75" defaultRowHeight="13.5"/>
  <cols>
    <col min="1" max="1" width="8.75" style="125"/>
    <col min="2" max="2" width="7.75" style="125"/>
    <col min="3" max="3" width="14.25" style="125" hidden="1" customWidth="1"/>
    <col min="4" max="4" width="16" style="125" customWidth="1"/>
    <col min="5" max="7" width="8.75" style="125"/>
    <col min="8" max="8" width="12.625" style="125" customWidth="1"/>
    <col min="9" max="9" width="16.125" style="125" customWidth="1"/>
    <col min="10" max="10" width="13.625" style="125" customWidth="1"/>
    <col min="11" max="11" width="13" style="125" customWidth="1"/>
    <col min="12" max="26" width="8.75" style="126"/>
  </cols>
  <sheetData>
    <row r="1" spans="1:13" ht="18.75">
      <c r="A1" s="111" t="s">
        <v>1</v>
      </c>
      <c r="B1" s="111" t="s">
        <v>2</v>
      </c>
      <c r="C1" s="111" t="s">
        <v>3</v>
      </c>
      <c r="D1" s="111" t="s">
        <v>4</v>
      </c>
      <c r="E1" s="111" t="s">
        <v>5</v>
      </c>
      <c r="F1" s="111" t="s">
        <v>6</v>
      </c>
      <c r="G1" s="111" t="s">
        <v>7</v>
      </c>
      <c r="H1" s="111" t="s">
        <v>1587</v>
      </c>
      <c r="I1" s="111" t="s">
        <v>3086</v>
      </c>
      <c r="J1" s="111" t="s">
        <v>1585</v>
      </c>
      <c r="K1" s="111" t="s">
        <v>3087</v>
      </c>
      <c r="L1" s="112" t="s">
        <v>11</v>
      </c>
      <c r="M1" s="112" t="s">
        <v>12</v>
      </c>
    </row>
    <row r="2" spans="1:13" ht="18.75">
      <c r="A2" s="111">
        <v>1</v>
      </c>
      <c r="B2" s="113" t="s">
        <v>3282</v>
      </c>
      <c r="C2" s="113">
        <v>2110</v>
      </c>
      <c r="D2" s="113" t="str">
        <f>=VLOOKUP(B2,[2]在校生综合信息查询!$A$792:$C$833,2,0)</f>
        <v>24q710103124</v>
      </c>
      <c r="E2" s="114">
        <v>43</v>
      </c>
      <c r="F2" s="114">
        <v>40</v>
      </c>
      <c r="G2" s="114">
        <v>59.5</v>
      </c>
      <c r="H2" s="114">
        <v>65</v>
      </c>
      <c r="I2" s="115">
        <v>49</v>
      </c>
      <c r="J2" s="111">
        <v>51</v>
      </c>
      <c r="K2" s="115">
        <v>42</v>
      </c>
      <c r="L2" s="112" t="s"/>
      <c r="M2" s="112" t="s"/>
    </row>
    <row r="3" spans="1:13" ht="18.75">
      <c r="A3" s="111">
        <v>2</v>
      </c>
      <c r="B3" s="113" t="s">
        <v>3284</v>
      </c>
      <c r="C3" s="113">
        <v>2073</v>
      </c>
      <c r="D3" s="113" t="str">
        <f>=VLOOKUP(B3,[2]在校生综合信息查询!$A$792:$C$833,2,0)</f>
        <v>24q660103142</v>
      </c>
      <c r="E3" s="114">
        <v>57</v>
      </c>
      <c r="F3" s="114">
        <v>42</v>
      </c>
      <c r="G3" s="114">
        <v>59.5</v>
      </c>
      <c r="H3" s="114">
        <v>67</v>
      </c>
      <c r="I3" s="115">
        <v>42</v>
      </c>
      <c r="J3" s="111">
        <v>48</v>
      </c>
      <c r="K3" s="115">
        <v>51</v>
      </c>
      <c r="L3" s="112" t="s"/>
      <c r="M3" s="112" t="s"/>
    </row>
    <row r="4" spans="1:13" ht="18.75">
      <c r="A4" s="111">
        <v>3</v>
      </c>
      <c r="B4" s="113" t="s">
        <v>3286</v>
      </c>
      <c r="C4" s="113">
        <v>2074</v>
      </c>
      <c r="D4" s="113" t="str">
        <f>=VLOOKUP(B4,[2]在校生综合信息查询!$A$792:$C$833,2,0)</f>
        <v>24q660103145</v>
      </c>
      <c r="E4" s="114">
        <v>58</v>
      </c>
      <c r="F4" s="114">
        <v>45</v>
      </c>
      <c r="G4" s="114">
        <v>21</v>
      </c>
      <c r="H4" s="114">
        <v>67</v>
      </c>
      <c r="I4" s="115">
        <v>39</v>
      </c>
      <c r="J4" s="111">
        <v>39</v>
      </c>
      <c r="K4" s="115">
        <v>43</v>
      </c>
      <c r="L4" s="112" t="s"/>
      <c r="M4" s="112" t="s"/>
    </row>
    <row r="5" spans="1:13" ht="18.75">
      <c r="A5" s="111">
        <v>4</v>
      </c>
      <c r="B5" s="113" t="s">
        <v>3288</v>
      </c>
      <c r="C5" s="113">
        <v>2075</v>
      </c>
      <c r="D5" s="113" t="str">
        <f>=VLOOKUP(B5,[2]在校生综合信息查询!$A$792:$C$833,2,0)</f>
        <v>24q660103148</v>
      </c>
      <c r="E5" s="114">
        <v>75</v>
      </c>
      <c r="F5" s="114">
        <v>94</v>
      </c>
      <c r="G5" s="114">
        <v>35.5</v>
      </c>
      <c r="H5" s="114">
        <v>76</v>
      </c>
      <c r="I5" s="115">
        <v>65</v>
      </c>
      <c r="J5" s="111">
        <v>70</v>
      </c>
      <c r="K5" s="115">
        <v>69</v>
      </c>
      <c r="L5" s="112" t="s"/>
      <c r="M5" s="112" t="s"/>
    </row>
    <row r="6" spans="1:13" ht="18.75">
      <c r="A6" s="111">
        <v>5</v>
      </c>
      <c r="B6" s="113" t="s">
        <v>3290</v>
      </c>
      <c r="C6" s="113">
        <v>2076</v>
      </c>
      <c r="D6" s="113" t="str">
        <f>=VLOOKUP(B6,[2]在校生综合信息查询!$A$792:$C$833,2,0)</f>
        <v>24q660103150</v>
      </c>
      <c r="E6" s="114">
        <v>63</v>
      </c>
      <c r="F6" s="114">
        <v>103</v>
      </c>
      <c r="G6" s="114">
        <v>59</v>
      </c>
      <c r="H6" s="114">
        <v>78</v>
      </c>
      <c r="I6" s="115">
        <v>63</v>
      </c>
      <c r="J6" s="111">
        <v>51</v>
      </c>
      <c r="K6" s="115">
        <v>64</v>
      </c>
      <c r="L6" s="112" t="s"/>
      <c r="M6" s="112" t="s"/>
    </row>
    <row r="7" spans="1:13" ht="18.75">
      <c r="A7" s="111">
        <v>6</v>
      </c>
      <c r="B7" s="113" t="s">
        <v>3292</v>
      </c>
      <c r="C7" s="113">
        <v>2077</v>
      </c>
      <c r="D7" s="113" t="str">
        <f>=VLOOKUP(B7,[2]在校生综合信息查询!$A$792:$C$833,2,0)</f>
        <v>24q660103151</v>
      </c>
      <c r="E7" s="114">
        <v>44</v>
      </c>
      <c r="F7" s="114">
        <v>48</v>
      </c>
      <c r="G7" s="114">
        <v>61</v>
      </c>
      <c r="H7" s="114">
        <v>77</v>
      </c>
      <c r="I7" s="115">
        <v>46</v>
      </c>
      <c r="J7" s="111">
        <v>48</v>
      </c>
      <c r="K7" s="115">
        <v>57</v>
      </c>
      <c r="L7" s="112" t="s"/>
      <c r="M7" s="112" t="s"/>
    </row>
    <row r="8" spans="1:13" ht="18.75">
      <c r="A8" s="111">
        <v>7</v>
      </c>
      <c r="B8" s="113" t="s">
        <v>3294</v>
      </c>
      <c r="C8" s="113">
        <v>2078</v>
      </c>
      <c r="D8" s="113" t="str">
        <f>=VLOOKUP(B8,[2]在校生综合信息查询!$A$792:$C$833,2,0)</f>
        <v>24q660103153</v>
      </c>
      <c r="E8" s="114">
        <v>49</v>
      </c>
      <c r="F8" s="114">
        <v>130</v>
      </c>
      <c r="G8" s="114">
        <v>27.5</v>
      </c>
      <c r="H8" s="114">
        <v>57</v>
      </c>
      <c r="I8" s="115">
        <v>50</v>
      </c>
      <c r="J8" s="111">
        <v>62</v>
      </c>
      <c r="K8" s="115">
        <v>52</v>
      </c>
      <c r="L8" s="112" t="s"/>
      <c r="M8" s="112" t="s"/>
    </row>
    <row r="9" spans="1:13" ht="18.75">
      <c r="A9" s="111">
        <v>8</v>
      </c>
      <c r="B9" s="113" t="s">
        <v>3296</v>
      </c>
      <c r="C9" s="113">
        <v>2079</v>
      </c>
      <c r="D9" s="113" t="str">
        <f>=VLOOKUP(B9,[2]在校生综合信息查询!$A$792:$C$833,2,0)</f>
        <v>24q660103154</v>
      </c>
      <c r="E9" s="114">
        <v>51</v>
      </c>
      <c r="F9" s="114">
        <v>108</v>
      </c>
      <c r="G9" s="114">
        <v>16</v>
      </c>
      <c r="H9" s="114">
        <v>57</v>
      </c>
      <c r="I9" s="115">
        <v>50</v>
      </c>
      <c r="J9" s="111">
        <v>46</v>
      </c>
      <c r="K9" s="115">
        <v>37</v>
      </c>
      <c r="L9" s="112" t="s"/>
      <c r="M9" s="112" t="s"/>
    </row>
    <row r="10" spans="1:13" ht="18.75">
      <c r="A10" s="111">
        <v>9</v>
      </c>
      <c r="B10" s="113" t="s">
        <v>3298</v>
      </c>
      <c r="C10" s="113">
        <v>2111</v>
      </c>
      <c r="D10" s="113" t="str">
        <f>=VLOOKUP(B10,[2]在校生综合信息查询!$A$792:$C$833,2,0)</f>
        <v>24q660103155</v>
      </c>
      <c r="E10" s="114">
        <v>64</v>
      </c>
      <c r="F10" s="114">
        <v>87</v>
      </c>
      <c r="G10" s="114">
        <v>33</v>
      </c>
      <c r="H10" s="114">
        <v>73</v>
      </c>
      <c r="I10" s="115">
        <v>58</v>
      </c>
      <c r="J10" s="111">
        <v>66</v>
      </c>
      <c r="K10" s="115">
        <v>58</v>
      </c>
      <c r="L10" s="112" t="s"/>
      <c r="M10" s="112" t="s"/>
    </row>
    <row r="11" spans="1:13" ht="18.75">
      <c r="A11" s="111">
        <v>10</v>
      </c>
      <c r="B11" s="113" t="s">
        <v>3300</v>
      </c>
      <c r="C11" s="113">
        <v>2080</v>
      </c>
      <c r="D11" s="113" t="str">
        <f>=VLOOKUP(B11,[2]在校生综合信息查询!$A$792:$C$833,2,0)</f>
        <v>24q660103156</v>
      </c>
      <c r="E11" s="114">
        <v>47</v>
      </c>
      <c r="F11" s="114">
        <v>52</v>
      </c>
      <c r="G11" s="114">
        <v>47.5</v>
      </c>
      <c r="H11" s="114">
        <v>69</v>
      </c>
      <c r="I11" s="115">
        <v>46</v>
      </c>
      <c r="J11" s="111">
        <v>56</v>
      </c>
      <c r="K11" s="115">
        <v>27</v>
      </c>
      <c r="L11" s="112" t="s"/>
      <c r="M11" s="112" t="s"/>
    </row>
    <row r="12" spans="1:13" ht="18.75">
      <c r="A12" s="111">
        <v>11</v>
      </c>
      <c r="B12" s="113" t="s">
        <v>3302</v>
      </c>
      <c r="C12" s="113">
        <v>2081</v>
      </c>
      <c r="D12" s="113" t="str">
        <f>=VLOOKUP(B12,[2]在校生综合信息查询!$A$792:$C$833,2,0)</f>
        <v>24q660103158</v>
      </c>
      <c r="E12" s="114">
        <v>56</v>
      </c>
      <c r="F12" s="114">
        <v>94</v>
      </c>
      <c r="G12" s="114">
        <v>58</v>
      </c>
      <c r="H12" s="114">
        <v>84</v>
      </c>
      <c r="I12" s="115">
        <v>57</v>
      </c>
      <c r="J12" s="111">
        <v>59</v>
      </c>
      <c r="K12" s="115">
        <v>30</v>
      </c>
      <c r="L12" s="112" t="s"/>
      <c r="M12" s="112" t="s"/>
    </row>
    <row r="13" spans="1:13" ht="18.75">
      <c r="A13" s="111">
        <v>12</v>
      </c>
      <c r="B13" s="113" t="s">
        <v>3304</v>
      </c>
      <c r="C13" s="113">
        <v>2082</v>
      </c>
      <c r="D13" s="113" t="str">
        <f>=VLOOKUP(B13,[2]在校生综合信息查询!$A$792:$C$833,2,0)</f>
        <v>24q660103159</v>
      </c>
      <c r="E13" s="114">
        <v>61</v>
      </c>
      <c r="F13" s="114">
        <v>72</v>
      </c>
      <c r="G13" s="114">
        <v>53.5</v>
      </c>
      <c r="H13" s="114">
        <v>38</v>
      </c>
      <c r="I13" s="115">
        <v>25</v>
      </c>
      <c r="J13" s="111">
        <v>35</v>
      </c>
      <c r="K13" s="115">
        <v>45</v>
      </c>
      <c r="L13" s="112" t="s"/>
      <c r="M13" s="112" t="s"/>
    </row>
    <row r="14" spans="1:13" ht="18.75">
      <c r="A14" s="111">
        <v>13</v>
      </c>
      <c r="B14" s="113" t="s">
        <v>2663</v>
      </c>
      <c r="C14" s="113">
        <v>2083</v>
      </c>
      <c r="D14" s="113" t="str">
        <f>=VLOOKUP(B14,[2]在校生综合信息查询!$A$792:$C$833,2,0)</f>
        <v>24q660103160</v>
      </c>
      <c r="E14" s="114">
        <v>73</v>
      </c>
      <c r="F14" s="114">
        <v>112</v>
      </c>
      <c r="G14" s="114">
        <v>40</v>
      </c>
      <c r="H14" s="114">
        <v>76</v>
      </c>
      <c r="I14" s="115">
        <v>49</v>
      </c>
      <c r="J14" s="111">
        <v>76</v>
      </c>
      <c r="K14" s="115">
        <v>49</v>
      </c>
      <c r="L14" s="112" t="s"/>
      <c r="M14" s="112" t="s"/>
    </row>
    <row r="15" spans="1:13" ht="18.75">
      <c r="A15" s="111">
        <v>14</v>
      </c>
      <c r="B15" s="113" t="s">
        <v>3307</v>
      </c>
      <c r="C15" s="113">
        <v>2084</v>
      </c>
      <c r="D15" s="113" t="str">
        <f>=VLOOKUP(B15,[2]在校生综合信息查询!$A$792:$C$833,2,0)</f>
        <v>24q660103161</v>
      </c>
      <c r="E15" s="114">
        <v>50</v>
      </c>
      <c r="F15" s="114">
        <v>66</v>
      </c>
      <c r="G15" s="114">
        <v>49.5</v>
      </c>
      <c r="H15" s="114">
        <v>66</v>
      </c>
      <c r="I15" s="115">
        <v>47</v>
      </c>
      <c r="J15" s="111">
        <v>43</v>
      </c>
      <c r="K15" s="115">
        <v>46</v>
      </c>
      <c r="L15" s="112" t="s"/>
      <c r="M15" s="112" t="s"/>
    </row>
    <row r="16" spans="1:13" ht="18.75">
      <c r="A16" s="111">
        <v>15</v>
      </c>
      <c r="B16" s="113" t="s">
        <v>3309</v>
      </c>
      <c r="C16" s="113">
        <v>2085</v>
      </c>
      <c r="D16" s="113" t="str">
        <f>=VLOOKUP(B16,[2]在校生综合信息查询!$A$792:$C$833,2,0)</f>
        <v>24q660103169</v>
      </c>
      <c r="E16" s="114">
        <v>40</v>
      </c>
      <c r="F16" s="114">
        <v>45</v>
      </c>
      <c r="G16" s="114">
        <v>29</v>
      </c>
      <c r="H16" s="114">
        <v>45</v>
      </c>
      <c r="I16" s="115">
        <v>46</v>
      </c>
      <c r="J16" s="111">
        <v>38</v>
      </c>
      <c r="K16" s="115">
        <v>39</v>
      </c>
      <c r="L16" s="112" t="s"/>
      <c r="M16" s="112" t="s"/>
    </row>
    <row r="17" spans="1:13" ht="18.75">
      <c r="A17" s="111">
        <v>16</v>
      </c>
      <c r="B17" s="113" t="s">
        <v>3311</v>
      </c>
      <c r="C17" s="113">
        <v>2086</v>
      </c>
      <c r="D17" s="113" t="str">
        <f>=VLOOKUP(B17,[2]在校生综合信息查询!$A$792:$C$833,2,0)</f>
        <v>24q660103172</v>
      </c>
      <c r="E17" s="114">
        <v>74</v>
      </c>
      <c r="F17" s="114">
        <v>46</v>
      </c>
      <c r="G17" s="114">
        <v>21.5</v>
      </c>
      <c r="H17" s="114">
        <v>65</v>
      </c>
      <c r="I17" s="115">
        <v>51</v>
      </c>
      <c r="J17" s="111">
        <v>43</v>
      </c>
      <c r="K17" s="115">
        <v>30</v>
      </c>
      <c r="L17" s="112" t="s"/>
      <c r="M17" s="112" t="s"/>
    </row>
    <row r="18" spans="1:13" ht="18.75">
      <c r="A18" s="111">
        <v>17</v>
      </c>
      <c r="B18" s="113" t="s">
        <v>3313</v>
      </c>
      <c r="C18" s="113">
        <v>2087</v>
      </c>
      <c r="D18" s="113" t="str">
        <f>=VLOOKUP(B18,[2]在校生综合信息查询!$A$792:$C$833,2,0)</f>
        <v>24q660103173</v>
      </c>
      <c r="E18" s="114">
        <v>78</v>
      </c>
      <c r="F18" s="114">
        <v>46</v>
      </c>
      <c r="G18" s="114">
        <v>69.5</v>
      </c>
      <c r="H18" s="114">
        <v>71</v>
      </c>
      <c r="I18" s="115">
        <v>52</v>
      </c>
      <c r="J18" s="111">
        <v>49</v>
      </c>
      <c r="K18" s="115">
        <v>38</v>
      </c>
      <c r="L18" s="112" t="s"/>
      <c r="M18" s="112" t="s"/>
    </row>
    <row r="19" spans="1:13" ht="18.75">
      <c r="A19" s="111">
        <v>18</v>
      </c>
      <c r="B19" s="113" t="s">
        <v>3315</v>
      </c>
      <c r="C19" s="113">
        <v>2113</v>
      </c>
      <c r="D19" s="113" t="str">
        <f>=VLOOKUP(B19,[2]在校生综合信息查询!$A$792:$C$833,2,0)</f>
        <v>24q710103180</v>
      </c>
      <c r="E19" s="114">
        <v>64</v>
      </c>
      <c r="F19" s="114">
        <v>49</v>
      </c>
      <c r="G19" s="114">
        <v>46.5</v>
      </c>
      <c r="H19" s="114">
        <v>52</v>
      </c>
      <c r="I19" s="115">
        <v>43</v>
      </c>
      <c r="J19" s="111">
        <v>67</v>
      </c>
      <c r="K19" s="115">
        <v>46</v>
      </c>
      <c r="L19" s="112" t="s"/>
      <c r="M19" s="112" t="s"/>
    </row>
    <row r="20" spans="1:13" ht="18.75">
      <c r="A20" s="111">
        <v>19</v>
      </c>
      <c r="B20" s="113" t="s">
        <v>3317</v>
      </c>
      <c r="C20" s="113">
        <v>2088</v>
      </c>
      <c r="D20" s="113" t="str">
        <f>=VLOOKUP(B20,[2]在校生综合信息查询!$A$792:$C$833,2,0)</f>
        <v>24q660103175</v>
      </c>
      <c r="E20" s="114">
        <v>61</v>
      </c>
      <c r="F20" s="114">
        <v>63</v>
      </c>
      <c r="G20" s="114">
        <v>32.5</v>
      </c>
      <c r="H20" s="114">
        <v>52</v>
      </c>
      <c r="I20" s="115">
        <v>35</v>
      </c>
      <c r="J20" s="111">
        <v>46</v>
      </c>
      <c r="K20" s="115">
        <v>30</v>
      </c>
      <c r="L20" s="112" t="s"/>
      <c r="M20" s="112" t="s"/>
    </row>
    <row r="21" spans="1:13" ht="18.75">
      <c r="A21" s="111">
        <v>20</v>
      </c>
      <c r="B21" s="113" t="s">
        <v>3319</v>
      </c>
      <c r="C21" s="113">
        <v>2089</v>
      </c>
      <c r="D21" s="113" t="str">
        <f>=VLOOKUP(B21,[2]在校生综合信息查询!$A$792:$C$833,2,0)</f>
        <v>24q660103177</v>
      </c>
      <c r="E21" s="114">
        <v>42</v>
      </c>
      <c r="F21" s="114">
        <v>23</v>
      </c>
      <c r="G21" s="114">
        <v>29.5</v>
      </c>
      <c r="H21" s="114">
        <v>56</v>
      </c>
      <c r="I21" s="115">
        <v>36</v>
      </c>
      <c r="J21" s="111">
        <v>42</v>
      </c>
      <c r="K21" s="115">
        <v>38</v>
      </c>
      <c r="L21" s="112" t="s"/>
      <c r="M21" s="112" t="s"/>
    </row>
    <row r="22" spans="1:13" ht="18.75">
      <c r="A22" s="111">
        <v>21</v>
      </c>
      <c r="B22" s="113" t="s">
        <v>3321</v>
      </c>
      <c r="C22" s="113">
        <v>2090</v>
      </c>
      <c r="D22" s="113" t="str">
        <f>=VLOOKUP(B22,[2]在校生综合信息查询!$A$792:$C$833,2,0)</f>
        <v>24q660103178</v>
      </c>
      <c r="E22" s="114">
        <v>47</v>
      </c>
      <c r="F22" s="114">
        <v>63</v>
      </c>
      <c r="G22" s="114">
        <v>35</v>
      </c>
      <c r="H22" s="114">
        <v>83</v>
      </c>
      <c r="I22" s="115">
        <v>63</v>
      </c>
      <c r="J22" s="111">
        <v>39</v>
      </c>
      <c r="K22" s="115">
        <v>33</v>
      </c>
      <c r="L22" s="112" t="s"/>
      <c r="M22" s="112" t="s"/>
    </row>
    <row r="23" spans="1:13" ht="18.75">
      <c r="A23" s="111">
        <v>22</v>
      </c>
      <c r="B23" s="113" t="s">
        <v>3323</v>
      </c>
      <c r="C23" s="113">
        <v>2091</v>
      </c>
      <c r="D23" s="113" t="str">
        <f>=VLOOKUP(B23,[2]在校生综合信息查询!$A$792:$C$833,2,0)</f>
        <v>24q660103179</v>
      </c>
      <c r="E23" s="114">
        <v>76</v>
      </c>
      <c r="F23" s="114">
        <v>100</v>
      </c>
      <c r="G23" s="114">
        <v>36.5</v>
      </c>
      <c r="H23" s="114">
        <v>76</v>
      </c>
      <c r="I23" s="115">
        <v>64</v>
      </c>
      <c r="J23" s="111">
        <v>77</v>
      </c>
      <c r="K23" s="115">
        <v>65</v>
      </c>
      <c r="L23" s="112" t="s"/>
      <c r="M23" s="112" t="s"/>
    </row>
    <row r="24" spans="1:13" ht="18.75">
      <c r="A24" s="111">
        <v>23</v>
      </c>
      <c r="B24" s="113" t="s">
        <v>3325</v>
      </c>
      <c r="C24" s="113">
        <v>2092</v>
      </c>
      <c r="D24" s="113" t="str">
        <f>=VLOOKUP(B24,[2]在校生综合信息查询!$A$792:$C$833,2,0)</f>
        <v>24q660103183</v>
      </c>
      <c r="E24" s="114">
        <v>55</v>
      </c>
      <c r="F24" s="114">
        <v>82</v>
      </c>
      <c r="G24" s="114">
        <v>33</v>
      </c>
      <c r="H24" s="114">
        <v>68</v>
      </c>
      <c r="I24" s="115">
        <v>69</v>
      </c>
      <c r="J24" s="111">
        <v>59</v>
      </c>
      <c r="K24" s="115">
        <v>73</v>
      </c>
      <c r="L24" s="112" t="s"/>
      <c r="M24" s="112" t="s"/>
    </row>
    <row r="25" spans="1:13" ht="18.75">
      <c r="A25" s="111">
        <v>24</v>
      </c>
      <c r="B25" s="113" t="s">
        <v>3327</v>
      </c>
      <c r="C25" s="113">
        <v>2093</v>
      </c>
      <c r="D25" s="113" t="str">
        <f>=VLOOKUP(B25,[2]在校生综合信息查询!$A$792:$C$833,2,0)</f>
        <v>24q660103185</v>
      </c>
      <c r="E25" s="114">
        <v>53</v>
      </c>
      <c r="F25" s="114">
        <v>76</v>
      </c>
      <c r="G25" s="114">
        <v>54.5</v>
      </c>
      <c r="H25" s="114">
        <v>81</v>
      </c>
      <c r="I25" s="115">
        <v>80</v>
      </c>
      <c r="J25" s="111">
        <v>85</v>
      </c>
      <c r="K25" s="115">
        <v>76</v>
      </c>
      <c r="L25" s="112" t="s"/>
      <c r="M25" s="112" t="s"/>
    </row>
    <row r="26" spans="1:13" ht="18.75">
      <c r="A26" s="111">
        <v>25</v>
      </c>
      <c r="B26" s="113" t="s">
        <v>3329</v>
      </c>
      <c r="C26" s="113">
        <v>2114</v>
      </c>
      <c r="D26" s="113" t="str">
        <f>=VLOOKUP(B26,[2]在校生综合信息查询!$A$792:$C$833,2,0)</f>
        <v>24q710103304</v>
      </c>
      <c r="E26" s="114">
        <v>62</v>
      </c>
      <c r="F26" s="114">
        <v>53</v>
      </c>
      <c r="G26" s="114">
        <v>50.5</v>
      </c>
      <c r="H26" s="114">
        <v>53</v>
      </c>
      <c r="I26" s="115">
        <v>39</v>
      </c>
      <c r="J26" s="111">
        <v>31</v>
      </c>
      <c r="K26" s="115">
        <v>37</v>
      </c>
      <c r="L26" s="112" t="s"/>
      <c r="M26" s="112" t="s"/>
    </row>
    <row r="27" spans="1:13" ht="18.75">
      <c r="A27" s="111">
        <v>26</v>
      </c>
      <c r="B27" s="113" t="s">
        <v>3331</v>
      </c>
      <c r="C27" s="113">
        <v>2094</v>
      </c>
      <c r="D27" s="113" t="str">
        <f>=VLOOKUP(B27,[2]在校生综合信息查询!$A$792:$C$833,2,0)</f>
        <v>24q660103186</v>
      </c>
      <c r="E27" s="114">
        <v>38</v>
      </c>
      <c r="F27" s="114">
        <v>40</v>
      </c>
      <c r="G27" s="114">
        <v>51.5</v>
      </c>
      <c r="H27" s="114">
        <v>71</v>
      </c>
      <c r="I27" s="115">
        <v>51</v>
      </c>
      <c r="J27" s="111">
        <v>50</v>
      </c>
      <c r="K27" s="115">
        <v>42</v>
      </c>
      <c r="L27" s="112" t="s"/>
      <c r="M27" s="112" t="s"/>
    </row>
    <row r="28" spans="1:13" ht="18.75">
      <c r="A28" s="111">
        <v>27</v>
      </c>
      <c r="B28" s="113" t="s">
        <v>3333</v>
      </c>
      <c r="C28" s="113">
        <v>2095</v>
      </c>
      <c r="D28" s="113" t="str">
        <f>=VLOOKUP(B28,[2]在校生综合信息查询!$A$792:$C$833,2,0)</f>
        <v>24q660103187</v>
      </c>
      <c r="E28" s="114">
        <v>57</v>
      </c>
      <c r="F28" s="114">
        <v>8</v>
      </c>
      <c r="G28" s="114">
        <v>57.5</v>
      </c>
      <c r="H28" s="114">
        <v>77</v>
      </c>
      <c r="I28" s="115">
        <v>31</v>
      </c>
      <c r="J28" s="111">
        <v>34</v>
      </c>
      <c r="K28" s="115">
        <v>42</v>
      </c>
      <c r="L28" s="112" t="s"/>
      <c r="M28" s="112" t="s"/>
    </row>
    <row r="29" spans="1:13" ht="18.75">
      <c r="A29" s="111">
        <v>28</v>
      </c>
      <c r="B29" s="113" t="s">
        <v>3335</v>
      </c>
      <c r="C29" s="113">
        <v>2096</v>
      </c>
      <c r="D29" s="113" t="str">
        <f>=VLOOKUP(B29,[2]在校生综合信息查询!$A$792:$C$833,2,0)</f>
        <v>24q660103188</v>
      </c>
      <c r="E29" s="114">
        <v>58</v>
      </c>
      <c r="F29" s="114">
        <v>123</v>
      </c>
      <c r="G29" s="114">
        <v>44.5</v>
      </c>
      <c r="H29" s="114">
        <v>86</v>
      </c>
      <c r="I29" s="115">
        <v>64</v>
      </c>
      <c r="J29" s="111">
        <v>51</v>
      </c>
      <c r="K29" s="115">
        <v>63</v>
      </c>
      <c r="L29" s="112" t="s"/>
      <c r="M29" s="112" t="s"/>
    </row>
    <row r="30" spans="1:13" ht="18.75">
      <c r="A30" s="111">
        <v>29</v>
      </c>
      <c r="B30" s="113" t="s">
        <v>3337</v>
      </c>
      <c r="C30" s="113">
        <v>2097</v>
      </c>
      <c r="D30" s="113" t="str">
        <f>=VLOOKUP(B30,[2]在校生综合信息查询!$A$792:$C$833,2,0)</f>
        <v>24q660103189</v>
      </c>
      <c r="E30" s="114">
        <v>43</v>
      </c>
      <c r="F30" s="114">
        <v>68</v>
      </c>
      <c r="G30" s="114">
        <v>40</v>
      </c>
      <c r="H30" s="114">
        <v>53</v>
      </c>
      <c r="I30" s="115">
        <v>25</v>
      </c>
      <c r="J30" s="111">
        <v>32</v>
      </c>
      <c r="K30" s="115">
        <v>35</v>
      </c>
      <c r="L30" s="112" t="s"/>
      <c r="M30" s="112" t="s"/>
    </row>
    <row r="31" spans="1:13" ht="18.75">
      <c r="A31" s="111">
        <v>30</v>
      </c>
      <c r="B31" s="113" t="s">
        <v>3339</v>
      </c>
      <c r="C31" s="113">
        <v>2109</v>
      </c>
      <c r="D31" s="113" t="str">
        <f>=VLOOKUP(B31,[2]在校生综合信息查询!$A$792:$C$833,2,0)</f>
        <v>24q710103310</v>
      </c>
      <c r="E31" s="114">
        <v>50</v>
      </c>
      <c r="F31" s="114">
        <v>40</v>
      </c>
      <c r="G31" s="114">
        <v>55.5</v>
      </c>
      <c r="H31" s="114">
        <v>57</v>
      </c>
      <c r="I31" s="115">
        <v>36</v>
      </c>
      <c r="J31" s="111">
        <v>30</v>
      </c>
      <c r="K31" s="115">
        <v>51</v>
      </c>
      <c r="L31" s="112" t="s"/>
      <c r="M31" s="112" t="s"/>
    </row>
    <row r="32" spans="1:13" ht="18.75">
      <c r="A32" s="111">
        <v>31</v>
      </c>
      <c r="B32" s="113" t="s">
        <v>3341</v>
      </c>
      <c r="C32" s="113">
        <v>2098</v>
      </c>
      <c r="D32" s="113" t="str">
        <f>=VLOOKUP(B32,[2]在校生综合信息查询!$A$792:$C$833,2,0)</f>
        <v>24q660103190</v>
      </c>
      <c r="E32" s="114">
        <v>51</v>
      </c>
      <c r="F32" s="114">
        <v>95</v>
      </c>
      <c r="G32" s="114">
        <v>26</v>
      </c>
      <c r="H32" s="114">
        <v>71</v>
      </c>
      <c r="I32" s="115">
        <v>48</v>
      </c>
      <c r="J32" s="111">
        <v>61</v>
      </c>
      <c r="K32" s="115">
        <v>72</v>
      </c>
      <c r="L32" s="112" t="s"/>
      <c r="M32" s="112" t="s"/>
    </row>
    <row r="33" spans="1:13" ht="18.75">
      <c r="A33" s="111">
        <v>32</v>
      </c>
      <c r="B33" s="113" t="s">
        <v>3343</v>
      </c>
      <c r="C33" s="113">
        <v>2099</v>
      </c>
      <c r="D33" s="113" t="str">
        <f>=VLOOKUP(B33,[2]在校生综合信息查询!$A$792:$C$833,2,0)</f>
        <v>24q660103191</v>
      </c>
      <c r="E33" s="114">
        <v>47</v>
      </c>
      <c r="F33" s="114">
        <v>43</v>
      </c>
      <c r="G33" s="114">
        <v>35</v>
      </c>
      <c r="H33" s="114">
        <v>63</v>
      </c>
      <c r="I33" s="115">
        <v>37</v>
      </c>
      <c r="J33" s="111">
        <v>49</v>
      </c>
      <c r="K33" s="115">
        <v>55</v>
      </c>
      <c r="L33" s="112" t="s"/>
      <c r="M33" s="112" t="s"/>
    </row>
    <row r="34" spans="1:13" ht="18.75">
      <c r="A34" s="111">
        <v>33</v>
      </c>
      <c r="B34" s="113" t="s">
        <v>3345</v>
      </c>
      <c r="C34" s="113">
        <v>2100</v>
      </c>
      <c r="D34" s="113" t="str">
        <f>=VLOOKUP(B34,[2]在校生综合信息查询!$A$792:$C$833,2,0)</f>
        <v>24q660103192</v>
      </c>
      <c r="E34" s="114">
        <v>50</v>
      </c>
      <c r="F34" s="114">
        <v>35</v>
      </c>
      <c r="G34" s="114">
        <v>26</v>
      </c>
      <c r="H34" s="114">
        <v>73</v>
      </c>
      <c r="I34" s="115">
        <v>40</v>
      </c>
      <c r="J34" s="111">
        <v>47</v>
      </c>
      <c r="K34" s="115">
        <v>44</v>
      </c>
      <c r="L34" s="112" t="s"/>
      <c r="M34" s="112" t="s"/>
    </row>
    <row r="35" spans="1:13" ht="18.75">
      <c r="A35" s="111">
        <v>34</v>
      </c>
      <c r="B35" s="113" t="s">
        <v>3347</v>
      </c>
      <c r="C35" s="113">
        <v>2101</v>
      </c>
      <c r="D35" s="113" t="str">
        <f>=VLOOKUP(B35,[2]在校生综合信息查询!$A$792:$C$833,2,0)</f>
        <v>24q660103194</v>
      </c>
      <c r="E35" s="114">
        <v>39</v>
      </c>
      <c r="F35" s="114">
        <v>75</v>
      </c>
      <c r="G35" s="114">
        <v>48.5</v>
      </c>
      <c r="H35" s="114">
        <v>75</v>
      </c>
      <c r="I35" s="115">
        <v>47</v>
      </c>
      <c r="J35" s="111">
        <v>43</v>
      </c>
      <c r="K35" s="115">
        <v>68</v>
      </c>
      <c r="L35" s="112" t="s"/>
      <c r="M35" s="112" t="s"/>
    </row>
    <row r="36" spans="1:13" ht="18.75">
      <c r="A36" s="111">
        <v>35</v>
      </c>
      <c r="B36" s="113" t="s">
        <v>3349</v>
      </c>
      <c r="C36" s="113">
        <v>2102</v>
      </c>
      <c r="D36" s="113" t="str">
        <f>=VLOOKUP(B36,[2]在校生综合信息查询!$A$792:$C$833,2,0)</f>
        <v>24q660103195</v>
      </c>
      <c r="E36" s="114">
        <v>37</v>
      </c>
      <c r="F36" s="114">
        <v>22</v>
      </c>
      <c r="G36" s="114">
        <v>46</v>
      </c>
      <c r="H36" s="114">
        <v>54</v>
      </c>
      <c r="I36" s="115">
        <v>35</v>
      </c>
      <c r="J36" s="111">
        <v>22</v>
      </c>
      <c r="K36" s="115">
        <v>25</v>
      </c>
      <c r="L36" s="112" t="s"/>
      <c r="M36" s="112" t="s"/>
    </row>
    <row r="37" spans="1:13" ht="18.75">
      <c r="A37" s="111">
        <v>36</v>
      </c>
      <c r="B37" s="113" t="s">
        <v>3351</v>
      </c>
      <c r="C37" s="113">
        <v>2103</v>
      </c>
      <c r="D37" s="113" t="str">
        <f>=VLOOKUP(B37,[2]在校生综合信息查询!$A$792:$C$833,2,0)</f>
        <v>24q660103196</v>
      </c>
      <c r="E37" s="114">
        <v>60</v>
      </c>
      <c r="F37" s="114">
        <v>29</v>
      </c>
      <c r="G37" s="114">
        <v>59.5</v>
      </c>
      <c r="H37" s="114">
        <v>55</v>
      </c>
      <c r="I37" s="115">
        <v>37</v>
      </c>
      <c r="J37" s="111">
        <v>40</v>
      </c>
      <c r="K37" s="115">
        <v>29</v>
      </c>
      <c r="L37" s="112" t="s"/>
      <c r="M37" s="112" t="s"/>
    </row>
    <row r="38" spans="1:13" ht="18.75">
      <c r="A38" s="111">
        <v>37</v>
      </c>
      <c r="B38" s="113" t="s">
        <v>3353</v>
      </c>
      <c r="C38" s="113">
        <v>2104</v>
      </c>
      <c r="D38" s="113" t="str">
        <f>=VLOOKUP(B38,[2]在校生综合信息查询!$A$792:$C$833,2,0)</f>
        <v>24q660103197</v>
      </c>
      <c r="E38" s="114">
        <v>32</v>
      </c>
      <c r="F38" s="114">
        <v>32</v>
      </c>
      <c r="G38" s="114">
        <v>52</v>
      </c>
      <c r="H38" s="114">
        <v>67</v>
      </c>
      <c r="I38" s="115">
        <v>36</v>
      </c>
      <c r="J38" s="111">
        <v>63</v>
      </c>
      <c r="K38" s="115">
        <v>33</v>
      </c>
      <c r="L38" s="112" t="s"/>
      <c r="M38" s="112" t="s"/>
    </row>
    <row r="39" spans="1:13" ht="18.75">
      <c r="A39" s="111">
        <v>38</v>
      </c>
      <c r="B39" s="113" t="s">
        <v>3355</v>
      </c>
      <c r="C39" s="113">
        <v>2105</v>
      </c>
      <c r="D39" s="113" t="str">
        <f>=VLOOKUP(B39,[2]在校生综合信息查询!$A$792:$C$833,2,0)</f>
        <v>24q660103198</v>
      </c>
      <c r="E39" s="114">
        <v>70</v>
      </c>
      <c r="F39" s="114">
        <v>111</v>
      </c>
      <c r="G39" s="114">
        <v>47.5</v>
      </c>
      <c r="H39" s="114">
        <v>92</v>
      </c>
      <c r="I39" s="115">
        <v>63</v>
      </c>
      <c r="J39" s="111">
        <v>66</v>
      </c>
      <c r="K39" s="115">
        <v>54</v>
      </c>
      <c r="L39" s="112" t="s"/>
      <c r="M39" s="112" t="s"/>
    </row>
    <row r="40" spans="1:13" ht="18.75">
      <c r="A40" s="111">
        <v>39</v>
      </c>
      <c r="B40" s="113" t="s">
        <v>3357</v>
      </c>
      <c r="C40" s="113">
        <v>2112</v>
      </c>
      <c r="D40" s="113" t="str">
        <f>=VLOOKUP(B40,[2]在校生综合信息查询!$A$792:$C$833,2,0)</f>
        <v>24q660103199</v>
      </c>
      <c r="E40" s="114">
        <v>49</v>
      </c>
      <c r="F40" s="114">
        <v>46</v>
      </c>
      <c r="G40" s="114">
        <v>27</v>
      </c>
      <c r="H40" s="114">
        <v>49</v>
      </c>
      <c r="I40" s="115">
        <v>33</v>
      </c>
      <c r="J40" s="111">
        <v>31</v>
      </c>
      <c r="K40" s="115">
        <v>37</v>
      </c>
      <c r="L40" s="112" t="s"/>
      <c r="M40" s="112" t="s"/>
    </row>
    <row r="41" spans="1:13" ht="18.75">
      <c r="A41" s="111">
        <v>40</v>
      </c>
      <c r="B41" s="113" t="s">
        <v>2754</v>
      </c>
      <c r="C41" s="113">
        <v>2106</v>
      </c>
      <c r="D41" s="113" t="str">
        <f>=VLOOKUP(B41,[2]在校生综合信息查询!$A$792:$C$833,2,0)</f>
        <v>24q660103201</v>
      </c>
      <c r="E41" s="114">
        <v>80</v>
      </c>
      <c r="F41" s="114">
        <v>86</v>
      </c>
      <c r="G41" s="114">
        <v>70.5</v>
      </c>
      <c r="H41" s="114">
        <v>74</v>
      </c>
      <c r="I41" s="115">
        <v>43</v>
      </c>
      <c r="J41" s="111">
        <v>50</v>
      </c>
      <c r="K41" s="115">
        <v>30</v>
      </c>
      <c r="L41" s="112" t="s"/>
      <c r="M41" s="112" t="s"/>
    </row>
    <row r="42" spans="1:13" ht="18.75">
      <c r="A42" s="111">
        <v>41</v>
      </c>
      <c r="B42" s="113" t="s">
        <v>3360</v>
      </c>
      <c r="C42" s="113">
        <v>2107</v>
      </c>
      <c r="D42" s="113" t="str">
        <f>=VLOOKUP(B42,[2]在校生综合信息查询!$A$792:$C$833,2,0)</f>
        <v>24q660103202</v>
      </c>
      <c r="E42" s="114">
        <v>67</v>
      </c>
      <c r="F42" s="114">
        <v>37</v>
      </c>
      <c r="G42" s="114">
        <v>62.5</v>
      </c>
      <c r="H42" s="114">
        <v>58</v>
      </c>
      <c r="I42" s="115">
        <v>54</v>
      </c>
      <c r="J42" s="111">
        <v>42</v>
      </c>
      <c r="K42" s="115">
        <v>37</v>
      </c>
      <c r="L42" s="112" t="s"/>
      <c r="M42" s="112" t="s"/>
    </row>
    <row r="43" spans="1:13" ht="18.75">
      <c r="A43" s="111">
        <v>42</v>
      </c>
      <c r="B43" s="113" t="s">
        <v>3362</v>
      </c>
      <c r="C43" s="113">
        <v>2108</v>
      </c>
      <c r="D43" s="113" t="str">
        <f>=VLOOKUP(B43,[2]在校生综合信息查询!$A$792:$C$833,2,0)</f>
        <v>24q660103203</v>
      </c>
      <c r="E43" s="114">
        <v>77</v>
      </c>
      <c r="F43" s="114">
        <v>56</v>
      </c>
      <c r="G43" s="114">
        <v>49</v>
      </c>
      <c r="H43" s="114">
        <v>57</v>
      </c>
      <c r="I43" s="115">
        <v>39</v>
      </c>
      <c r="J43" s="111">
        <v>29</v>
      </c>
      <c r="K43" s="115">
        <v>41</v>
      </c>
      <c r="L43" s="112" t="s"/>
      <c r="M43" s="112" t="s"/>
    </row>
  </sheetData>
  <autoFilter ref="I1:I43">
    <sortState ref="I2:I43"/>
  </autoFilter>
  <pageMargins left="0.75" right="0.75" top="1" bottom="1" header="0.5" footer="0.5"/>
</worksheet>
</file>

<file path=xl/worksheets/sheet37.xml><?xml version="1.0" encoding="utf-8"?>
<worksheet xmlns="http://schemas.openxmlformats.org/spreadsheetml/2006/main">
  <sheetPr/>
  <dimension ref="L33"/>
  <sheetViews>
    <sheetView showGridLines="1" topLeftCell="A28" workbookViewId="0"/>
  </sheetViews>
  <sheetFormatPr defaultColWidth="8.75" defaultRowHeight="13.5"/>
  <cols>
    <col min="1" max="1" width="8.75" style="123"/>
    <col min="2" max="2" width="9.5" style="123"/>
    <col min="3" max="3" width="0" style="123" hidden="1" customWidth="1"/>
    <col min="4" max="4" width="22.625" style="123" customWidth="1"/>
    <col min="5" max="7" width="8.75" style="123"/>
    <col min="8" max="10" width="13" style="123" customWidth="1"/>
  </cols>
  <sheetData>
    <row r="1" spans="1:12" ht="18.75">
      <c r="A1" s="116" t="s">
        <v>1</v>
      </c>
      <c r="B1" s="117" t="s">
        <v>2</v>
      </c>
      <c r="C1" s="117" t="s">
        <v>3</v>
      </c>
      <c r="D1" s="117" t="s">
        <v>4</v>
      </c>
      <c r="E1" s="117" t="s">
        <v>5</v>
      </c>
      <c r="F1" s="117" t="s">
        <v>6</v>
      </c>
      <c r="G1" s="117" t="s">
        <v>7</v>
      </c>
      <c r="H1" s="117" t="s">
        <v>1765</v>
      </c>
      <c r="I1" s="117" t="s">
        <v>1764</v>
      </c>
      <c r="J1" s="117" t="s">
        <v>1766</v>
      </c>
      <c r="K1" s="118" t="s">
        <v>11</v>
      </c>
      <c r="L1" s="118" t="s">
        <v>12</v>
      </c>
    </row>
    <row r="2" spans="1:12" ht="18.75">
      <c r="A2" s="4">
        <v>1</v>
      </c>
      <c r="B2" s="4" t="s">
        <v>3364</v>
      </c>
      <c r="C2" s="4">
        <v>2041</v>
      </c>
      <c r="D2" s="4" t="str">
        <f>=VLOOKUP(B2,[2]在校生综合信息查询!$A$834:$C$865,2,0)</f>
        <v>24q770303001</v>
      </c>
      <c r="E2" s="12">
        <v>53</v>
      </c>
      <c r="F2" s="12">
        <v>5</v>
      </c>
      <c r="G2" s="12">
        <v>21</v>
      </c>
      <c r="H2" s="12">
        <v>9</v>
      </c>
      <c r="I2" s="12">
        <v>12</v>
      </c>
      <c r="J2" s="12">
        <v>16</v>
      </c>
      <c r="K2" s="5" t="s"/>
      <c r="L2" s="5" t="s"/>
    </row>
    <row r="3" spans="1:12" ht="18.75">
      <c r="A3" s="4">
        <v>2</v>
      </c>
      <c r="B3" s="4" t="s">
        <v>3366</v>
      </c>
      <c r="C3" s="4">
        <v>2042</v>
      </c>
      <c r="D3" s="4" t="str">
        <f>=VLOOKUP(B3,[2]在校生综合信息查询!$A$834:$C$865,2,0)</f>
        <v>24q770303004</v>
      </c>
      <c r="E3" s="12">
        <v>52</v>
      </c>
      <c r="F3" s="12">
        <v>10</v>
      </c>
      <c r="G3" s="12">
        <v>29</v>
      </c>
      <c r="H3" s="12">
        <v>15</v>
      </c>
      <c r="I3" s="12">
        <v>22</v>
      </c>
      <c r="J3" s="12">
        <v>12</v>
      </c>
      <c r="K3" s="5" t="s"/>
      <c r="L3" s="5" t="s"/>
    </row>
    <row r="4" spans="1:12" ht="18.75">
      <c r="A4" s="4">
        <v>3</v>
      </c>
      <c r="B4" s="4" t="s">
        <v>3368</v>
      </c>
      <c r="C4" s="4">
        <v>2067</v>
      </c>
      <c r="D4" s="4" t="str">
        <f>=VLOOKUP(B4,[2]在校生综合信息查询!$A$834:$C$865,2,0)</f>
        <v>24q710201071</v>
      </c>
      <c r="E4" s="12">
        <v>61</v>
      </c>
      <c r="F4" s="12">
        <v>61</v>
      </c>
      <c r="G4" s="12">
        <v>41.5</v>
      </c>
      <c r="H4" s="12">
        <v>38</v>
      </c>
      <c r="I4" s="12">
        <v>10</v>
      </c>
      <c r="J4" s="12">
        <v>39</v>
      </c>
      <c r="K4" s="5" t="s"/>
      <c r="L4" s="5" t="s"/>
    </row>
    <row r="5" spans="1:12" ht="18.75">
      <c r="A5" s="4">
        <v>4</v>
      </c>
      <c r="B5" s="4" t="s">
        <v>3370</v>
      </c>
      <c r="C5" s="4">
        <v>2043</v>
      </c>
      <c r="D5" s="4" t="str">
        <f>=VLOOKUP(B5,[2]在校生综合信息查询!$A$834:$C$865,2,0)</f>
        <v>24q770303005</v>
      </c>
      <c r="E5" s="12">
        <v>4</v>
      </c>
      <c r="F5" s="12">
        <v>15</v>
      </c>
      <c r="G5" s="12">
        <v>21</v>
      </c>
      <c r="H5" s="12">
        <v>12</v>
      </c>
      <c r="I5" s="12">
        <v>9</v>
      </c>
      <c r="J5" s="12">
        <v>12</v>
      </c>
      <c r="K5" s="5" t="s"/>
      <c r="L5" s="5" t="s"/>
    </row>
    <row r="6" spans="1:12" ht="18.75">
      <c r="A6" s="4">
        <v>5</v>
      </c>
      <c r="B6" s="4" t="s">
        <v>3372</v>
      </c>
      <c r="C6" s="4">
        <v>2070</v>
      </c>
      <c r="D6" s="4" t="str">
        <f>=VLOOKUP(B6,[2]在校生综合信息查询!$A$834:$C$865,2,0)</f>
        <v>MK20241188</v>
      </c>
      <c r="E6" s="12">
        <v>10</v>
      </c>
      <c r="F6" s="12">
        <v>32</v>
      </c>
      <c r="G6" s="12">
        <v>26</v>
      </c>
      <c r="H6" s="12">
        <v>12</v>
      </c>
      <c r="I6" s="12">
        <v>6</v>
      </c>
      <c r="J6" s="12">
        <v>12</v>
      </c>
      <c r="K6" s="5" t="s"/>
      <c r="L6" s="5" t="s"/>
    </row>
    <row r="7" spans="1:12" ht="18.75">
      <c r="A7" s="4">
        <v>6</v>
      </c>
      <c r="B7" s="4" t="s">
        <v>3374</v>
      </c>
      <c r="C7" s="4">
        <v>2044</v>
      </c>
      <c r="D7" s="4" t="str">
        <f>=VLOOKUP(B7,[2]在校生综合信息查询!$A$834:$C$865,2,0)</f>
        <v>24q770303010</v>
      </c>
      <c r="E7" s="12">
        <v>38</v>
      </c>
      <c r="F7" s="12">
        <v>22</v>
      </c>
      <c r="G7" s="12">
        <v>26</v>
      </c>
      <c r="H7" s="12">
        <v>23</v>
      </c>
      <c r="I7" s="12">
        <v>9</v>
      </c>
      <c r="J7" s="12">
        <v>24</v>
      </c>
      <c r="K7" s="5" t="s"/>
      <c r="L7" s="5" t="s"/>
    </row>
    <row r="8" spans="1:12" ht="18.75">
      <c r="A8" s="4">
        <v>7</v>
      </c>
      <c r="B8" s="4" t="s">
        <v>3376</v>
      </c>
      <c r="C8" s="4">
        <v>2045</v>
      </c>
      <c r="D8" s="4" t="str">
        <f>=VLOOKUP(B8,[2]在校生综合信息查询!$A$834:$C$865,2,0)</f>
        <v>24q770303011</v>
      </c>
      <c r="E8" s="12">
        <v>44</v>
      </c>
      <c r="F8" s="12">
        <v>15</v>
      </c>
      <c r="G8" s="12">
        <v>4.5</v>
      </c>
      <c r="H8" s="12">
        <v>9</v>
      </c>
      <c r="I8" s="12">
        <v>18</v>
      </c>
      <c r="J8" s="12">
        <v>32</v>
      </c>
      <c r="K8" s="5" t="s"/>
      <c r="L8" s="5" t="s"/>
    </row>
    <row r="9" spans="1:12" ht="18.75">
      <c r="A9" s="4">
        <v>8</v>
      </c>
      <c r="B9" s="4" t="s">
        <v>3026</v>
      </c>
      <c r="C9" s="4">
        <v>2046</v>
      </c>
      <c r="D9" s="4" t="str">
        <f>=VLOOKUP(B9,[2]在校生综合信息查询!$A$834:$C$865,2,0)</f>
        <v>24q770303014</v>
      </c>
      <c r="E9" s="12" t="s"/>
      <c r="F9" s="4" t="s"/>
      <c r="G9" s="4" t="s"/>
      <c r="H9" s="12">
        <v>0</v>
      </c>
      <c r="I9" s="12">
        <v>0</v>
      </c>
      <c r="J9" s="12">
        <v>0</v>
      </c>
      <c r="K9" s="5" t="s"/>
      <c r="L9" s="5" t="s"/>
    </row>
    <row r="10" spans="1:12" ht="18.75">
      <c r="A10" s="4">
        <v>9</v>
      </c>
      <c r="B10" s="4" t="s">
        <v>3379</v>
      </c>
      <c r="C10" s="4">
        <v>2047</v>
      </c>
      <c r="D10" s="4" t="str">
        <f>=VLOOKUP(B10,[2]在校生综合信息查询!$A$834:$C$865,2,0)</f>
        <v>24q770303015</v>
      </c>
      <c r="E10" s="12">
        <v>64</v>
      </c>
      <c r="F10" s="12">
        <v>36</v>
      </c>
      <c r="G10" s="12">
        <v>40</v>
      </c>
      <c r="H10" s="12">
        <v>38</v>
      </c>
      <c r="I10" s="12">
        <v>31</v>
      </c>
      <c r="J10" s="12">
        <v>50</v>
      </c>
      <c r="K10" s="5" t="s"/>
      <c r="L10" s="5" t="s"/>
    </row>
    <row r="11" spans="1:12" ht="18.75">
      <c r="A11" s="4">
        <v>10</v>
      </c>
      <c r="B11" s="4" t="s">
        <v>3381</v>
      </c>
      <c r="C11" s="4">
        <v>2048</v>
      </c>
      <c r="D11" s="4" t="str">
        <f>=VLOOKUP(B11,[2]在校生综合信息查询!$A$834:$C$865,2,0)</f>
        <v>24q770303016</v>
      </c>
      <c r="E11" s="12">
        <v>80</v>
      </c>
      <c r="F11" s="12">
        <v>86</v>
      </c>
      <c r="G11" s="12">
        <v>26</v>
      </c>
      <c r="H11" s="12">
        <v>36</v>
      </c>
      <c r="I11" s="12">
        <v>40</v>
      </c>
      <c r="J11" s="12">
        <v>51</v>
      </c>
      <c r="K11" s="5" t="s"/>
      <c r="L11" s="5" t="s"/>
    </row>
    <row r="12" spans="1:12" ht="18.75">
      <c r="A12" s="4">
        <v>11</v>
      </c>
      <c r="B12" s="4" t="s">
        <v>3383</v>
      </c>
      <c r="C12" s="4">
        <v>2059</v>
      </c>
      <c r="D12" s="4" t="str">
        <f>=VLOOKUP(B12,[2]在校生综合信息查询!$A$834:$C$865,2,0)</f>
        <v>24q71010328610</v>
      </c>
      <c r="E12" s="12">
        <v>67</v>
      </c>
      <c r="F12" s="12">
        <v>26</v>
      </c>
      <c r="G12" s="12">
        <v>24.5</v>
      </c>
      <c r="H12" s="12">
        <v>24</v>
      </c>
      <c r="I12" s="12">
        <v>14</v>
      </c>
      <c r="J12" s="12">
        <v>40</v>
      </c>
      <c r="K12" s="5" t="s"/>
      <c r="L12" s="5" t="s"/>
    </row>
    <row r="13" spans="1:12" ht="18.75">
      <c r="A13" s="4">
        <v>12</v>
      </c>
      <c r="B13" s="4" t="s">
        <v>3385</v>
      </c>
      <c r="C13" s="4">
        <v>2060</v>
      </c>
      <c r="D13" s="4" t="str">
        <f>=VLOOKUP(B13,[2]在校生综合信息查询!$A$834:$C$865,2,0)</f>
        <v>24q71010328611</v>
      </c>
      <c r="E13" s="12" t="s"/>
      <c r="F13" s="12" t="s"/>
      <c r="G13" s="12" t="s"/>
      <c r="H13" s="12">
        <v>0</v>
      </c>
      <c r="I13" s="12">
        <v>0</v>
      </c>
      <c r="J13" s="12">
        <v>0</v>
      </c>
      <c r="K13" s="5" t="s"/>
      <c r="L13" s="5" t="s"/>
    </row>
    <row r="14" spans="1:12" ht="18.75">
      <c r="A14" s="4">
        <v>13</v>
      </c>
      <c r="B14" s="4" t="s">
        <v>3387</v>
      </c>
      <c r="C14" s="4">
        <v>2065</v>
      </c>
      <c r="D14" s="4" t="str">
        <f>=VLOOKUP(B14,[2]在校生综合信息查询!$A$834:$C$865,2,0)</f>
        <v>24q710201118</v>
      </c>
      <c r="E14" s="12">
        <v>67</v>
      </c>
      <c r="F14" s="12">
        <v>69</v>
      </c>
      <c r="G14" s="12">
        <v>42.5</v>
      </c>
      <c r="H14" s="12">
        <v>24</v>
      </c>
      <c r="I14" s="12">
        <v>15</v>
      </c>
      <c r="J14" s="12">
        <v>32</v>
      </c>
      <c r="K14" s="5" t="s"/>
      <c r="L14" s="5" t="s"/>
    </row>
    <row r="15" spans="1:12" ht="18.75">
      <c r="A15" s="4">
        <v>14</v>
      </c>
      <c r="B15" s="4" t="s">
        <v>3389</v>
      </c>
      <c r="C15" s="4">
        <v>2066</v>
      </c>
      <c r="D15" s="4" t="str">
        <f>=VLOOKUP(B15,[2]在校生综合信息查询!$A$834:$C$865,2,0)</f>
        <v>24q710201077</v>
      </c>
      <c r="E15" s="12">
        <v>5</v>
      </c>
      <c r="F15" s="12">
        <v>42</v>
      </c>
      <c r="G15" s="12">
        <v>48</v>
      </c>
      <c r="H15" s="12">
        <v>12</v>
      </c>
      <c r="I15" s="12">
        <v>21</v>
      </c>
      <c r="J15" s="12">
        <v>4</v>
      </c>
      <c r="K15" s="5" t="s"/>
      <c r="L15" s="5" t="s"/>
    </row>
    <row r="16" spans="1:12" ht="18.75">
      <c r="A16" s="4">
        <v>15</v>
      </c>
      <c r="B16" s="4" t="s">
        <v>3391</v>
      </c>
      <c r="C16" s="4">
        <v>2049</v>
      </c>
      <c r="D16" s="4" t="str">
        <f>=VLOOKUP(B16,[2]在校生综合信息查询!$A$834:$C$865,2,0)</f>
        <v>24q770303018</v>
      </c>
      <c r="E16" s="12">
        <v>65</v>
      </c>
      <c r="F16" s="12">
        <v>46</v>
      </c>
      <c r="G16" s="12">
        <v>33.5</v>
      </c>
      <c r="H16" s="12">
        <v>28</v>
      </c>
      <c r="I16" s="12">
        <v>23</v>
      </c>
      <c r="J16" s="12">
        <v>27</v>
      </c>
      <c r="K16" s="5" t="s"/>
      <c r="L16" s="5" t="s"/>
    </row>
    <row r="17" spans="1:12" ht="18.75">
      <c r="A17" s="4">
        <v>16</v>
      </c>
      <c r="B17" s="4" t="s">
        <v>3393</v>
      </c>
      <c r="C17" s="4">
        <v>2063</v>
      </c>
      <c r="D17" s="4" t="str">
        <f>=VLOOKUP(B17,[2]在校生综合信息查询!$A$834:$C$865,2,0)</f>
        <v>24q710201169</v>
      </c>
      <c r="E17" s="12">
        <v>37</v>
      </c>
      <c r="F17" s="12">
        <v>41</v>
      </c>
      <c r="G17" s="12">
        <v>27</v>
      </c>
      <c r="H17" s="12">
        <v>0</v>
      </c>
      <c r="I17" s="12">
        <v>0</v>
      </c>
      <c r="J17" s="12">
        <v>0</v>
      </c>
      <c r="K17" s="5" t="s"/>
      <c r="L17" s="5" t="s"/>
    </row>
    <row r="18" spans="1:12" ht="18.75">
      <c r="A18" s="4">
        <v>17</v>
      </c>
      <c r="B18" s="4" t="s">
        <v>3395</v>
      </c>
      <c r="C18" s="4">
        <v>2050</v>
      </c>
      <c r="D18" s="4" t="str">
        <f>=VLOOKUP(B18,[2]在校生综合信息查询!$A$834:$C$865,2,0)</f>
        <v>24q770303023</v>
      </c>
      <c r="E18" s="4" t="s"/>
      <c r="F18" s="4" t="s"/>
      <c r="G18" s="4" t="s"/>
      <c r="H18" s="12">
        <v>0</v>
      </c>
      <c r="I18" s="12">
        <v>0</v>
      </c>
      <c r="J18" s="12">
        <v>0</v>
      </c>
      <c r="K18" s="5" t="s"/>
      <c r="L18" s="5" t="s"/>
    </row>
    <row r="19" spans="1:12" ht="18.75">
      <c r="A19" s="4">
        <v>18</v>
      </c>
      <c r="B19" s="4" t="s">
        <v>3397</v>
      </c>
      <c r="C19" s="4">
        <v>2051</v>
      </c>
      <c r="D19" s="4" t="str">
        <f>=VLOOKUP(B19,[2]在校生综合信息查询!$A$834:$C$865,2,0)</f>
        <v>24q770303024</v>
      </c>
      <c r="E19" s="4" t="s"/>
      <c r="F19" s="12">
        <v>20</v>
      </c>
      <c r="G19" s="12">
        <v>26</v>
      </c>
      <c r="H19" s="12">
        <v>0</v>
      </c>
      <c r="I19" s="12">
        <v>0</v>
      </c>
      <c r="J19" s="12">
        <v>0</v>
      </c>
      <c r="K19" s="5" t="s"/>
      <c r="L19" s="5" t="s"/>
    </row>
    <row r="20" spans="1:12" ht="18.75">
      <c r="A20" s="4">
        <v>19</v>
      </c>
      <c r="B20" s="4" t="s">
        <v>3399</v>
      </c>
      <c r="C20" s="4">
        <v>2052</v>
      </c>
      <c r="D20" s="4" t="str">
        <f>=VLOOKUP(B20,[2]在校生综合信息查询!$A$834:$C$865,2,0)</f>
        <v>24q770303025</v>
      </c>
      <c r="E20" s="12">
        <v>18</v>
      </c>
      <c r="F20" s="12">
        <v>43</v>
      </c>
      <c r="G20" s="12">
        <v>24.5</v>
      </c>
      <c r="H20" s="12">
        <v>12</v>
      </c>
      <c r="I20" s="12">
        <v>9</v>
      </c>
      <c r="J20" s="12">
        <v>16</v>
      </c>
      <c r="K20" s="5" t="s"/>
      <c r="L20" s="5" t="s"/>
    </row>
    <row r="21" spans="1:12" ht="18.75">
      <c r="A21" s="4">
        <v>20</v>
      </c>
      <c r="B21" s="4" t="s">
        <v>3401</v>
      </c>
      <c r="C21" s="4">
        <v>2053</v>
      </c>
      <c r="D21" s="4" t="str">
        <f>=VLOOKUP(B21,[2]在校生综合信息查询!$A$834:$C$865,2,0)</f>
        <v>24q770303026</v>
      </c>
      <c r="E21" s="12">
        <v>6</v>
      </c>
      <c r="F21" s="12">
        <v>10</v>
      </c>
      <c r="G21" s="12">
        <v>21</v>
      </c>
      <c r="H21" s="12">
        <v>8</v>
      </c>
      <c r="I21" s="12">
        <v>15</v>
      </c>
      <c r="J21" s="12">
        <v>16</v>
      </c>
      <c r="K21" s="5" t="s"/>
      <c r="L21" s="5" t="s"/>
    </row>
    <row r="22" spans="1:12" ht="18.75">
      <c r="A22" s="4">
        <v>21</v>
      </c>
      <c r="B22" s="4" t="s">
        <v>3403</v>
      </c>
      <c r="C22" s="4">
        <v>2054</v>
      </c>
      <c r="D22" s="4" t="str">
        <f>=VLOOKUP(B22,[2]在校生综合信息查询!$A$834:$C$865,2,0)</f>
        <v>24q770303030</v>
      </c>
      <c r="E22" s="12">
        <v>37</v>
      </c>
      <c r="F22" s="12">
        <v>16</v>
      </c>
      <c r="G22" s="12">
        <v>28</v>
      </c>
      <c r="H22" s="12">
        <v>18</v>
      </c>
      <c r="I22" s="12">
        <v>24</v>
      </c>
      <c r="J22" s="12">
        <v>8</v>
      </c>
      <c r="K22" s="5" t="s"/>
      <c r="L22" s="5" t="s"/>
    </row>
    <row r="23" spans="1:12" ht="18.75">
      <c r="A23" s="4">
        <v>22</v>
      </c>
      <c r="B23" s="4" t="s">
        <v>3405</v>
      </c>
      <c r="C23" s="4">
        <v>2072</v>
      </c>
      <c r="D23" s="4" t="e">
        <f>=VLOOKUP(B23,[2]在校生综合信息查询!$A$834:$C$865,2,0)</f>
        <v>#N/A</v>
      </c>
      <c r="E23" s="12">
        <v>69</v>
      </c>
      <c r="F23" s="12">
        <v>43</v>
      </c>
      <c r="G23" s="12">
        <v>31</v>
      </c>
      <c r="H23" s="12">
        <v>32</v>
      </c>
      <c r="I23" s="12">
        <v>32</v>
      </c>
      <c r="J23" s="12">
        <v>30</v>
      </c>
      <c r="K23" s="5" t="s"/>
      <c r="L23" s="5" t="s"/>
    </row>
    <row r="24" spans="1:12" ht="18.75">
      <c r="A24" s="4">
        <v>23</v>
      </c>
      <c r="B24" s="4" t="s">
        <v>3406</v>
      </c>
      <c r="C24" s="4">
        <v>2055</v>
      </c>
      <c r="D24" s="4" t="str">
        <f>=VLOOKUP(B24,[2]在校生综合信息查询!$A$834:$C$865,2,0)</f>
        <v>24q770303034</v>
      </c>
      <c r="E24" s="12">
        <v>68</v>
      </c>
      <c r="F24" s="12">
        <v>36</v>
      </c>
      <c r="G24" s="12">
        <v>39.5</v>
      </c>
      <c r="H24" s="12">
        <v>31</v>
      </c>
      <c r="I24" s="12">
        <v>32</v>
      </c>
      <c r="J24" s="12">
        <v>39</v>
      </c>
      <c r="K24" s="5" t="s"/>
      <c r="L24" s="5" t="s"/>
    </row>
    <row r="25" spans="1:12" ht="18.75">
      <c r="A25" s="4">
        <v>24</v>
      </c>
      <c r="B25" s="4" t="s">
        <v>3408</v>
      </c>
      <c r="C25" s="4">
        <v>2056</v>
      </c>
      <c r="D25" s="4" t="str">
        <f>=VLOOKUP(B25,[2]在校生综合信息查询!$A$834:$C$865,2,0)</f>
        <v>24q770303038</v>
      </c>
      <c r="E25" s="12">
        <v>72</v>
      </c>
      <c r="F25" s="12">
        <v>10</v>
      </c>
      <c r="G25" s="12">
        <v>21</v>
      </c>
      <c r="H25" s="12">
        <v>30</v>
      </c>
      <c r="I25" s="12">
        <v>19</v>
      </c>
      <c r="J25" s="12">
        <v>19</v>
      </c>
      <c r="K25" s="5" t="s"/>
      <c r="L25" s="5" t="s"/>
    </row>
    <row r="26" spans="1:12" ht="18.75">
      <c r="A26" s="4">
        <v>25</v>
      </c>
      <c r="B26" s="4" t="s">
        <v>3410</v>
      </c>
      <c r="C26" s="4">
        <v>2064</v>
      </c>
      <c r="D26" s="4" t="str">
        <f>=VLOOKUP(B26,[2]在校生综合信息查询!$A$834:$C$865,2,0)</f>
        <v>24q710201097</v>
      </c>
      <c r="E26" s="12">
        <v>63</v>
      </c>
      <c r="F26" s="12">
        <v>97</v>
      </c>
      <c r="G26" s="12">
        <v>29.5</v>
      </c>
      <c r="H26" s="12">
        <v>27</v>
      </c>
      <c r="I26" s="12">
        <v>15</v>
      </c>
      <c r="J26" s="12">
        <v>22</v>
      </c>
      <c r="K26" s="5" t="s"/>
      <c r="L26" s="5" t="s"/>
    </row>
    <row r="27" spans="1:12" ht="18.75">
      <c r="A27" s="4">
        <v>26</v>
      </c>
      <c r="B27" s="4" t="s">
        <v>3412</v>
      </c>
      <c r="C27" s="4">
        <v>2062</v>
      </c>
      <c r="D27" s="4" t="str">
        <f>=VLOOKUP(B27,[2]在校生综合信息查询!$A$834:$C$865,2,0)</f>
        <v>24q710103084</v>
      </c>
      <c r="E27" s="12">
        <v>39</v>
      </c>
      <c r="F27" s="12">
        <v>25</v>
      </c>
      <c r="G27" s="12">
        <v>14</v>
      </c>
      <c r="H27" s="12">
        <v>9</v>
      </c>
      <c r="I27" s="12">
        <v>6</v>
      </c>
      <c r="J27" s="12">
        <v>20</v>
      </c>
      <c r="K27" s="5" t="s"/>
      <c r="L27" s="5" t="s"/>
    </row>
    <row r="28" spans="1:12" ht="18.75">
      <c r="A28" s="4">
        <v>27</v>
      </c>
      <c r="B28" s="4" t="s">
        <v>3414</v>
      </c>
      <c r="C28" s="4">
        <v>2071</v>
      </c>
      <c r="D28" s="4" t="str">
        <f>=VLOOKUP(B28,[2]在校生综合信息查询!$A$834:$C$865,2,0)</f>
        <v>24q710103986331</v>
      </c>
      <c r="E28" s="4" t="s"/>
      <c r="F28" s="4" t="s"/>
      <c r="G28" s="4" t="s"/>
      <c r="H28" s="12">
        <v>50</v>
      </c>
      <c r="I28" s="12">
        <v>39</v>
      </c>
      <c r="J28" s="12">
        <v>30</v>
      </c>
      <c r="K28" s="5" t="s"/>
      <c r="L28" s="5" t="s"/>
    </row>
    <row r="29" spans="1:12" ht="18.75">
      <c r="A29" s="4">
        <v>28</v>
      </c>
      <c r="B29" s="4" t="s">
        <v>3416</v>
      </c>
      <c r="C29" s="4">
        <v>2069</v>
      </c>
      <c r="D29" s="4" t="str">
        <f>=VLOOKUP(B29,[2]在校生综合信息查询!$A$834:$C$865,2,0)</f>
        <v>2431049</v>
      </c>
      <c r="E29" s="12">
        <v>51</v>
      </c>
      <c r="F29" s="12">
        <v>15</v>
      </c>
      <c r="G29" s="12">
        <v>32</v>
      </c>
      <c r="H29" s="12">
        <v>9</v>
      </c>
      <c r="I29" s="12">
        <v>24</v>
      </c>
      <c r="J29" s="12">
        <v>12</v>
      </c>
      <c r="K29" s="5" t="s"/>
      <c r="L29" s="5" t="s"/>
    </row>
    <row r="30" spans="1:12" ht="18.75">
      <c r="A30" s="4">
        <v>29</v>
      </c>
      <c r="B30" s="4" t="s">
        <v>3418</v>
      </c>
      <c r="C30" s="4">
        <v>2061</v>
      </c>
      <c r="D30" s="4" t="str">
        <f>=VLOOKUP(B30,[2]在校生综合信息查询!$A$834:$C$865,2,0)</f>
        <v>24q710103325</v>
      </c>
      <c r="E30" s="12">
        <v>62</v>
      </c>
      <c r="F30" s="12">
        <v>40</v>
      </c>
      <c r="G30" s="12">
        <v>23.5</v>
      </c>
      <c r="H30" s="12">
        <v>18</v>
      </c>
      <c r="I30" s="12">
        <v>20</v>
      </c>
      <c r="J30" s="12">
        <v>29</v>
      </c>
      <c r="K30" s="5" t="s"/>
      <c r="L30" s="5" t="s"/>
    </row>
    <row r="31" spans="1:12" ht="18.75">
      <c r="A31" s="4">
        <v>30</v>
      </c>
      <c r="B31" s="4" t="s">
        <v>3420</v>
      </c>
      <c r="C31" s="4">
        <v>2057</v>
      </c>
      <c r="D31" s="4" t="str">
        <f>=VLOOKUP(B31,[2]在校生综合信息查询!$A$834:$C$865,2,0)</f>
        <v>24q770303044</v>
      </c>
      <c r="E31" s="12">
        <v>56</v>
      </c>
      <c r="F31" s="12">
        <v>10</v>
      </c>
      <c r="G31" s="12">
        <v>25</v>
      </c>
      <c r="H31" s="12">
        <v>19</v>
      </c>
      <c r="I31" s="12">
        <v>19</v>
      </c>
      <c r="J31" s="12">
        <v>20</v>
      </c>
      <c r="K31" s="5" t="s"/>
      <c r="L31" s="5" t="s"/>
    </row>
    <row r="32" spans="1:12" ht="18.75">
      <c r="A32" s="4">
        <v>31</v>
      </c>
      <c r="B32" s="4" t="s">
        <v>3422</v>
      </c>
      <c r="C32" s="4">
        <v>2058</v>
      </c>
      <c r="D32" s="4" t="str">
        <f>=VLOOKUP(B32,[2]在校生综合信息查询!$A$834:$C$865,2,0)</f>
        <v>24q770303045</v>
      </c>
      <c r="E32" s="12">
        <v>39</v>
      </c>
      <c r="F32" s="12">
        <v>35</v>
      </c>
      <c r="G32" s="12">
        <v>31</v>
      </c>
      <c r="H32" s="12">
        <v>12</v>
      </c>
      <c r="I32" s="12">
        <v>6</v>
      </c>
      <c r="J32" s="12">
        <v>16</v>
      </c>
      <c r="K32" s="5" t="s"/>
      <c r="L32" s="5" t="s"/>
    </row>
    <row r="33" spans="1:12" ht="18.75">
      <c r="A33" s="4">
        <v>32</v>
      </c>
      <c r="B33" s="4" t="s">
        <v>3424</v>
      </c>
      <c r="C33" s="4">
        <v>2068</v>
      </c>
      <c r="D33" s="4" t="str">
        <f>=VLOOKUP(B33,[2]在校生综合信息查询!$A$834:$C$865,2,0)</f>
        <v>5107424270439</v>
      </c>
      <c r="E33" s="12">
        <v>0</v>
      </c>
      <c r="F33" s="12">
        <v>10</v>
      </c>
      <c r="G33" s="12">
        <v>17</v>
      </c>
      <c r="H33" s="12">
        <v>0</v>
      </c>
      <c r="I33" s="12">
        <v>0</v>
      </c>
      <c r="J33" s="12">
        <v>0</v>
      </c>
      <c r="K33" s="5" t="s"/>
      <c r="L33" s="5" t="s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/>
  <dimension ref="L27"/>
  <sheetViews>
    <sheetView showGridLines="1" topLeftCell="A20" workbookViewId="0"/>
  </sheetViews>
  <sheetFormatPr defaultColWidth="8.75" defaultRowHeight="18.75"/>
  <cols>
    <col min="1" max="1" width="8.75" style="122"/>
    <col min="2" max="2" width="7.75" style="127"/>
    <col min="3" max="3" width="0" style="127" hidden="1" customWidth="1"/>
    <col min="4" max="4" width="17.375" style="127" customWidth="1"/>
    <col min="5" max="7" width="8.75" style="123"/>
    <col min="8" max="8" width="15.875" style="128" customWidth="1"/>
    <col min="9" max="9" width="15.125" style="128" customWidth="1"/>
    <col min="10" max="10" width="15.625" style="128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119" t="s">
        <v>108</v>
      </c>
      <c r="I1" s="97" t="s">
        <v>1861</v>
      </c>
      <c r="J1" s="97" t="s">
        <v>106</v>
      </c>
      <c r="K1" s="5" t="s">
        <v>11</v>
      </c>
      <c r="L1" s="5" t="s">
        <v>12</v>
      </c>
    </row>
    <row r="2" spans="1:12">
      <c r="A2" s="4">
        <v>1</v>
      </c>
      <c r="B2" s="4" t="s">
        <v>3426</v>
      </c>
      <c r="C2" s="4">
        <v>2214</v>
      </c>
      <c r="D2" s="4" t="str">
        <f>=VLOOKUP(B2,[2]在校生综合信息查询!$A$605:$C$631,2,0)</f>
        <v>24q740101071</v>
      </c>
      <c r="E2" s="12">
        <v>66</v>
      </c>
      <c r="F2" s="12">
        <v>38</v>
      </c>
      <c r="G2" s="12">
        <v>38.5</v>
      </c>
      <c r="H2" s="120">
        <v>49</v>
      </c>
      <c r="I2" s="121">
        <v>52.5</v>
      </c>
      <c r="J2" s="83">
        <v>63.5</v>
      </c>
      <c r="K2" s="5" t="s"/>
      <c r="L2" s="5" t="s"/>
    </row>
    <row r="3" spans="1:12">
      <c r="A3" s="4">
        <v>2</v>
      </c>
      <c r="B3" s="4" t="s">
        <v>3428</v>
      </c>
      <c r="C3" s="4">
        <v>2215</v>
      </c>
      <c r="D3" s="4" t="str">
        <f>=VLOOKUP(B3,[2]在校生综合信息查询!$A$605:$C$631,2,0)</f>
        <v>24q740101072</v>
      </c>
      <c r="E3" s="12">
        <v>54</v>
      </c>
      <c r="F3" s="12">
        <v>42</v>
      </c>
      <c r="G3" s="12">
        <v>41.5</v>
      </c>
      <c r="H3" s="120">
        <v>52.5</v>
      </c>
      <c r="I3" s="83">
        <v>61</v>
      </c>
      <c r="J3" s="83">
        <v>76</v>
      </c>
      <c r="K3" s="5" t="s"/>
      <c r="L3" s="5" t="s"/>
    </row>
    <row r="4" spans="1:12">
      <c r="A4" s="4">
        <v>3</v>
      </c>
      <c r="B4" s="4" t="s">
        <v>3430</v>
      </c>
      <c r="C4" s="4">
        <v>2216</v>
      </c>
      <c r="D4" s="4" t="e">
        <f>=VLOOKUP(B4,[2]在校生综合信息查询!$A$605:$C$631,2,0)</f>
        <v>#N/A</v>
      </c>
      <c r="E4" s="12">
        <v>31</v>
      </c>
      <c r="F4" s="12">
        <v>12</v>
      </c>
      <c r="G4" s="12">
        <v>33.5</v>
      </c>
      <c r="H4" s="120">
        <v>27.5</v>
      </c>
      <c r="I4" s="83">
        <v>48</v>
      </c>
      <c r="J4" s="83">
        <v>34</v>
      </c>
      <c r="K4" s="5" t="s"/>
      <c r="L4" s="5" t="s"/>
    </row>
    <row r="5" spans="1:12">
      <c r="A5" s="4">
        <v>4</v>
      </c>
      <c r="B5" s="4" t="s">
        <v>3431</v>
      </c>
      <c r="C5" s="4">
        <v>2237</v>
      </c>
      <c r="D5" s="4" t="str">
        <f>=VLOOKUP(B5,[2]在校生综合信息查询!$A$605:$C$631,2,0)</f>
        <v>24q740101010</v>
      </c>
      <c r="E5" s="12">
        <v>52</v>
      </c>
      <c r="F5" s="12">
        <v>17</v>
      </c>
      <c r="G5" s="12">
        <v>27</v>
      </c>
      <c r="H5" s="120">
        <v>41.5</v>
      </c>
      <c r="I5" s="83">
        <v>47.5</v>
      </c>
      <c r="J5" s="83">
        <v>49</v>
      </c>
      <c r="K5" s="5" t="s"/>
      <c r="L5" s="5" t="s"/>
    </row>
    <row r="6" spans="1:12">
      <c r="A6" s="4">
        <v>5</v>
      </c>
      <c r="B6" s="4" t="s">
        <v>3433</v>
      </c>
      <c r="C6" s="4">
        <v>2217</v>
      </c>
      <c r="D6" s="4" t="str">
        <f>=VLOOKUP(B6,[2]在校生综合信息查询!$A$605:$C$631,2,0)</f>
        <v>24q740101078</v>
      </c>
      <c r="E6" s="12">
        <v>31</v>
      </c>
      <c r="F6" s="12">
        <v>12</v>
      </c>
      <c r="G6" s="12">
        <v>35</v>
      </c>
      <c r="H6" s="120">
        <v>40.5</v>
      </c>
      <c r="I6" s="83">
        <v>56.5</v>
      </c>
      <c r="J6" s="83">
        <v>51</v>
      </c>
      <c r="K6" s="5" t="s"/>
      <c r="L6" s="5" t="s"/>
    </row>
    <row r="7" spans="1:12">
      <c r="A7" s="4">
        <v>6</v>
      </c>
      <c r="B7" s="4" t="s">
        <v>3435</v>
      </c>
      <c r="C7" s="4">
        <v>2218</v>
      </c>
      <c r="D7" s="4" t="str">
        <f>=VLOOKUP(B7,[2]在校生综合信息查询!$A$605:$C$631,2,0)</f>
        <v>24q740101083</v>
      </c>
      <c r="E7" s="12">
        <v>46</v>
      </c>
      <c r="F7" s="12">
        <v>34</v>
      </c>
      <c r="G7" s="12">
        <v>41</v>
      </c>
      <c r="H7" s="120">
        <v>37</v>
      </c>
      <c r="I7" s="83">
        <v>52</v>
      </c>
      <c r="J7" s="83">
        <v>59.5</v>
      </c>
      <c r="K7" s="5" t="s"/>
      <c r="L7" s="5" t="s"/>
    </row>
    <row r="8" spans="1:12">
      <c r="A8" s="12">
        <v>7</v>
      </c>
      <c r="B8" s="4" t="s">
        <v>3437</v>
      </c>
      <c r="C8" s="4">
        <v>2219</v>
      </c>
      <c r="D8" s="4" t="str">
        <f>=VLOOKUP(B8,[2]在校生综合信息查询!$A$605:$C$631,2,0)</f>
        <v>24q740101084</v>
      </c>
      <c r="E8" s="12">
        <v>83</v>
      </c>
      <c r="F8" s="12">
        <v>31</v>
      </c>
      <c r="G8" s="12">
        <v>40</v>
      </c>
      <c r="H8" s="120">
        <v>63.5</v>
      </c>
      <c r="I8" s="83">
        <v>57.5</v>
      </c>
      <c r="J8" s="83">
        <v>65</v>
      </c>
      <c r="K8" s="5" t="s"/>
      <c r="L8" s="5" t="s"/>
    </row>
    <row r="9" spans="1:12">
      <c r="A9" s="4">
        <v>8</v>
      </c>
      <c r="B9" s="4" t="s">
        <v>3439</v>
      </c>
      <c r="C9" s="4">
        <v>2239</v>
      </c>
      <c r="D9" s="4" t="str">
        <f>=VLOOKUP(B9,[2]在校生综合信息查询!$A$605:$C$631,2,0)</f>
        <v>24q740105009</v>
      </c>
      <c r="E9" s="12">
        <v>58</v>
      </c>
      <c r="F9" s="12">
        <v>40</v>
      </c>
      <c r="G9" s="12">
        <v>45</v>
      </c>
      <c r="H9" s="120">
        <v>48</v>
      </c>
      <c r="I9" s="83">
        <v>58</v>
      </c>
      <c r="J9" s="83">
        <v>59.5</v>
      </c>
      <c r="K9" s="5" t="s"/>
      <c r="L9" s="5" t="s"/>
    </row>
    <row r="10" spans="1:12">
      <c r="A10" s="4">
        <v>9</v>
      </c>
      <c r="B10" s="4" t="s">
        <v>3441</v>
      </c>
      <c r="C10" s="4">
        <v>2220</v>
      </c>
      <c r="D10" s="4" t="str">
        <f>=VLOOKUP(B10,[2]在校生综合信息查询!$A$605:$C$631,2,0)</f>
        <v>24q740101085</v>
      </c>
      <c r="E10" s="12">
        <v>72</v>
      </c>
      <c r="F10" s="12">
        <v>66</v>
      </c>
      <c r="G10" s="12">
        <v>47</v>
      </c>
      <c r="H10" s="120">
        <v>49.5</v>
      </c>
      <c r="I10" s="83">
        <v>54.5</v>
      </c>
      <c r="J10" s="83">
        <v>69.5</v>
      </c>
      <c r="K10" s="5" t="s"/>
      <c r="L10" s="5" t="s"/>
    </row>
    <row r="11" spans="1:12">
      <c r="A11" s="4">
        <v>10</v>
      </c>
      <c r="B11" s="4" t="s">
        <v>3443</v>
      </c>
      <c r="C11" s="4">
        <v>2221</v>
      </c>
      <c r="D11" s="4" t="str">
        <f>=VLOOKUP(B11,[2]在校生综合信息查询!$A$605:$C$631,2,0)</f>
        <v>24q740101086</v>
      </c>
      <c r="E11" s="12">
        <v>54</v>
      </c>
      <c r="F11" s="12">
        <v>87</v>
      </c>
      <c r="G11" s="12">
        <v>19.5</v>
      </c>
      <c r="H11" s="120">
        <v>45</v>
      </c>
      <c r="I11" s="83">
        <v>46</v>
      </c>
      <c r="J11" s="83">
        <v>47.5</v>
      </c>
      <c r="K11" s="5" t="s"/>
      <c r="L11" s="5" t="s"/>
    </row>
    <row r="12" spans="1:12">
      <c r="A12" s="4">
        <v>11</v>
      </c>
      <c r="B12" s="4" t="s">
        <v>3445</v>
      </c>
      <c r="C12" s="4">
        <v>2222</v>
      </c>
      <c r="D12" s="4" t="str">
        <f>=VLOOKUP(B12,[2]在校生综合信息查询!$A$605:$C$631,2,0)</f>
        <v>24q740101087</v>
      </c>
      <c r="E12" s="12">
        <v>49</v>
      </c>
      <c r="F12" s="12">
        <v>13</v>
      </c>
      <c r="G12" s="12">
        <v>40</v>
      </c>
      <c r="H12" s="120">
        <v>38.5</v>
      </c>
      <c r="I12" s="83">
        <v>51</v>
      </c>
      <c r="J12" s="83">
        <v>47.5</v>
      </c>
      <c r="K12" s="5" t="s"/>
      <c r="L12" s="5" t="s"/>
    </row>
    <row r="13" spans="1:12">
      <c r="A13" s="4">
        <v>12</v>
      </c>
      <c r="B13" s="4" t="s">
        <v>3447</v>
      </c>
      <c r="C13" s="4">
        <v>2223</v>
      </c>
      <c r="D13" s="4" t="str">
        <f>=VLOOKUP(B13,[2]在校生综合信息查询!$A$605:$C$631,2,0)</f>
        <v>24q740101088</v>
      </c>
      <c r="E13" s="12">
        <v>58</v>
      </c>
      <c r="F13" s="12">
        <v>21</v>
      </c>
      <c r="G13" s="12">
        <v>56.5</v>
      </c>
      <c r="H13" s="120">
        <v>36.5</v>
      </c>
      <c r="I13" s="83">
        <v>38</v>
      </c>
      <c r="J13" s="83">
        <v>59</v>
      </c>
      <c r="K13" s="5" t="s"/>
      <c r="L13" s="5" t="s"/>
    </row>
    <row r="14" spans="1:12">
      <c r="A14" s="4">
        <v>13</v>
      </c>
      <c r="B14" s="4" t="s">
        <v>3449</v>
      </c>
      <c r="C14" s="4">
        <v>2224</v>
      </c>
      <c r="D14" s="4" t="str">
        <f>=VLOOKUP(B14,[2]在校生综合信息查询!$A$605:$C$631,2,0)</f>
        <v>24q740101090</v>
      </c>
      <c r="E14" s="12">
        <v>70</v>
      </c>
      <c r="F14" s="12">
        <v>87</v>
      </c>
      <c r="G14" s="12">
        <v>42</v>
      </c>
      <c r="H14" s="120">
        <v>71</v>
      </c>
      <c r="I14" s="83">
        <v>78</v>
      </c>
      <c r="J14" s="83">
        <v>92</v>
      </c>
      <c r="K14" s="5" t="s"/>
      <c r="L14" s="5" t="s"/>
    </row>
    <row r="15" spans="1:12">
      <c r="A15" s="4">
        <v>14</v>
      </c>
      <c r="B15" s="4" t="s">
        <v>3451</v>
      </c>
      <c r="C15" s="4">
        <v>2225</v>
      </c>
      <c r="D15" s="4" t="str">
        <f>=VLOOKUP(B15,[2]在校生综合信息查询!$A$605:$C$631,2,0)</f>
        <v>24q740101091</v>
      </c>
      <c r="E15" s="12">
        <v>43</v>
      </c>
      <c r="F15" s="12">
        <v>20</v>
      </c>
      <c r="G15" s="12">
        <v>29.5</v>
      </c>
      <c r="H15" s="120">
        <v>31.5</v>
      </c>
      <c r="I15" s="83">
        <v>53</v>
      </c>
      <c r="J15" s="83">
        <v>59.5</v>
      </c>
      <c r="K15" s="5" t="s"/>
      <c r="L15" s="5" t="s"/>
    </row>
    <row r="16" spans="1:12">
      <c r="A16" s="4">
        <v>15</v>
      </c>
      <c r="B16" s="4" t="s">
        <v>3453</v>
      </c>
      <c r="C16" s="4">
        <v>2226</v>
      </c>
      <c r="D16" s="4" t="str">
        <f>=VLOOKUP(B16,[2]在校生综合信息查询!$A$605:$C$631,2,0)</f>
        <v>24q740101092</v>
      </c>
      <c r="E16" s="12">
        <v>53</v>
      </c>
      <c r="F16" s="12">
        <v>44</v>
      </c>
      <c r="G16" s="12">
        <v>53.5</v>
      </c>
      <c r="H16" s="120">
        <v>48</v>
      </c>
      <c r="I16" s="83">
        <v>53</v>
      </c>
      <c r="J16" s="83">
        <v>51.5</v>
      </c>
      <c r="K16" s="5" t="s"/>
      <c r="L16" s="5" t="s"/>
    </row>
    <row r="17" spans="1:12">
      <c r="A17" s="4">
        <v>16</v>
      </c>
      <c r="B17" s="4" t="s">
        <v>3455</v>
      </c>
      <c r="C17" s="4">
        <v>2227</v>
      </c>
      <c r="D17" s="4" t="str">
        <f>=VLOOKUP(B17,[2]在校生综合信息查询!$A$605:$C$631,2,0)</f>
        <v>24q740101093</v>
      </c>
      <c r="E17" s="12">
        <v>55</v>
      </c>
      <c r="F17" s="12">
        <v>24</v>
      </c>
      <c r="G17" s="12">
        <v>56.5</v>
      </c>
      <c r="H17" s="120">
        <v>42</v>
      </c>
      <c r="I17" s="83">
        <v>70.5</v>
      </c>
      <c r="J17" s="83">
        <v>73.5</v>
      </c>
      <c r="K17" s="5" t="s"/>
      <c r="L17" s="5" t="s"/>
    </row>
    <row r="18" spans="1:12">
      <c r="A18" s="4">
        <v>17</v>
      </c>
      <c r="B18" s="4" t="s">
        <v>3457</v>
      </c>
      <c r="C18" s="4">
        <v>2228</v>
      </c>
      <c r="D18" s="4" t="str">
        <f>=VLOOKUP(B18,[2]在校生综合信息查询!$A$605:$C$631,2,0)</f>
        <v>24q740101094</v>
      </c>
      <c r="E18" s="12">
        <v>51</v>
      </c>
      <c r="F18" s="12">
        <v>57</v>
      </c>
      <c r="G18" s="12">
        <v>51.5</v>
      </c>
      <c r="H18" s="120">
        <v>41</v>
      </c>
      <c r="I18" s="83">
        <v>55.5</v>
      </c>
      <c r="J18" s="83">
        <v>64.5</v>
      </c>
      <c r="K18" s="5" t="s"/>
      <c r="L18" s="5" t="s"/>
    </row>
    <row r="19" spans="1:12">
      <c r="A19" s="4">
        <v>18</v>
      </c>
      <c r="B19" s="4" t="s">
        <v>3459</v>
      </c>
      <c r="C19" s="4">
        <v>2238</v>
      </c>
      <c r="D19" s="4" t="str">
        <f>=VLOOKUP(B19,[2]在校生综合信息查询!$A$605:$C$631,2,0)</f>
        <v>24q740101038</v>
      </c>
      <c r="E19" s="12">
        <v>48</v>
      </c>
      <c r="F19" s="12">
        <v>10</v>
      </c>
      <c r="G19" s="12">
        <v>46</v>
      </c>
      <c r="H19" s="120">
        <v>52</v>
      </c>
      <c r="I19" s="83">
        <v>57</v>
      </c>
      <c r="J19" s="83">
        <v>53.5</v>
      </c>
      <c r="K19" s="5" t="s"/>
      <c r="L19" s="5" t="s"/>
    </row>
    <row r="20" spans="1:12">
      <c r="A20" s="4">
        <v>19</v>
      </c>
      <c r="B20" s="4" t="s">
        <v>3461</v>
      </c>
      <c r="C20" s="4">
        <v>2229</v>
      </c>
      <c r="D20" s="4" t="str">
        <f>=VLOOKUP(B20,[2]在校生综合信息查询!$A$605:$C$631,2,0)</f>
        <v>24q740101095</v>
      </c>
      <c r="E20" s="12">
        <v>64</v>
      </c>
      <c r="F20" s="12">
        <v>69</v>
      </c>
      <c r="G20" s="12">
        <v>62.5</v>
      </c>
      <c r="H20" s="120">
        <v>62</v>
      </c>
      <c r="I20" s="83">
        <v>62.5</v>
      </c>
      <c r="J20" s="83">
        <v>53</v>
      </c>
      <c r="K20" s="5" t="s"/>
      <c r="L20" s="5" t="s"/>
    </row>
    <row r="21" spans="1:12">
      <c r="A21" s="4">
        <v>20</v>
      </c>
      <c r="B21" s="4" t="s">
        <v>3463</v>
      </c>
      <c r="C21" s="4">
        <v>2230</v>
      </c>
      <c r="D21" s="4" t="str">
        <f>=VLOOKUP(B21,[2]在校生综合信息查询!$A$605:$C$631,2,0)</f>
        <v>24q740101096</v>
      </c>
      <c r="E21" s="12">
        <v>49</v>
      </c>
      <c r="F21" s="12">
        <v>22</v>
      </c>
      <c r="G21" s="12">
        <v>42</v>
      </c>
      <c r="H21" s="120">
        <v>52</v>
      </c>
      <c r="I21" s="83">
        <v>59.5</v>
      </c>
      <c r="J21" s="83">
        <v>66.5</v>
      </c>
      <c r="K21" s="5" t="s"/>
      <c r="L21" s="5" t="s"/>
    </row>
    <row r="22" spans="1:12">
      <c r="A22" s="4">
        <v>21</v>
      </c>
      <c r="B22" s="4" t="s">
        <v>2076</v>
      </c>
      <c r="C22" s="4">
        <v>2231</v>
      </c>
      <c r="D22" s="4" t="str">
        <f>=VLOOKUP(B22,[2]在校生综合信息查询!$A$605:$C$631,2,0)</f>
        <v>24q740101100</v>
      </c>
      <c r="E22" s="12">
        <v>36</v>
      </c>
      <c r="F22" s="12">
        <v>33</v>
      </c>
      <c r="G22" s="12">
        <v>41.5</v>
      </c>
      <c r="H22" s="120">
        <v>51</v>
      </c>
      <c r="I22" s="83">
        <v>51</v>
      </c>
      <c r="J22" s="83">
        <v>59.5</v>
      </c>
      <c r="K22" s="5" t="s"/>
      <c r="L22" s="5" t="s"/>
    </row>
    <row r="23" spans="1:12">
      <c r="A23" s="4">
        <v>22</v>
      </c>
      <c r="B23" s="4" t="s">
        <v>963</v>
      </c>
      <c r="C23" s="4">
        <v>2232</v>
      </c>
      <c r="D23" s="4" t="str">
        <f>=VLOOKUP(B23,[2]在校生综合信息查询!$A$605:$C$631,2,0)</f>
        <v>24q740101101</v>
      </c>
      <c r="E23" s="12">
        <v>75</v>
      </c>
      <c r="F23" s="12">
        <v>42</v>
      </c>
      <c r="G23" s="12">
        <v>82.5</v>
      </c>
      <c r="H23" s="120">
        <v>42.5</v>
      </c>
      <c r="I23" s="83">
        <v>57.5</v>
      </c>
      <c r="J23" s="83">
        <v>65.5</v>
      </c>
      <c r="K23" s="5" t="s"/>
      <c r="L23" s="5" t="s"/>
    </row>
    <row r="24" spans="1:12">
      <c r="A24" s="4">
        <v>23</v>
      </c>
      <c r="B24" s="4" t="s">
        <v>3467</v>
      </c>
      <c r="C24" s="4">
        <v>2236</v>
      </c>
      <c r="D24" s="4" t="str">
        <f>=VLOOKUP(B24,[2]在校生综合信息查询!$A$605:$C$631,2,0)</f>
        <v>24q71010328621</v>
      </c>
      <c r="E24" s="12">
        <v>66</v>
      </c>
      <c r="F24" s="12">
        <v>72</v>
      </c>
      <c r="G24" s="12">
        <v>31</v>
      </c>
      <c r="H24" s="120">
        <v>46.5</v>
      </c>
      <c r="I24" s="83">
        <v>60</v>
      </c>
      <c r="J24" s="83">
        <v>67.5</v>
      </c>
      <c r="K24" s="5" t="s"/>
      <c r="L24" s="5" t="s"/>
    </row>
    <row r="25" spans="1:12">
      <c r="A25" s="4">
        <v>24</v>
      </c>
      <c r="B25" s="4" t="s">
        <v>3469</v>
      </c>
      <c r="C25" s="4">
        <v>2233</v>
      </c>
      <c r="D25" s="4" t="str">
        <f>=VLOOKUP(B25,[2]在校生综合信息查询!$A$605:$C$631,2,0)</f>
        <v>24q740101102</v>
      </c>
      <c r="E25" s="12">
        <v>48</v>
      </c>
      <c r="F25" s="12">
        <v>50</v>
      </c>
      <c r="G25" s="12">
        <v>71.5</v>
      </c>
      <c r="H25" s="120">
        <v>45</v>
      </c>
      <c r="I25" s="83">
        <v>65.5</v>
      </c>
      <c r="J25" s="83">
        <v>59.5</v>
      </c>
      <c r="K25" s="5" t="s"/>
      <c r="L25" s="5" t="s"/>
    </row>
    <row r="26" spans="1:12">
      <c r="A26" s="4">
        <v>25</v>
      </c>
      <c r="B26" s="4" t="s">
        <v>3471</v>
      </c>
      <c r="C26" s="4">
        <v>2234</v>
      </c>
      <c r="D26" s="4" t="str">
        <f>=VLOOKUP(B26,[2]在校生综合信息查询!$A$605:$C$631,2,0)</f>
        <v>24q740101103</v>
      </c>
      <c r="E26" s="12">
        <v>63</v>
      </c>
      <c r="F26" s="12">
        <v>24</v>
      </c>
      <c r="G26" s="12">
        <v>40.5</v>
      </c>
      <c r="H26" s="119" t="s"/>
      <c r="I26" s="83">
        <v>0</v>
      </c>
      <c r="J26" s="97" t="s"/>
      <c r="K26" s="5" t="s"/>
      <c r="L26" s="5" t="s"/>
    </row>
    <row r="27" spans="1:12">
      <c r="A27" s="4">
        <v>26</v>
      </c>
      <c r="B27" s="4" t="s">
        <v>3473</v>
      </c>
      <c r="C27" s="4">
        <v>2235</v>
      </c>
      <c r="D27" s="4" t="str">
        <f>=VLOOKUP(B27,[2]在校生综合信息查询!$A$605:$C$631,2,0)</f>
        <v>24q740101105</v>
      </c>
      <c r="E27" s="12">
        <v>52</v>
      </c>
      <c r="F27" s="12">
        <v>50</v>
      </c>
      <c r="G27" s="12">
        <v>44</v>
      </c>
      <c r="H27" s="120">
        <v>76</v>
      </c>
      <c r="I27" s="83">
        <v>75.5</v>
      </c>
      <c r="J27" s="83">
        <v>66.5</v>
      </c>
      <c r="K27" s="5" t="s"/>
      <c r="L27" s="5" t="s"/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2026-07-18T11:12:52Z</dcterms:created>
  <dcterms:modified xsi:type="dcterms:W3CDTF">2026-07-18T11:12:52Z</dcterms:modified>
</cp:coreProperties>
</file>