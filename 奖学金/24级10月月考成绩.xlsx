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7"/>
  </bookViews>
  <sheets>
    <sheet name="保育" sheetId="1" r:id="rId1"/>
    <sheet name="电4" sheetId="2" r:id="rId2"/>
    <sheet name="电5" sheetId="3" r:id="rId3"/>
    <sheet name="旅游" sheetId="4" r:id="rId4"/>
    <sheet name="数控" sheetId="5" r:id="rId5"/>
    <sheet name="计2" sheetId="6" r:id="rId6"/>
    <sheet name="计3" sheetId="7" r:id="rId7"/>
    <sheet name="年级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<sst xmlns="http://schemas.openxmlformats.org/spreadsheetml/2006/main" count="1137" uniqueCount="290">
  <si>
    <t>姓名</t>
  </si>
  <si>
    <t>班级</t>
  </si>
  <si>
    <t>总分（750分）</t>
  </si>
  <si>
    <t>语文（150分）</t>
  </si>
  <si>
    <t>数学（150分）</t>
  </si>
  <si>
    <t>英语（100分）</t>
  </si>
  <si>
    <t>专业（350分）</t>
  </si>
  <si>
    <t>陈龚燕</t>
  </si>
  <si>
    <t>24级保育2班</t>
  </si>
  <si>
    <t>丁茂梅</t>
  </si>
  <si>
    <t>金云霞</t>
  </si>
  <si>
    <t>张欣怡</t>
  </si>
  <si>
    <t>龚星榕</t>
  </si>
  <si>
    <t>刘彩利</t>
  </si>
  <si>
    <t>夏铃舒</t>
  </si>
  <si>
    <t>王诗琪</t>
  </si>
  <si>
    <t>王涛</t>
  </si>
  <si>
    <t>李依萱</t>
  </si>
  <si>
    <t>李美婷</t>
  </si>
  <si>
    <t>张宁</t>
  </si>
  <si>
    <t>江葛蓉</t>
  </si>
  <si>
    <t>徐刘锦</t>
  </si>
  <si>
    <t>李娇娇</t>
  </si>
  <si>
    <t>赵玺媛</t>
  </si>
  <si>
    <t>周梦婷</t>
  </si>
  <si>
    <t>王忻宜</t>
  </si>
  <si>
    <t>张雅莉</t>
  </si>
  <si>
    <t>李紫菡</t>
  </si>
  <si>
    <t>胡艳莉</t>
  </si>
  <si>
    <t>王思雨</t>
  </si>
  <si>
    <t>殷媛</t>
  </si>
  <si>
    <t>黄珂馨</t>
  </si>
  <si>
    <t>陈梦玲</t>
  </si>
  <si>
    <t>余诗琪</t>
  </si>
  <si>
    <t>袁慈恩</t>
  </si>
  <si>
    <t>王欣怡</t>
  </si>
  <si>
    <t>姜晓薇</t>
  </si>
  <si>
    <t>罗依频</t>
  </si>
  <si>
    <t>王怡欢</t>
  </si>
  <si>
    <t>宋恩琪</t>
  </si>
  <si>
    <t>邱满丽</t>
  </si>
  <si>
    <t>平均分</t>
  </si>
  <si>
    <t>夏洋</t>
  </si>
  <si>
    <t>24级电子4班（本方）</t>
  </si>
  <si>
    <t>罗思洋</t>
  </si>
  <si>
    <t>黄丹</t>
  </si>
  <si>
    <t>梁语曦</t>
  </si>
  <si>
    <t>郭语婷</t>
  </si>
  <si>
    <t>陈科</t>
  </si>
  <si>
    <t>牟芃睿</t>
  </si>
  <si>
    <t>曾子奥</t>
  </si>
  <si>
    <t>李成程</t>
  </si>
  <si>
    <t>黄新翰</t>
  </si>
  <si>
    <t>曹燕</t>
  </si>
  <si>
    <t>李颜</t>
  </si>
  <si>
    <t>胡林涛</t>
  </si>
  <si>
    <t>李可会</t>
  </si>
  <si>
    <t>帅远琳</t>
  </si>
  <si>
    <t>彭雨松</t>
  </si>
  <si>
    <t>刘雅馨</t>
  </si>
  <si>
    <t>罗萍萍</t>
  </si>
  <si>
    <t>杜雨彤</t>
  </si>
  <si>
    <t>柏朕翔</t>
  </si>
  <si>
    <t>李施彤</t>
  </si>
  <si>
    <t>李锐</t>
  </si>
  <si>
    <t>赵宴</t>
  </si>
  <si>
    <t>刘昊宇</t>
  </si>
  <si>
    <t>廖萱</t>
  </si>
  <si>
    <t>郭娱彤</t>
  </si>
  <si>
    <t>李世平</t>
  </si>
  <si>
    <t>姜宇航</t>
  </si>
  <si>
    <t>刘紫玉</t>
  </si>
  <si>
    <t>黄思婷</t>
  </si>
  <si>
    <t>杨卿</t>
  </si>
  <si>
    <t>周语欣</t>
  </si>
  <si>
    <t>何宇航</t>
  </si>
  <si>
    <t>付美玲</t>
  </si>
  <si>
    <t>周荣瑞</t>
  </si>
  <si>
    <t>彭昊</t>
  </si>
  <si>
    <t>曾重升</t>
  </si>
  <si>
    <t>赵雅娟</t>
  </si>
  <si>
    <t>付自豪</t>
  </si>
  <si>
    <t>蒋欣雅</t>
  </si>
  <si>
    <t>黄思瑞</t>
  </si>
  <si>
    <t>李昌洪</t>
  </si>
  <si>
    <t>陈利</t>
  </si>
  <si>
    <t>胡凯峰</t>
  </si>
  <si>
    <t>周星昊</t>
  </si>
  <si>
    <t>曹响瑞</t>
  </si>
  <si>
    <t>无成绩</t>
  </si>
  <si>
    <t>杨婧暄</t>
  </si>
  <si>
    <t>24级电子5班（本方）</t>
  </si>
  <si>
    <t>熊思延</t>
  </si>
  <si>
    <t>汪语函</t>
  </si>
  <si>
    <t>周欣怡</t>
  </si>
  <si>
    <t>鲜阳</t>
  </si>
  <si>
    <t>张可唯</t>
  </si>
  <si>
    <t>赵小翔</t>
  </si>
  <si>
    <t>胡杨帆</t>
  </si>
  <si>
    <t>赵雨彤</t>
  </si>
  <si>
    <t>张怡</t>
  </si>
  <si>
    <t>吴昭旭</t>
  </si>
  <si>
    <t>陈媛塬</t>
  </si>
  <si>
    <t>邹晓雨</t>
  </si>
  <si>
    <t>覃露露</t>
  </si>
  <si>
    <t>王皓轩</t>
  </si>
  <si>
    <t>周意嘉</t>
  </si>
  <si>
    <t>任佳旭</t>
  </si>
  <si>
    <t>赵梓皓</t>
  </si>
  <si>
    <t>唐子林</t>
  </si>
  <si>
    <t>张思琪</t>
  </si>
  <si>
    <t>周湘鸿</t>
  </si>
  <si>
    <t>伍国豪</t>
  </si>
  <si>
    <t>赵梓丞</t>
  </si>
  <si>
    <t>王西</t>
  </si>
  <si>
    <t>张芊芊</t>
  </si>
  <si>
    <t>周荣恒</t>
  </si>
  <si>
    <t>宋昕瑀</t>
  </si>
  <si>
    <t>王佳辉</t>
  </si>
  <si>
    <t>沈科君</t>
  </si>
  <si>
    <t>苏蕾</t>
  </si>
  <si>
    <t>宋非</t>
  </si>
  <si>
    <t>徐若萱</t>
  </si>
  <si>
    <t>冯万豪</t>
  </si>
  <si>
    <t>王一好</t>
  </si>
  <si>
    <t>陈芋涵</t>
  </si>
  <si>
    <t>杨宇博</t>
  </si>
  <si>
    <t>罗俊</t>
  </si>
  <si>
    <t>叶宇婷</t>
  </si>
  <si>
    <t>张健飞</t>
  </si>
  <si>
    <t>许慧佳</t>
  </si>
  <si>
    <t>谭舜谊</t>
  </si>
  <si>
    <t>彭稚迪</t>
  </si>
  <si>
    <t>徐诗雨</t>
  </si>
  <si>
    <t>24级旅游2班（本方）</t>
  </si>
  <si>
    <t>杨可欣</t>
  </si>
  <si>
    <t>伍诗雨</t>
  </si>
  <si>
    <t>张艺凡</t>
  </si>
  <si>
    <t>鲜红英</t>
  </si>
  <si>
    <t>万钰菲</t>
  </si>
  <si>
    <t>杨杰</t>
  </si>
  <si>
    <t>李梦茹</t>
  </si>
  <si>
    <t>杨思琴</t>
  </si>
  <si>
    <t>刘鑫宇</t>
  </si>
  <si>
    <t>杨梦琳</t>
  </si>
  <si>
    <t>陈卓雅</t>
  </si>
  <si>
    <t>曹义雪</t>
  </si>
  <si>
    <t>王钰彤</t>
  </si>
  <si>
    <t>余梦涵</t>
  </si>
  <si>
    <t>李艾</t>
  </si>
  <si>
    <t>伍紫怡</t>
  </si>
  <si>
    <t>王夏芸</t>
  </si>
  <si>
    <t>胡凌薇</t>
  </si>
  <si>
    <t>雷雅馨</t>
  </si>
  <si>
    <t>罗奥阳</t>
  </si>
  <si>
    <t>韩小玲</t>
  </si>
  <si>
    <t>汪星宇</t>
  </si>
  <si>
    <t>刘宇菲</t>
  </si>
  <si>
    <t>郭天宇</t>
  </si>
  <si>
    <t>李文涛</t>
  </si>
  <si>
    <t>24级数控3班（本方）</t>
  </si>
  <si>
    <t>文锡梁</t>
  </si>
  <si>
    <t>侯耀辉</t>
  </si>
  <si>
    <t>张志豪</t>
  </si>
  <si>
    <t>张睿桓</t>
  </si>
  <si>
    <t>宋宇涛</t>
  </si>
  <si>
    <t>王俊杰</t>
  </si>
  <si>
    <t>李定霖</t>
  </si>
  <si>
    <t>黄睿豪</t>
  </si>
  <si>
    <t>侯伊凡</t>
  </si>
  <si>
    <t>余承威</t>
  </si>
  <si>
    <t>王旭</t>
  </si>
  <si>
    <t>高浩逸</t>
  </si>
  <si>
    <t>李相霖</t>
  </si>
  <si>
    <t>周欣悦</t>
  </si>
  <si>
    <t>祁咏峰</t>
  </si>
  <si>
    <t>鲜宇</t>
  </si>
  <si>
    <t>王子华</t>
  </si>
  <si>
    <t>许培钦</t>
  </si>
  <si>
    <t>曾滟</t>
  </si>
  <si>
    <t>张华磊</t>
  </si>
  <si>
    <t>牟雨浩</t>
  </si>
  <si>
    <t>甘陈鑫</t>
  </si>
  <si>
    <t>周松明</t>
  </si>
  <si>
    <t>鲜茜敏</t>
  </si>
  <si>
    <t>张奥宁</t>
  </si>
  <si>
    <t>刘义航</t>
  </si>
  <si>
    <t>彭薛宇</t>
  </si>
  <si>
    <t>巫曦鹏</t>
  </si>
  <si>
    <t>宋宇坚</t>
  </si>
  <si>
    <t>董廖丞</t>
  </si>
  <si>
    <t>文康</t>
  </si>
  <si>
    <t>罗一鸣</t>
  </si>
  <si>
    <t>张庆林</t>
  </si>
  <si>
    <t>曹尹杰</t>
  </si>
  <si>
    <t>蒋沁洋</t>
  </si>
  <si>
    <t>宋满明</t>
  </si>
  <si>
    <t>龚科瑞</t>
  </si>
  <si>
    <t>杨尚崧</t>
  </si>
  <si>
    <t>樊舒羽</t>
  </si>
  <si>
    <t>张宇浩</t>
  </si>
  <si>
    <t>甘骁镆</t>
  </si>
  <si>
    <t>李浩然</t>
  </si>
  <si>
    <t>王秋衡</t>
  </si>
  <si>
    <t>24计2</t>
  </si>
  <si>
    <t>范宇菲</t>
  </si>
  <si>
    <t>何孝艺</t>
  </si>
  <si>
    <t>尹伶丹</t>
  </si>
  <si>
    <t>文玉儿</t>
  </si>
  <si>
    <t>白玉佳</t>
  </si>
  <si>
    <t>方卓妍</t>
  </si>
  <si>
    <t>唐佳希</t>
  </si>
  <si>
    <t>谭雨晗</t>
  </si>
  <si>
    <t>陈语馨</t>
  </si>
  <si>
    <t>胡建军</t>
  </si>
  <si>
    <t>付依依</t>
  </si>
  <si>
    <t>韩艾霖</t>
  </si>
  <si>
    <t>李宛萱</t>
  </si>
  <si>
    <t>鲜李莉</t>
  </si>
  <si>
    <t>顾心语</t>
  </si>
  <si>
    <t>郭慧茹</t>
  </si>
  <si>
    <t>胡欣</t>
  </si>
  <si>
    <t>李晓瑄</t>
  </si>
  <si>
    <t>龚婷雯</t>
  </si>
  <si>
    <t>兰雅淇</t>
  </si>
  <si>
    <t>黄远川</t>
  </si>
  <si>
    <t>罗壹</t>
  </si>
  <si>
    <t>张希睿</t>
  </si>
  <si>
    <t>李薇</t>
  </si>
  <si>
    <t>曾丽丽</t>
  </si>
  <si>
    <t>陈海容</t>
  </si>
  <si>
    <t>何依晨</t>
  </si>
  <si>
    <t>黎霞晖</t>
  </si>
  <si>
    <t>江雨航</t>
  </si>
  <si>
    <t>陈加</t>
  </si>
  <si>
    <t>罗喧</t>
  </si>
  <si>
    <t>李盼</t>
  </si>
  <si>
    <t>金天</t>
  </si>
  <si>
    <t>罗佳欣</t>
  </si>
  <si>
    <t>万松</t>
  </si>
  <si>
    <t>郭嘉豪</t>
  </si>
  <si>
    <t>李昱婷</t>
  </si>
  <si>
    <t>孔德宇</t>
  </si>
  <si>
    <t>张靖蒲</t>
  </si>
  <si>
    <t>伍星宇</t>
  </si>
  <si>
    <t>陈浩冉</t>
  </si>
  <si>
    <t>杨璐瑜</t>
  </si>
  <si>
    <t>24计3</t>
  </si>
  <si>
    <t>余雨飞</t>
  </si>
  <si>
    <t>郑鑫元</t>
  </si>
  <si>
    <t>杨糕磊</t>
  </si>
  <si>
    <t>柳佳怡</t>
  </si>
  <si>
    <t>余静</t>
  </si>
  <si>
    <t>章艺苗</t>
  </si>
  <si>
    <t>邹奥企</t>
  </si>
  <si>
    <t>鲜思羽</t>
  </si>
  <si>
    <t>殷斯晗</t>
  </si>
  <si>
    <t>李振宇</t>
  </si>
  <si>
    <t>万慧琳</t>
  </si>
  <si>
    <t>杨籽萱</t>
  </si>
  <si>
    <t>张桂钰</t>
  </si>
  <si>
    <t>汪怡婷</t>
  </si>
  <si>
    <t>吴骞昊</t>
  </si>
  <si>
    <t>彭辉</t>
  </si>
  <si>
    <t>罗钰淇</t>
  </si>
  <si>
    <t>欧思辰</t>
  </si>
  <si>
    <t>周芮伊</t>
  </si>
  <si>
    <t>杨安琪</t>
  </si>
  <si>
    <t>罗浩东</t>
  </si>
  <si>
    <t>肖朋橙</t>
  </si>
  <si>
    <t>周懿鹏</t>
  </si>
  <si>
    <t>王妍茜</t>
  </si>
  <si>
    <t>赵一</t>
  </si>
  <si>
    <t>杨承浩</t>
  </si>
  <si>
    <t>李乐</t>
  </si>
  <si>
    <t>李航宇</t>
  </si>
  <si>
    <t>赵宇</t>
  </si>
  <si>
    <t>童江</t>
  </si>
  <si>
    <t>刘羽萱</t>
  </si>
  <si>
    <t>王林威</t>
  </si>
  <si>
    <t>田梦琪</t>
  </si>
  <si>
    <t>张云皓</t>
  </si>
  <si>
    <t>杨靖宇</t>
  </si>
  <si>
    <t>彭伊凡</t>
  </si>
  <si>
    <t>语数外总分（400分）</t>
  </si>
  <si>
    <t>语数外总分年级排名</t>
  </si>
  <si>
    <t>24级电子5班</t>
  </si>
  <si>
    <t>24级旅游2班</t>
  </si>
  <si>
    <t>24级电子4班</t>
  </si>
  <si>
    <t>24级数控3班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</si>
</sst>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9" workbookViewId="0">
      <selection activeCell="J28" sqref="J28"/>
    </sheetView>
  </sheetViews>
  <sheetFormatPr defaultColWidth="9" defaultRowHeight="13.5" outlineLevelCol="6"/>
  <cols>
    <col min="1" max="1" width="13" customWidth="1"/>
    <col min="2" max="2" width="19.75" customWidth="1"/>
    <col min="3" max="3" width="16.375" customWidth="1"/>
    <col min="4" max="5" width="15.875"/>
    <col min="6" max="6" width="15.875" customWidth="1"/>
    <col min="7" max="7" width="17.625" customWidth="1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7</v>
      </c>
      <c r="B2" s="1" t="s">
        <v>8</v>
      </c>
      <c r="C2" s="10">
        <v>437</v>
      </c>
      <c r="D2" s="3">
        <v>86</v>
      </c>
      <c r="E2" s="3">
        <v>51</v>
      </c>
      <c r="F2" s="3">
        <v>67</v>
      </c>
      <c r="G2" s="3">
        <v>233</v>
      </c>
    </row>
    <row r="3" ht="18.75" spans="1:7">
      <c r="A3" s="1" t="s">
        <v>9</v>
      </c>
      <c r="B3" s="1" t="s">
        <v>8</v>
      </c>
      <c r="C3" s="3">
        <v>416</v>
      </c>
      <c r="D3" s="3">
        <v>93</v>
      </c>
      <c r="E3" s="3">
        <v>65</v>
      </c>
      <c r="F3" s="3">
        <v>58</v>
      </c>
      <c r="G3" s="3">
        <v>200</v>
      </c>
    </row>
    <row r="4" ht="18.75" spans="1:7">
      <c r="A4" s="1" t="s">
        <v>10</v>
      </c>
      <c r="B4" s="1" t="s">
        <v>8</v>
      </c>
      <c r="C4" s="3">
        <v>379.5</v>
      </c>
      <c r="D4" s="3">
        <v>69</v>
      </c>
      <c r="E4" s="3">
        <v>57</v>
      </c>
      <c r="F4" s="3">
        <v>55.5</v>
      </c>
      <c r="G4" s="3">
        <v>198</v>
      </c>
    </row>
    <row r="5" ht="18.75" spans="1:7">
      <c r="A5" s="1" t="s">
        <v>11</v>
      </c>
      <c r="B5" s="1" t="s">
        <v>8</v>
      </c>
      <c r="C5" s="3">
        <v>365</v>
      </c>
      <c r="D5" s="3">
        <v>82</v>
      </c>
      <c r="E5" s="3">
        <v>50</v>
      </c>
      <c r="F5" s="3">
        <v>46</v>
      </c>
      <c r="G5" s="3">
        <v>187</v>
      </c>
    </row>
    <row r="6" ht="18.75" spans="1:7">
      <c r="A6" s="1" t="s">
        <v>12</v>
      </c>
      <c r="B6" s="1" t="s">
        <v>8</v>
      </c>
      <c r="C6" s="3">
        <v>360</v>
      </c>
      <c r="D6" s="3">
        <v>72</v>
      </c>
      <c r="E6" s="3">
        <v>35</v>
      </c>
      <c r="F6" s="3">
        <v>63</v>
      </c>
      <c r="G6" s="3">
        <v>190</v>
      </c>
    </row>
    <row r="7" ht="18.75" spans="1:7">
      <c r="A7" s="1" t="s">
        <v>13</v>
      </c>
      <c r="B7" s="1" t="s">
        <v>8</v>
      </c>
      <c r="C7" s="3">
        <v>359.5</v>
      </c>
      <c r="D7" s="3">
        <v>72</v>
      </c>
      <c r="E7" s="3">
        <v>47</v>
      </c>
      <c r="F7" s="3">
        <v>69.5</v>
      </c>
      <c r="G7" s="3">
        <v>171</v>
      </c>
    </row>
    <row r="8" ht="18.75" spans="1:7">
      <c r="A8" s="1" t="s">
        <v>14</v>
      </c>
      <c r="B8" s="1" t="s">
        <v>8</v>
      </c>
      <c r="C8" s="3">
        <v>358.5</v>
      </c>
      <c r="D8" s="3">
        <v>76</v>
      </c>
      <c r="E8" s="3">
        <v>25</v>
      </c>
      <c r="F8" s="3">
        <v>58.5</v>
      </c>
      <c r="G8" s="3">
        <v>199</v>
      </c>
    </row>
    <row r="9" ht="18.75" spans="1:7">
      <c r="A9" s="1" t="s">
        <v>15</v>
      </c>
      <c r="B9" s="1" t="s">
        <v>8</v>
      </c>
      <c r="C9" s="3">
        <v>352.5</v>
      </c>
      <c r="D9" s="3">
        <v>84</v>
      </c>
      <c r="E9" s="3">
        <v>35</v>
      </c>
      <c r="F9" s="3">
        <v>54.5</v>
      </c>
      <c r="G9" s="3">
        <v>179</v>
      </c>
    </row>
    <row r="10" ht="18.75" spans="1:7">
      <c r="A10" s="1" t="s">
        <v>16</v>
      </c>
      <c r="B10" s="1" t="s">
        <v>8</v>
      </c>
      <c r="C10" s="3">
        <v>345.5</v>
      </c>
      <c r="D10" s="3">
        <v>82</v>
      </c>
      <c r="E10" s="3">
        <v>35</v>
      </c>
      <c r="F10" s="3">
        <v>41.5</v>
      </c>
      <c r="G10" s="3">
        <v>187</v>
      </c>
    </row>
    <row r="11" ht="18.75" spans="1:7">
      <c r="A11" s="1" t="s">
        <v>17</v>
      </c>
      <c r="B11" s="1" t="s">
        <v>8</v>
      </c>
      <c r="C11" s="3">
        <v>341.5</v>
      </c>
      <c r="D11" s="3">
        <v>88</v>
      </c>
      <c r="E11" s="3">
        <v>25</v>
      </c>
      <c r="F11" s="3">
        <v>54.5</v>
      </c>
      <c r="G11" s="3">
        <v>174</v>
      </c>
    </row>
    <row r="12" ht="18.75" spans="1:7">
      <c r="A12" s="1" t="s">
        <v>18</v>
      </c>
      <c r="B12" s="1" t="s">
        <v>8</v>
      </c>
      <c r="C12" s="3">
        <v>336</v>
      </c>
      <c r="D12" s="3">
        <v>78</v>
      </c>
      <c r="E12" s="3">
        <v>24</v>
      </c>
      <c r="F12" s="3">
        <v>61</v>
      </c>
      <c r="G12" s="3">
        <v>173</v>
      </c>
    </row>
    <row r="13" ht="18.75" spans="1:7">
      <c r="A13" s="1" t="s">
        <v>19</v>
      </c>
      <c r="B13" s="1" t="s">
        <v>8</v>
      </c>
      <c r="C13" s="3">
        <v>334.5</v>
      </c>
      <c r="D13" s="3">
        <v>88</v>
      </c>
      <c r="E13" s="3">
        <v>42</v>
      </c>
      <c r="F13" s="3">
        <v>52.5</v>
      </c>
      <c r="G13" s="3">
        <v>152</v>
      </c>
    </row>
    <row r="14" ht="18.75" spans="1:7">
      <c r="A14" s="1" t="s">
        <v>20</v>
      </c>
      <c r="B14" s="1" t="s">
        <v>8</v>
      </c>
      <c r="C14" s="3">
        <v>330</v>
      </c>
      <c r="D14" s="3">
        <v>94</v>
      </c>
      <c r="E14" s="3">
        <v>32</v>
      </c>
      <c r="F14" s="3">
        <v>41</v>
      </c>
      <c r="G14" s="3">
        <v>163</v>
      </c>
    </row>
    <row r="15" ht="18.75" spans="1:7">
      <c r="A15" s="1" t="s">
        <v>21</v>
      </c>
      <c r="B15" s="1" t="s">
        <v>8</v>
      </c>
      <c r="C15" s="3">
        <v>329</v>
      </c>
      <c r="D15" s="3">
        <v>80</v>
      </c>
      <c r="E15" s="3">
        <v>38</v>
      </c>
      <c r="F15" s="3">
        <v>50</v>
      </c>
      <c r="G15" s="3">
        <v>161</v>
      </c>
    </row>
    <row r="16" ht="18.75" spans="1:7">
      <c r="A16" s="1" t="s">
        <v>22</v>
      </c>
      <c r="B16" s="1" t="s">
        <v>8</v>
      </c>
      <c r="C16" s="3">
        <v>326</v>
      </c>
      <c r="D16" s="3">
        <v>68</v>
      </c>
      <c r="E16" s="3">
        <v>16</v>
      </c>
      <c r="F16" s="3">
        <v>69</v>
      </c>
      <c r="G16" s="3">
        <v>173</v>
      </c>
    </row>
    <row r="17" ht="18.75" spans="1:7">
      <c r="A17" s="1" t="s">
        <v>23</v>
      </c>
      <c r="B17" s="1" t="s">
        <v>8</v>
      </c>
      <c r="C17" s="3">
        <v>324.5</v>
      </c>
      <c r="D17" s="3">
        <v>72</v>
      </c>
      <c r="E17" s="3">
        <v>51</v>
      </c>
      <c r="F17" s="3">
        <v>37.5</v>
      </c>
      <c r="G17" s="3">
        <v>164</v>
      </c>
    </row>
    <row r="18" ht="18.75" spans="1:7">
      <c r="A18" s="1" t="s">
        <v>24</v>
      </c>
      <c r="B18" s="1" t="s">
        <v>8</v>
      </c>
      <c r="C18" s="3">
        <v>323.5</v>
      </c>
      <c r="D18" s="3">
        <v>76</v>
      </c>
      <c r="E18" s="3">
        <v>50</v>
      </c>
      <c r="F18" s="3">
        <v>43.5</v>
      </c>
      <c r="G18" s="3">
        <v>154</v>
      </c>
    </row>
    <row r="19" ht="18.75" spans="1:7">
      <c r="A19" s="1" t="s">
        <v>25</v>
      </c>
      <c r="B19" s="1" t="s">
        <v>8</v>
      </c>
      <c r="C19" s="3">
        <v>321</v>
      </c>
      <c r="D19" s="3">
        <v>77</v>
      </c>
      <c r="E19" s="3">
        <v>20</v>
      </c>
      <c r="F19" s="3">
        <v>66</v>
      </c>
      <c r="G19" s="3">
        <v>158</v>
      </c>
    </row>
    <row r="20" ht="18.75" spans="1:7">
      <c r="A20" s="1" t="s">
        <v>26</v>
      </c>
      <c r="B20" s="1" t="s">
        <v>8</v>
      </c>
      <c r="C20" s="3">
        <v>320.5</v>
      </c>
      <c r="D20" s="3">
        <v>80</v>
      </c>
      <c r="E20" s="3">
        <v>44</v>
      </c>
      <c r="F20" s="3">
        <v>40.5</v>
      </c>
      <c r="G20" s="3">
        <v>156</v>
      </c>
    </row>
    <row r="21" ht="18.75" spans="1:7">
      <c r="A21" s="1" t="s">
        <v>27</v>
      </c>
      <c r="B21" s="1" t="s">
        <v>8</v>
      </c>
      <c r="C21" s="3">
        <v>319.5</v>
      </c>
      <c r="D21" s="3">
        <v>85</v>
      </c>
      <c r="E21" s="3">
        <v>20</v>
      </c>
      <c r="F21" s="3">
        <v>51.5</v>
      </c>
      <c r="G21" s="3">
        <v>163</v>
      </c>
    </row>
    <row r="22" ht="18.75" spans="1:7">
      <c r="A22" s="1" t="s">
        <v>28</v>
      </c>
      <c r="B22" s="1" t="s">
        <v>8</v>
      </c>
      <c r="C22" s="3">
        <v>309.5</v>
      </c>
      <c r="D22" s="3">
        <v>83</v>
      </c>
      <c r="E22" s="3">
        <v>20</v>
      </c>
      <c r="F22" s="3">
        <v>46.5</v>
      </c>
      <c r="G22" s="3">
        <v>160</v>
      </c>
    </row>
    <row r="23" ht="18.75" spans="1:7">
      <c r="A23" s="1" t="s">
        <v>29</v>
      </c>
      <c r="B23" s="1" t="s">
        <v>8</v>
      </c>
      <c r="C23" s="3">
        <v>308</v>
      </c>
      <c r="D23" s="3">
        <v>79</v>
      </c>
      <c r="E23" s="3">
        <v>19</v>
      </c>
      <c r="F23" s="3">
        <v>44</v>
      </c>
      <c r="G23" s="3">
        <v>166</v>
      </c>
    </row>
    <row r="24" ht="18.75" spans="1:7">
      <c r="A24" s="1" t="s">
        <v>30</v>
      </c>
      <c r="B24" s="1" t="s">
        <v>8</v>
      </c>
      <c r="C24" s="3">
        <v>303.5</v>
      </c>
      <c r="D24" s="3">
        <v>66</v>
      </c>
      <c r="E24" s="3">
        <v>28</v>
      </c>
      <c r="F24" s="3">
        <v>43.5</v>
      </c>
      <c r="G24" s="3">
        <v>166</v>
      </c>
    </row>
    <row r="25" ht="18.75" spans="1:7">
      <c r="A25" s="1" t="s">
        <v>31</v>
      </c>
      <c r="B25" s="1" t="s">
        <v>8</v>
      </c>
      <c r="C25" s="3">
        <v>299.5</v>
      </c>
      <c r="D25" s="3">
        <v>76</v>
      </c>
      <c r="E25" s="3">
        <v>23</v>
      </c>
      <c r="F25" s="3">
        <v>50.5</v>
      </c>
      <c r="G25" s="3">
        <v>150</v>
      </c>
    </row>
    <row r="26" ht="18.75" spans="1:7">
      <c r="A26" s="1" t="s">
        <v>32</v>
      </c>
      <c r="B26" s="1" t="s">
        <v>8</v>
      </c>
      <c r="C26" s="3">
        <v>296.5</v>
      </c>
      <c r="D26" s="3">
        <v>75</v>
      </c>
      <c r="E26" s="3">
        <v>25</v>
      </c>
      <c r="F26" s="3">
        <v>46.5</v>
      </c>
      <c r="G26" s="3">
        <v>150</v>
      </c>
    </row>
    <row r="27" ht="18.75" spans="1:7">
      <c r="A27" s="1" t="s">
        <v>33</v>
      </c>
      <c r="B27" s="1" t="s">
        <v>8</v>
      </c>
      <c r="C27" s="3">
        <v>291.5</v>
      </c>
      <c r="D27" s="3">
        <v>81</v>
      </c>
      <c r="E27" s="3">
        <v>16</v>
      </c>
      <c r="F27" s="3">
        <v>54.5</v>
      </c>
      <c r="G27" s="3">
        <v>140</v>
      </c>
    </row>
    <row r="28" ht="18.75" spans="1:7">
      <c r="A28" s="1" t="s">
        <v>34</v>
      </c>
      <c r="B28" s="1" t="s">
        <v>8</v>
      </c>
      <c r="C28" s="3">
        <v>285.5</v>
      </c>
      <c r="D28" s="3">
        <v>80</v>
      </c>
      <c r="E28" s="3">
        <v>32</v>
      </c>
      <c r="F28" s="3">
        <v>36.5</v>
      </c>
      <c r="G28" s="3">
        <v>137</v>
      </c>
    </row>
    <row r="29" ht="18.75" spans="1:7">
      <c r="A29" s="1" t="s">
        <v>35</v>
      </c>
      <c r="B29" s="1" t="s">
        <v>8</v>
      </c>
      <c r="C29" s="3">
        <v>275.5</v>
      </c>
      <c r="D29" s="3">
        <v>67</v>
      </c>
      <c r="E29" s="3">
        <v>8</v>
      </c>
      <c r="F29" s="3">
        <v>45.5</v>
      </c>
      <c r="G29" s="3">
        <v>155</v>
      </c>
    </row>
    <row r="30" ht="18.75" spans="1:7">
      <c r="A30" s="1" t="s">
        <v>36</v>
      </c>
      <c r="B30" s="1" t="s">
        <v>8</v>
      </c>
      <c r="C30" s="3">
        <v>272</v>
      </c>
      <c r="D30" s="3">
        <v>77</v>
      </c>
      <c r="E30" s="3">
        <v>20</v>
      </c>
      <c r="F30" s="3">
        <v>29</v>
      </c>
      <c r="G30" s="3">
        <v>146</v>
      </c>
    </row>
    <row r="31" ht="18.75" spans="1:7">
      <c r="A31" s="1" t="s">
        <v>37</v>
      </c>
      <c r="B31" s="1" t="s">
        <v>8</v>
      </c>
      <c r="C31" s="3">
        <v>261</v>
      </c>
      <c r="D31" s="3">
        <v>54</v>
      </c>
      <c r="E31" s="3">
        <v>31</v>
      </c>
      <c r="F31" s="3">
        <v>31</v>
      </c>
      <c r="G31" s="3">
        <v>145</v>
      </c>
    </row>
    <row r="32" ht="18.75" spans="1:7">
      <c r="A32" s="1" t="s">
        <v>38</v>
      </c>
      <c r="B32" s="1" t="s">
        <v>8</v>
      </c>
      <c r="C32" s="3">
        <v>246.5</v>
      </c>
      <c r="D32" s="3">
        <v>72</v>
      </c>
      <c r="E32" s="3">
        <v>12</v>
      </c>
      <c r="F32" s="3">
        <v>28.5</v>
      </c>
      <c r="G32" s="3">
        <v>134</v>
      </c>
    </row>
    <row r="33" ht="18.75" spans="1:7">
      <c r="A33" s="1" t="s">
        <v>39</v>
      </c>
      <c r="B33" s="1" t="s">
        <v>8</v>
      </c>
      <c r="C33" s="3">
        <v>241.5</v>
      </c>
      <c r="D33" s="3">
        <v>64</v>
      </c>
      <c r="E33" s="3">
        <v>12</v>
      </c>
      <c r="F33" s="3">
        <v>28.5</v>
      </c>
      <c r="G33" s="3">
        <v>137</v>
      </c>
    </row>
    <row r="34" ht="18.75" spans="1:7">
      <c r="A34" s="1" t="s">
        <v>40</v>
      </c>
      <c r="B34" s="1" t="s">
        <v>8</v>
      </c>
      <c r="C34" s="3">
        <v>236</v>
      </c>
      <c r="D34" s="3">
        <v>62</v>
      </c>
      <c r="E34" s="3">
        <v>13</v>
      </c>
      <c r="F34" s="3">
        <v>42</v>
      </c>
      <c r="G34" s="3">
        <v>119</v>
      </c>
    </row>
    <row r="35" ht="18.75" spans="1:7">
      <c r="A35" s="11" t="s">
        <v>41</v>
      </c>
      <c r="B35" s="8"/>
      <c r="C35" s="6">
        <f>AVERAGE(C2:C34)</f>
        <v>321.393939393939</v>
      </c>
      <c r="D35" s="6">
        <f>AVERAGE(D2:D34)</f>
        <v>76.9090909090909</v>
      </c>
      <c r="E35" s="6">
        <f>AVERAGE(E2:E34)</f>
        <v>30.9393939393939</v>
      </c>
      <c r="F35" s="6">
        <f>AVERAGE(F2:F34)</f>
        <v>48.6969696969697</v>
      </c>
      <c r="G35" s="6">
        <f>AVERAGE(G2:G34)</f>
        <v>164.848484848485</v>
      </c>
    </row>
  </sheetData>
  <mergeCells count="1">
    <mergeCell ref="A35:B3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opLeftCell="A25" workbookViewId="0">
      <selection activeCell="G53" sqref="G53"/>
    </sheetView>
  </sheetViews>
  <sheetFormatPr defaultColWidth="9" defaultRowHeight="13.5" outlineLevelCol="6"/>
  <cols>
    <col min="1" max="1" width="13" customWidth="1"/>
    <col min="2" max="2" width="24.375" customWidth="1"/>
    <col min="3" max="4" width="16.375" customWidth="1"/>
    <col min="5" max="5" width="17" customWidth="1"/>
    <col min="6" max="6" width="17.25" customWidth="1"/>
    <col min="7" max="7" width="18" customWidth="1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42</v>
      </c>
      <c r="B2" s="1" t="s">
        <v>43</v>
      </c>
      <c r="C2" s="3">
        <v>445.5</v>
      </c>
      <c r="D2" s="3">
        <v>77</v>
      </c>
      <c r="E2" s="3">
        <v>79</v>
      </c>
      <c r="F2" s="3">
        <v>48</v>
      </c>
      <c r="G2" s="3">
        <v>241.5</v>
      </c>
    </row>
    <row r="3" ht="18.75" spans="1:7">
      <c r="A3" s="1" t="s">
        <v>44</v>
      </c>
      <c r="B3" s="1" t="s">
        <v>43</v>
      </c>
      <c r="C3" s="3">
        <v>428</v>
      </c>
      <c r="D3" s="3">
        <v>75</v>
      </c>
      <c r="E3" s="3">
        <v>97</v>
      </c>
      <c r="F3" s="3">
        <v>78</v>
      </c>
      <c r="G3" s="3">
        <v>178</v>
      </c>
    </row>
    <row r="4" ht="18.75" spans="1:7">
      <c r="A4" s="1" t="s">
        <v>45</v>
      </c>
      <c r="B4" s="1" t="s">
        <v>43</v>
      </c>
      <c r="C4" s="3">
        <v>419</v>
      </c>
      <c r="D4" s="3">
        <v>87</v>
      </c>
      <c r="E4" s="3">
        <v>74</v>
      </c>
      <c r="F4" s="3">
        <v>66</v>
      </c>
      <c r="G4" s="3">
        <v>192</v>
      </c>
    </row>
    <row r="5" ht="18.75" spans="1:7">
      <c r="A5" s="1" t="s">
        <v>46</v>
      </c>
      <c r="B5" s="1" t="s">
        <v>43</v>
      </c>
      <c r="C5" s="3">
        <v>418.5</v>
      </c>
      <c r="D5" s="3">
        <v>89</v>
      </c>
      <c r="E5" s="3">
        <v>91</v>
      </c>
      <c r="F5" s="3">
        <v>69</v>
      </c>
      <c r="G5" s="3">
        <v>169.5</v>
      </c>
    </row>
    <row r="6" ht="18.75" spans="1:7">
      <c r="A6" s="1" t="s">
        <v>47</v>
      </c>
      <c r="B6" s="1" t="s">
        <v>43</v>
      </c>
      <c r="C6" s="3">
        <v>411</v>
      </c>
      <c r="D6" s="3">
        <v>88</v>
      </c>
      <c r="E6" s="3">
        <v>68</v>
      </c>
      <c r="F6" s="3">
        <v>63.5</v>
      </c>
      <c r="G6" s="3">
        <v>191.5</v>
      </c>
    </row>
    <row r="7" ht="18.75" spans="1:7">
      <c r="A7" s="1" t="s">
        <v>48</v>
      </c>
      <c r="B7" s="1" t="s">
        <v>43</v>
      </c>
      <c r="C7" s="3">
        <v>397</v>
      </c>
      <c r="D7" s="3">
        <v>79</v>
      </c>
      <c r="E7" s="3">
        <v>72</v>
      </c>
      <c r="F7" s="3">
        <v>69.5</v>
      </c>
      <c r="G7" s="3">
        <v>176.5</v>
      </c>
    </row>
    <row r="8" ht="18.75" spans="1:7">
      <c r="A8" s="1" t="s">
        <v>49</v>
      </c>
      <c r="B8" s="1" t="s">
        <v>43</v>
      </c>
      <c r="C8" s="3">
        <v>389</v>
      </c>
      <c r="D8" s="3">
        <v>62</v>
      </c>
      <c r="E8" s="3">
        <v>92</v>
      </c>
      <c r="F8" s="3">
        <v>75</v>
      </c>
      <c r="G8" s="3">
        <v>160</v>
      </c>
    </row>
    <row r="9" ht="18.75" spans="1:7">
      <c r="A9" s="1" t="s">
        <v>50</v>
      </c>
      <c r="B9" s="1" t="s">
        <v>43</v>
      </c>
      <c r="C9" s="3">
        <v>387.5</v>
      </c>
      <c r="D9" s="3">
        <v>78</v>
      </c>
      <c r="E9" s="3">
        <v>64</v>
      </c>
      <c r="F9" s="3">
        <v>71.5</v>
      </c>
      <c r="G9" s="3">
        <v>174</v>
      </c>
    </row>
    <row r="10" ht="18.75" spans="1:7">
      <c r="A10" s="1" t="s">
        <v>51</v>
      </c>
      <c r="B10" s="1" t="s">
        <v>43</v>
      </c>
      <c r="C10" s="3">
        <v>383</v>
      </c>
      <c r="D10" s="3">
        <v>88</v>
      </c>
      <c r="E10" s="3">
        <v>66</v>
      </c>
      <c r="F10" s="3">
        <v>44.5</v>
      </c>
      <c r="G10" s="3">
        <v>184.5</v>
      </c>
    </row>
    <row r="11" ht="18.75" spans="1:7">
      <c r="A11" s="1" t="s">
        <v>52</v>
      </c>
      <c r="B11" s="1" t="s">
        <v>43</v>
      </c>
      <c r="C11" s="3">
        <v>381.5</v>
      </c>
      <c r="D11" s="3">
        <v>79</v>
      </c>
      <c r="E11" s="3">
        <v>48</v>
      </c>
      <c r="F11" s="3">
        <v>51</v>
      </c>
      <c r="G11" s="3">
        <v>203.5</v>
      </c>
    </row>
    <row r="12" ht="18.75" spans="1:7">
      <c r="A12" s="1" t="s">
        <v>53</v>
      </c>
      <c r="B12" s="1" t="s">
        <v>43</v>
      </c>
      <c r="C12" s="3">
        <v>380</v>
      </c>
      <c r="D12" s="3">
        <v>86</v>
      </c>
      <c r="E12" s="3">
        <v>48</v>
      </c>
      <c r="F12" s="3">
        <v>48</v>
      </c>
      <c r="G12" s="3">
        <v>198</v>
      </c>
    </row>
    <row r="13" ht="18.75" spans="1:7">
      <c r="A13" s="1" t="s">
        <v>54</v>
      </c>
      <c r="B13" s="1" t="s">
        <v>43</v>
      </c>
      <c r="C13" s="3">
        <v>375.5</v>
      </c>
      <c r="D13" s="3">
        <v>89</v>
      </c>
      <c r="E13" s="3">
        <v>63</v>
      </c>
      <c r="F13" s="3">
        <v>67.5</v>
      </c>
      <c r="G13" s="3">
        <v>156</v>
      </c>
    </row>
    <row r="14" ht="18.75" spans="1:7">
      <c r="A14" s="1" t="s">
        <v>55</v>
      </c>
      <c r="B14" s="1" t="s">
        <v>43</v>
      </c>
      <c r="C14" s="3">
        <v>374.5</v>
      </c>
      <c r="D14" s="3">
        <v>63</v>
      </c>
      <c r="E14" s="3">
        <v>88</v>
      </c>
      <c r="F14" s="3">
        <v>40.5</v>
      </c>
      <c r="G14" s="3">
        <v>183</v>
      </c>
    </row>
    <row r="15" ht="18.75" spans="1:7">
      <c r="A15" s="1" t="s">
        <v>56</v>
      </c>
      <c r="B15" s="1" t="s">
        <v>43</v>
      </c>
      <c r="C15" s="3">
        <v>367.5</v>
      </c>
      <c r="D15" s="3">
        <v>79</v>
      </c>
      <c r="E15" s="3">
        <v>65</v>
      </c>
      <c r="F15" s="3">
        <v>50.5</v>
      </c>
      <c r="G15" s="3">
        <v>173</v>
      </c>
    </row>
    <row r="16" ht="18.75" spans="1:7">
      <c r="A16" s="1" t="s">
        <v>57</v>
      </c>
      <c r="B16" s="1" t="s">
        <v>43</v>
      </c>
      <c r="C16" s="3">
        <v>366.5</v>
      </c>
      <c r="D16" s="3">
        <v>65</v>
      </c>
      <c r="E16" s="3">
        <v>60</v>
      </c>
      <c r="F16" s="3">
        <v>53</v>
      </c>
      <c r="G16" s="3">
        <v>188.5</v>
      </c>
    </row>
    <row r="17" ht="18.75" spans="1:7">
      <c r="A17" s="1" t="s">
        <v>58</v>
      </c>
      <c r="B17" s="1" t="s">
        <v>43</v>
      </c>
      <c r="C17" s="3">
        <v>362.5</v>
      </c>
      <c r="D17" s="3">
        <v>83</v>
      </c>
      <c r="E17" s="3">
        <v>72</v>
      </c>
      <c r="F17" s="3">
        <v>36</v>
      </c>
      <c r="G17" s="3">
        <v>171.5</v>
      </c>
    </row>
    <row r="18" ht="18.75" spans="1:7">
      <c r="A18" s="1" t="s">
        <v>59</v>
      </c>
      <c r="B18" s="1" t="s">
        <v>43</v>
      </c>
      <c r="C18" s="3">
        <v>361.5</v>
      </c>
      <c r="D18" s="3">
        <v>88</v>
      </c>
      <c r="E18" s="3">
        <v>72</v>
      </c>
      <c r="F18" s="3">
        <v>43</v>
      </c>
      <c r="G18" s="3">
        <v>158.5</v>
      </c>
    </row>
    <row r="19" ht="18.75" spans="1:7">
      <c r="A19" s="1" t="s">
        <v>60</v>
      </c>
      <c r="B19" s="1" t="s">
        <v>43</v>
      </c>
      <c r="C19" s="3">
        <v>360.5</v>
      </c>
      <c r="D19" s="3">
        <v>81</v>
      </c>
      <c r="E19" s="3">
        <v>69</v>
      </c>
      <c r="F19" s="3">
        <v>61.5</v>
      </c>
      <c r="G19" s="3">
        <v>149</v>
      </c>
    </row>
    <row r="20" ht="18.75" spans="1:7">
      <c r="A20" s="1" t="s">
        <v>61</v>
      </c>
      <c r="B20" s="1" t="s">
        <v>43</v>
      </c>
      <c r="C20" s="3">
        <v>359</v>
      </c>
      <c r="D20" s="3">
        <v>83</v>
      </c>
      <c r="E20" s="3">
        <v>55</v>
      </c>
      <c r="F20" s="3">
        <v>29</v>
      </c>
      <c r="G20" s="3">
        <v>192</v>
      </c>
    </row>
    <row r="21" ht="18.75" spans="1:7">
      <c r="A21" s="1" t="s">
        <v>62</v>
      </c>
      <c r="B21" s="1" t="s">
        <v>43</v>
      </c>
      <c r="C21" s="3">
        <v>357.5</v>
      </c>
      <c r="D21" s="3">
        <v>85</v>
      </c>
      <c r="E21" s="3">
        <v>45</v>
      </c>
      <c r="F21" s="3">
        <v>47</v>
      </c>
      <c r="G21" s="3">
        <v>180.5</v>
      </c>
    </row>
    <row r="22" ht="18.75" spans="1:7">
      <c r="A22" s="1" t="s">
        <v>63</v>
      </c>
      <c r="B22" s="1" t="s">
        <v>43</v>
      </c>
      <c r="C22" s="3">
        <v>355</v>
      </c>
      <c r="D22" s="3">
        <v>81</v>
      </c>
      <c r="E22" s="3">
        <v>53</v>
      </c>
      <c r="F22" s="3">
        <v>51</v>
      </c>
      <c r="G22" s="3">
        <v>170</v>
      </c>
    </row>
    <row r="23" ht="18.75" spans="1:7">
      <c r="A23" s="1" t="s">
        <v>64</v>
      </c>
      <c r="B23" s="1" t="s">
        <v>43</v>
      </c>
      <c r="C23" s="3">
        <v>349.5</v>
      </c>
      <c r="D23" s="3">
        <v>88</v>
      </c>
      <c r="E23" s="3">
        <v>46</v>
      </c>
      <c r="F23" s="3">
        <v>63.5</v>
      </c>
      <c r="G23" s="3">
        <v>152</v>
      </c>
    </row>
    <row r="24" ht="18.75" spans="1:7">
      <c r="A24" s="1" t="s">
        <v>65</v>
      </c>
      <c r="B24" s="1" t="s">
        <v>43</v>
      </c>
      <c r="C24" s="3">
        <v>348</v>
      </c>
      <c r="D24" s="3">
        <v>86</v>
      </c>
      <c r="E24" s="3">
        <v>47</v>
      </c>
      <c r="F24" s="3">
        <v>71</v>
      </c>
      <c r="G24" s="3">
        <v>144</v>
      </c>
    </row>
    <row r="25" ht="18.75" spans="1:7">
      <c r="A25" s="1" t="s">
        <v>66</v>
      </c>
      <c r="B25" s="1" t="s">
        <v>43</v>
      </c>
      <c r="C25" s="3">
        <v>346.5</v>
      </c>
      <c r="D25" s="3">
        <v>78</v>
      </c>
      <c r="E25" s="3">
        <v>75</v>
      </c>
      <c r="F25" s="3">
        <v>48</v>
      </c>
      <c r="G25" s="3">
        <v>145.5</v>
      </c>
    </row>
    <row r="26" ht="18.75" spans="1:7">
      <c r="A26" s="1" t="s">
        <v>67</v>
      </c>
      <c r="B26" s="1" t="s">
        <v>43</v>
      </c>
      <c r="C26" s="3">
        <v>345.5</v>
      </c>
      <c r="D26" s="3">
        <v>78</v>
      </c>
      <c r="E26" s="3">
        <v>53</v>
      </c>
      <c r="F26" s="3">
        <v>58</v>
      </c>
      <c r="G26" s="3">
        <v>156.5</v>
      </c>
    </row>
    <row r="27" ht="18.75" spans="1:7">
      <c r="A27" s="1" t="s">
        <v>68</v>
      </c>
      <c r="B27" s="1" t="s">
        <v>43</v>
      </c>
      <c r="C27" s="3">
        <v>343.5</v>
      </c>
      <c r="D27" s="3">
        <v>83</v>
      </c>
      <c r="E27" s="3">
        <v>35</v>
      </c>
      <c r="F27" s="3">
        <v>67</v>
      </c>
      <c r="G27" s="3">
        <v>158.5</v>
      </c>
    </row>
    <row r="28" ht="18.75" spans="1:7">
      <c r="A28" s="1" t="s">
        <v>69</v>
      </c>
      <c r="B28" s="1" t="s">
        <v>43</v>
      </c>
      <c r="C28" s="3">
        <v>336.5</v>
      </c>
      <c r="D28" s="3">
        <v>79</v>
      </c>
      <c r="E28" s="3">
        <v>70</v>
      </c>
      <c r="F28" s="3">
        <v>46</v>
      </c>
      <c r="G28" s="3">
        <v>141.5</v>
      </c>
    </row>
    <row r="29" ht="18.75" spans="1:7">
      <c r="A29" s="1" t="s">
        <v>70</v>
      </c>
      <c r="B29" s="1" t="s">
        <v>43</v>
      </c>
      <c r="C29" s="3">
        <v>326</v>
      </c>
      <c r="D29" s="3">
        <v>87</v>
      </c>
      <c r="E29" s="3">
        <v>24</v>
      </c>
      <c r="F29" s="3">
        <v>59</v>
      </c>
      <c r="G29" s="3">
        <v>156</v>
      </c>
    </row>
    <row r="30" ht="18.75" spans="1:7">
      <c r="A30" s="1" t="s">
        <v>71</v>
      </c>
      <c r="B30" s="1" t="s">
        <v>43</v>
      </c>
      <c r="C30" s="3">
        <v>325</v>
      </c>
      <c r="D30" s="3">
        <v>96</v>
      </c>
      <c r="E30" s="3">
        <v>43</v>
      </c>
      <c r="F30" s="3">
        <v>70</v>
      </c>
      <c r="G30" s="3">
        <v>116</v>
      </c>
    </row>
    <row r="31" ht="18.75" spans="1:7">
      <c r="A31" s="1" t="s">
        <v>72</v>
      </c>
      <c r="B31" s="1" t="s">
        <v>43</v>
      </c>
      <c r="C31" s="3">
        <v>319.5</v>
      </c>
      <c r="D31" s="3">
        <v>86</v>
      </c>
      <c r="E31" s="3">
        <v>37</v>
      </c>
      <c r="F31" s="3">
        <v>62.5</v>
      </c>
      <c r="G31" s="3">
        <v>134</v>
      </c>
    </row>
    <row r="32" ht="18.75" spans="1:7">
      <c r="A32" s="1" t="s">
        <v>73</v>
      </c>
      <c r="B32" s="1" t="s">
        <v>43</v>
      </c>
      <c r="C32" s="3">
        <v>309.5</v>
      </c>
      <c r="D32" s="3">
        <v>46</v>
      </c>
      <c r="E32" s="3">
        <v>67</v>
      </c>
      <c r="F32" s="3">
        <v>65</v>
      </c>
      <c r="G32" s="3">
        <v>131.5</v>
      </c>
    </row>
    <row r="33" ht="18.75" spans="1:7">
      <c r="A33" s="1" t="s">
        <v>74</v>
      </c>
      <c r="B33" s="1" t="s">
        <v>43</v>
      </c>
      <c r="C33" s="3">
        <v>303</v>
      </c>
      <c r="D33" s="3">
        <v>63</v>
      </c>
      <c r="E33" s="3">
        <v>48</v>
      </c>
      <c r="F33" s="3">
        <v>64</v>
      </c>
      <c r="G33" s="3">
        <v>128</v>
      </c>
    </row>
    <row r="34" ht="18.75" spans="1:7">
      <c r="A34" s="1" t="s">
        <v>75</v>
      </c>
      <c r="B34" s="1" t="s">
        <v>43</v>
      </c>
      <c r="C34" s="3">
        <v>302</v>
      </c>
      <c r="D34" s="3">
        <v>81</v>
      </c>
      <c r="E34" s="3">
        <v>35</v>
      </c>
      <c r="F34" s="3">
        <v>45</v>
      </c>
      <c r="G34" s="3">
        <v>141</v>
      </c>
    </row>
    <row r="35" ht="18.75" spans="1:7">
      <c r="A35" s="1" t="s">
        <v>76</v>
      </c>
      <c r="B35" s="1" t="s">
        <v>43</v>
      </c>
      <c r="C35" s="3">
        <v>301.5</v>
      </c>
      <c r="D35" s="3">
        <v>86</v>
      </c>
      <c r="E35" s="3">
        <v>41</v>
      </c>
      <c r="F35" s="3">
        <v>50</v>
      </c>
      <c r="G35" s="3">
        <v>124.5</v>
      </c>
    </row>
    <row r="36" ht="18.75" spans="1:7">
      <c r="A36" s="1" t="s">
        <v>77</v>
      </c>
      <c r="B36" s="1" t="s">
        <v>43</v>
      </c>
      <c r="C36" s="3">
        <v>295</v>
      </c>
      <c r="D36" s="3">
        <v>69</v>
      </c>
      <c r="E36" s="3">
        <v>44</v>
      </c>
      <c r="F36" s="3">
        <v>54</v>
      </c>
      <c r="G36" s="3">
        <v>128</v>
      </c>
    </row>
    <row r="37" ht="18.75" spans="1:7">
      <c r="A37" s="1" t="s">
        <v>78</v>
      </c>
      <c r="B37" s="1" t="s">
        <v>43</v>
      </c>
      <c r="C37" s="3">
        <v>293</v>
      </c>
      <c r="D37" s="3">
        <v>67</v>
      </c>
      <c r="E37" s="3">
        <v>55</v>
      </c>
      <c r="F37" s="3">
        <v>51</v>
      </c>
      <c r="G37" s="3">
        <v>120</v>
      </c>
    </row>
    <row r="38" ht="18.75" spans="1:7">
      <c r="A38" s="1" t="s">
        <v>79</v>
      </c>
      <c r="B38" s="1" t="s">
        <v>43</v>
      </c>
      <c r="C38" s="3">
        <v>287.5</v>
      </c>
      <c r="D38" s="3">
        <v>73</v>
      </c>
      <c r="E38" s="3">
        <v>20</v>
      </c>
      <c r="F38" s="3">
        <v>42.5</v>
      </c>
      <c r="G38" s="3">
        <v>152</v>
      </c>
    </row>
    <row r="39" ht="18.75" spans="1:7">
      <c r="A39" s="1" t="s">
        <v>80</v>
      </c>
      <c r="B39" s="1" t="s">
        <v>43</v>
      </c>
      <c r="C39" s="3">
        <v>287</v>
      </c>
      <c r="D39" s="3">
        <v>72</v>
      </c>
      <c r="E39" s="3">
        <v>23</v>
      </c>
      <c r="F39" s="3">
        <v>27</v>
      </c>
      <c r="G39" s="3">
        <v>165</v>
      </c>
    </row>
    <row r="40" ht="18.75" spans="1:7">
      <c r="A40" s="1" t="s">
        <v>81</v>
      </c>
      <c r="B40" s="1" t="s">
        <v>43</v>
      </c>
      <c r="C40" s="3">
        <v>282</v>
      </c>
      <c r="D40" s="3">
        <v>69</v>
      </c>
      <c r="E40" s="3">
        <v>33</v>
      </c>
      <c r="F40" s="3">
        <v>14</v>
      </c>
      <c r="G40" s="3">
        <v>166</v>
      </c>
    </row>
    <row r="41" ht="18.75" spans="1:7">
      <c r="A41" s="1" t="s">
        <v>82</v>
      </c>
      <c r="B41" s="1" t="s">
        <v>43</v>
      </c>
      <c r="C41" s="3">
        <v>278</v>
      </c>
      <c r="D41" s="3">
        <v>93</v>
      </c>
      <c r="E41" s="3">
        <v>28</v>
      </c>
      <c r="F41" s="3">
        <v>45</v>
      </c>
      <c r="G41" s="3">
        <v>112</v>
      </c>
    </row>
    <row r="42" ht="18.75" spans="1:7">
      <c r="A42" s="1" t="s">
        <v>83</v>
      </c>
      <c r="B42" s="1" t="s">
        <v>43</v>
      </c>
      <c r="C42" s="3">
        <v>273.5</v>
      </c>
      <c r="D42" s="3">
        <v>72</v>
      </c>
      <c r="E42" s="3">
        <v>62</v>
      </c>
      <c r="F42" s="3">
        <v>34.5</v>
      </c>
      <c r="G42" s="3">
        <v>105</v>
      </c>
    </row>
    <row r="43" ht="18.75" spans="1:7">
      <c r="A43" s="1" t="s">
        <v>84</v>
      </c>
      <c r="B43" s="1" t="s">
        <v>43</v>
      </c>
      <c r="C43" s="3">
        <v>262</v>
      </c>
      <c r="D43" s="3">
        <v>72</v>
      </c>
      <c r="E43" s="3">
        <v>49</v>
      </c>
      <c r="F43" s="3">
        <v>13</v>
      </c>
      <c r="G43" s="3">
        <v>128</v>
      </c>
    </row>
    <row r="44" ht="18.75" spans="1:7">
      <c r="A44" s="1" t="s">
        <v>85</v>
      </c>
      <c r="B44" s="1" t="s">
        <v>43</v>
      </c>
      <c r="C44" s="3">
        <v>255</v>
      </c>
      <c r="D44" s="3">
        <v>76</v>
      </c>
      <c r="E44" s="3">
        <v>33</v>
      </c>
      <c r="F44" s="3">
        <v>42</v>
      </c>
      <c r="G44" s="3">
        <v>104</v>
      </c>
    </row>
    <row r="45" ht="18.75" spans="1:7">
      <c r="A45" s="1" t="s">
        <v>86</v>
      </c>
      <c r="B45" s="1" t="s">
        <v>43</v>
      </c>
      <c r="C45" s="3">
        <v>249.5</v>
      </c>
      <c r="D45" s="3">
        <v>63</v>
      </c>
      <c r="E45" s="3">
        <v>24</v>
      </c>
      <c r="F45" s="3">
        <v>38.5</v>
      </c>
      <c r="G45" s="3">
        <v>124</v>
      </c>
    </row>
    <row r="46" ht="18.75" spans="1:7">
      <c r="A46" s="1" t="s">
        <v>87</v>
      </c>
      <c r="B46" s="1" t="s">
        <v>43</v>
      </c>
      <c r="C46" s="3">
        <v>248</v>
      </c>
      <c r="D46" s="3">
        <v>51</v>
      </c>
      <c r="E46" s="3">
        <v>38</v>
      </c>
      <c r="F46" s="3">
        <v>44</v>
      </c>
      <c r="G46" s="3">
        <v>115</v>
      </c>
    </row>
    <row r="47" ht="18.75" spans="1:7">
      <c r="A47" s="1" t="s">
        <v>88</v>
      </c>
      <c r="B47" s="1" t="s">
        <v>43</v>
      </c>
      <c r="C47" s="3">
        <v>237</v>
      </c>
      <c r="D47" s="3" t="s">
        <v>89</v>
      </c>
      <c r="E47" s="3">
        <v>50</v>
      </c>
      <c r="F47" s="3">
        <v>28</v>
      </c>
      <c r="G47" s="3">
        <v>159</v>
      </c>
    </row>
    <row r="48" ht="18.75" spans="1:7">
      <c r="A48" s="7" t="s">
        <v>41</v>
      </c>
      <c r="B48" s="8"/>
      <c r="C48" s="6">
        <f>AVERAGE(C2:C47)</f>
        <v>338.771739130435</v>
      </c>
      <c r="D48" s="6">
        <f>AVERAGE(D2:D47)</f>
        <v>77.7555555555556</v>
      </c>
      <c r="E48" s="6">
        <f>AVERAGE(E2:E47)</f>
        <v>54.804347826087</v>
      </c>
      <c r="F48" s="6">
        <f>AVERAGE(F2:F47)</f>
        <v>51.4239130434783</v>
      </c>
      <c r="G48" s="6">
        <f>AVERAGE(G2:G47)</f>
        <v>156.478260869565</v>
      </c>
    </row>
  </sheetData>
  <mergeCells count="1">
    <mergeCell ref="A48:B4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15" workbookViewId="0">
      <selection activeCell="D2" sqref="D2:F43"/>
    </sheetView>
  </sheetViews>
  <sheetFormatPr defaultColWidth="9" defaultRowHeight="13.5" outlineLevelCol="6"/>
  <cols>
    <col min="1" max="1" width="13" style="9" customWidth="1"/>
    <col min="2" max="2" width="26.375" style="9" customWidth="1"/>
    <col min="3" max="3" width="16.25" style="9" customWidth="1"/>
    <col min="4" max="4" width="18" style="9" customWidth="1"/>
    <col min="5" max="5" width="16.625" style="9" customWidth="1"/>
    <col min="6" max="6" width="17.25" style="9" customWidth="1"/>
    <col min="7" max="7" width="17.5" style="9" customWidth="1"/>
    <col min="8" max="16384" width="9" style="9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90</v>
      </c>
      <c r="B2" s="1" t="s">
        <v>91</v>
      </c>
      <c r="C2" s="3">
        <v>462.5</v>
      </c>
      <c r="D2" s="2">
        <v>112</v>
      </c>
      <c r="E2" s="3">
        <v>86</v>
      </c>
      <c r="F2" s="3">
        <v>69</v>
      </c>
      <c r="G2" s="3">
        <v>195.5</v>
      </c>
    </row>
    <row r="3" ht="18.75" spans="1:7">
      <c r="A3" s="1" t="s">
        <v>92</v>
      </c>
      <c r="B3" s="1" t="s">
        <v>91</v>
      </c>
      <c r="C3" s="3">
        <v>456.5</v>
      </c>
      <c r="D3" s="3">
        <v>86</v>
      </c>
      <c r="E3" s="3">
        <v>104</v>
      </c>
      <c r="F3" s="3">
        <v>35</v>
      </c>
      <c r="G3" s="3">
        <v>231.5</v>
      </c>
    </row>
    <row r="4" ht="18.75" spans="1:7">
      <c r="A4" s="1" t="s">
        <v>93</v>
      </c>
      <c r="B4" s="1" t="s">
        <v>91</v>
      </c>
      <c r="C4" s="3">
        <v>407.5</v>
      </c>
      <c r="D4" s="3">
        <v>101</v>
      </c>
      <c r="E4" s="3">
        <v>73</v>
      </c>
      <c r="F4" s="3">
        <v>68</v>
      </c>
      <c r="G4" s="3">
        <v>165.5</v>
      </c>
    </row>
    <row r="5" ht="18.75" spans="1:7">
      <c r="A5" s="1" t="s">
        <v>94</v>
      </c>
      <c r="B5" s="1" t="s">
        <v>91</v>
      </c>
      <c r="C5" s="3">
        <v>405</v>
      </c>
      <c r="D5" s="3">
        <v>108</v>
      </c>
      <c r="E5" s="3">
        <v>64</v>
      </c>
      <c r="F5" s="3">
        <v>70.5</v>
      </c>
      <c r="G5" s="3">
        <v>162.5</v>
      </c>
    </row>
    <row r="6" ht="18.75" spans="1:7">
      <c r="A6" s="1" t="s">
        <v>95</v>
      </c>
      <c r="B6" s="1" t="s">
        <v>91</v>
      </c>
      <c r="C6" s="3">
        <v>403.5</v>
      </c>
      <c r="D6" s="3">
        <v>94</v>
      </c>
      <c r="E6" s="3">
        <v>69</v>
      </c>
      <c r="F6" s="3">
        <v>46.5</v>
      </c>
      <c r="G6" s="3">
        <v>194</v>
      </c>
    </row>
    <row r="7" ht="18.75" spans="1:7">
      <c r="A7" s="1" t="s">
        <v>96</v>
      </c>
      <c r="B7" s="1" t="s">
        <v>91</v>
      </c>
      <c r="C7" s="3">
        <v>401.5</v>
      </c>
      <c r="D7" s="3">
        <v>90</v>
      </c>
      <c r="E7" s="3">
        <v>93</v>
      </c>
      <c r="F7" s="3">
        <v>25.5</v>
      </c>
      <c r="G7" s="3">
        <v>193</v>
      </c>
    </row>
    <row r="8" ht="18.75" spans="1:7">
      <c r="A8" s="1" t="s">
        <v>97</v>
      </c>
      <c r="B8" s="1" t="s">
        <v>91</v>
      </c>
      <c r="C8" s="3">
        <v>400.5</v>
      </c>
      <c r="D8" s="3">
        <v>95</v>
      </c>
      <c r="E8" s="3">
        <v>105</v>
      </c>
      <c r="F8" s="3">
        <v>39.5</v>
      </c>
      <c r="G8" s="3">
        <v>161</v>
      </c>
    </row>
    <row r="9" ht="18.75" spans="1:7">
      <c r="A9" s="1" t="s">
        <v>98</v>
      </c>
      <c r="B9" s="1" t="s">
        <v>91</v>
      </c>
      <c r="C9" s="3">
        <v>390</v>
      </c>
      <c r="D9" s="3">
        <v>96</v>
      </c>
      <c r="E9" s="3">
        <v>60</v>
      </c>
      <c r="F9" s="3">
        <v>77</v>
      </c>
      <c r="G9" s="3">
        <v>157</v>
      </c>
    </row>
    <row r="10" ht="18.75" spans="1:7">
      <c r="A10" s="1" t="s">
        <v>99</v>
      </c>
      <c r="B10" s="1" t="s">
        <v>91</v>
      </c>
      <c r="C10" s="3">
        <v>381</v>
      </c>
      <c r="D10" s="3">
        <v>106</v>
      </c>
      <c r="E10" s="3">
        <v>53</v>
      </c>
      <c r="F10" s="3">
        <v>81</v>
      </c>
      <c r="G10" s="3">
        <v>141</v>
      </c>
    </row>
    <row r="11" ht="18.75" spans="1:7">
      <c r="A11" s="1" t="s">
        <v>100</v>
      </c>
      <c r="B11" s="1" t="s">
        <v>91</v>
      </c>
      <c r="C11" s="3">
        <v>377</v>
      </c>
      <c r="D11" s="3">
        <v>79</v>
      </c>
      <c r="E11" s="3">
        <v>78</v>
      </c>
      <c r="F11" s="3">
        <v>74</v>
      </c>
      <c r="G11" s="3">
        <v>146</v>
      </c>
    </row>
    <row r="12" ht="18.75" spans="1:7">
      <c r="A12" s="1" t="s">
        <v>101</v>
      </c>
      <c r="B12" s="1" t="s">
        <v>91</v>
      </c>
      <c r="C12" s="3">
        <v>375</v>
      </c>
      <c r="D12" s="3">
        <v>88</v>
      </c>
      <c r="E12" s="3">
        <v>76</v>
      </c>
      <c r="F12" s="3">
        <v>74</v>
      </c>
      <c r="G12" s="3">
        <v>137</v>
      </c>
    </row>
    <row r="13" ht="18.75" spans="1:7">
      <c r="A13" s="1" t="s">
        <v>102</v>
      </c>
      <c r="B13" s="1" t="s">
        <v>91</v>
      </c>
      <c r="C13" s="3">
        <v>363</v>
      </c>
      <c r="D13" s="3">
        <v>82</v>
      </c>
      <c r="E13" s="3">
        <v>68</v>
      </c>
      <c r="F13" s="3">
        <v>39</v>
      </c>
      <c r="G13" s="3">
        <v>174</v>
      </c>
    </row>
    <row r="14" ht="18.75" spans="1:7">
      <c r="A14" s="1" t="s">
        <v>103</v>
      </c>
      <c r="B14" s="1" t="s">
        <v>91</v>
      </c>
      <c r="C14" s="3">
        <v>362</v>
      </c>
      <c r="D14" s="3">
        <v>90</v>
      </c>
      <c r="E14" s="3">
        <v>66</v>
      </c>
      <c r="F14" s="3">
        <v>60</v>
      </c>
      <c r="G14" s="3">
        <v>146</v>
      </c>
    </row>
    <row r="15" ht="18.75" spans="1:7">
      <c r="A15" s="1" t="s">
        <v>104</v>
      </c>
      <c r="B15" s="1" t="s">
        <v>91</v>
      </c>
      <c r="C15" s="3">
        <v>352</v>
      </c>
      <c r="D15" s="3">
        <v>84</v>
      </c>
      <c r="E15" s="3">
        <v>59</v>
      </c>
      <c r="F15" s="3">
        <v>36.5</v>
      </c>
      <c r="G15" s="3">
        <v>172.5</v>
      </c>
    </row>
    <row r="16" ht="18.75" spans="1:7">
      <c r="A16" s="1" t="s">
        <v>105</v>
      </c>
      <c r="B16" s="1" t="s">
        <v>91</v>
      </c>
      <c r="C16" s="3">
        <v>351.5</v>
      </c>
      <c r="D16" s="3">
        <v>97</v>
      </c>
      <c r="E16" s="3">
        <v>61</v>
      </c>
      <c r="F16" s="3">
        <v>43.5</v>
      </c>
      <c r="G16" s="3">
        <v>150</v>
      </c>
    </row>
    <row r="17" ht="18.75" spans="1:7">
      <c r="A17" s="1" t="s">
        <v>106</v>
      </c>
      <c r="B17" s="1" t="s">
        <v>91</v>
      </c>
      <c r="C17" s="3">
        <v>348.5</v>
      </c>
      <c r="D17" s="3">
        <v>90</v>
      </c>
      <c r="E17" s="3">
        <v>51</v>
      </c>
      <c r="F17" s="3">
        <v>36</v>
      </c>
      <c r="G17" s="3">
        <v>171.5</v>
      </c>
    </row>
    <row r="18" ht="18.75" spans="1:7">
      <c r="A18" s="1" t="s">
        <v>107</v>
      </c>
      <c r="B18" s="1" t="s">
        <v>91</v>
      </c>
      <c r="C18" s="3">
        <v>341</v>
      </c>
      <c r="D18" s="3">
        <v>81</v>
      </c>
      <c r="E18" s="3">
        <v>73</v>
      </c>
      <c r="F18" s="3">
        <v>36</v>
      </c>
      <c r="G18" s="3">
        <v>151</v>
      </c>
    </row>
    <row r="19" ht="18.75" spans="1:7">
      <c r="A19" s="1" t="s">
        <v>108</v>
      </c>
      <c r="B19" s="1" t="s">
        <v>91</v>
      </c>
      <c r="C19" s="3">
        <v>339</v>
      </c>
      <c r="D19" s="3">
        <v>82</v>
      </c>
      <c r="E19" s="3">
        <v>61</v>
      </c>
      <c r="F19" s="3">
        <v>68.5</v>
      </c>
      <c r="G19" s="3">
        <v>127.5</v>
      </c>
    </row>
    <row r="20" ht="18.75" spans="1:7">
      <c r="A20" s="1" t="s">
        <v>109</v>
      </c>
      <c r="B20" s="1" t="s">
        <v>91</v>
      </c>
      <c r="C20" s="3">
        <v>334</v>
      </c>
      <c r="D20" s="3">
        <v>70</v>
      </c>
      <c r="E20" s="3">
        <v>63</v>
      </c>
      <c r="F20" s="3">
        <v>18.5</v>
      </c>
      <c r="G20" s="3">
        <v>182.5</v>
      </c>
    </row>
    <row r="21" ht="18.75" spans="1:7">
      <c r="A21" s="1" t="s">
        <v>110</v>
      </c>
      <c r="B21" s="1" t="s">
        <v>91</v>
      </c>
      <c r="C21" s="3">
        <v>325</v>
      </c>
      <c r="D21" s="3">
        <v>87</v>
      </c>
      <c r="E21" s="3">
        <v>41</v>
      </c>
      <c r="F21" s="3">
        <v>61</v>
      </c>
      <c r="G21" s="3">
        <v>136</v>
      </c>
    </row>
    <row r="22" ht="18.75" spans="1:7">
      <c r="A22" s="1" t="s">
        <v>111</v>
      </c>
      <c r="B22" s="1" t="s">
        <v>91</v>
      </c>
      <c r="C22" s="3">
        <v>323.5</v>
      </c>
      <c r="D22" s="3">
        <v>85</v>
      </c>
      <c r="E22" s="3">
        <v>51</v>
      </c>
      <c r="F22" s="3">
        <v>66</v>
      </c>
      <c r="G22" s="3">
        <v>121.5</v>
      </c>
    </row>
    <row r="23" ht="18.75" spans="1:7">
      <c r="A23" s="1" t="s">
        <v>112</v>
      </c>
      <c r="B23" s="1" t="s">
        <v>91</v>
      </c>
      <c r="C23" s="3">
        <v>318</v>
      </c>
      <c r="D23" s="3">
        <v>80</v>
      </c>
      <c r="E23" s="3">
        <v>53</v>
      </c>
      <c r="F23" s="3">
        <v>54.5</v>
      </c>
      <c r="G23" s="3">
        <v>130.5</v>
      </c>
    </row>
    <row r="24" ht="18.75" spans="1:7">
      <c r="A24" s="1" t="s">
        <v>113</v>
      </c>
      <c r="B24" s="1" t="s">
        <v>91</v>
      </c>
      <c r="C24" s="3">
        <v>317</v>
      </c>
      <c r="D24" s="3">
        <v>84</v>
      </c>
      <c r="E24" s="3">
        <v>45</v>
      </c>
      <c r="F24" s="3">
        <v>68</v>
      </c>
      <c r="G24" s="3">
        <v>120</v>
      </c>
    </row>
    <row r="25" ht="18.75" spans="1:7">
      <c r="A25" s="1" t="s">
        <v>114</v>
      </c>
      <c r="B25" s="1" t="s">
        <v>91</v>
      </c>
      <c r="C25" s="3">
        <v>315.5</v>
      </c>
      <c r="D25" s="3">
        <v>83</v>
      </c>
      <c r="E25" s="3">
        <v>43</v>
      </c>
      <c r="F25" s="3">
        <v>55</v>
      </c>
      <c r="G25" s="3">
        <v>134.5</v>
      </c>
    </row>
    <row r="26" ht="18.75" spans="1:7">
      <c r="A26" s="1" t="s">
        <v>115</v>
      </c>
      <c r="B26" s="1" t="s">
        <v>91</v>
      </c>
      <c r="C26" s="3">
        <v>314.5</v>
      </c>
      <c r="D26" s="3">
        <v>82</v>
      </c>
      <c r="E26" s="3">
        <v>50</v>
      </c>
      <c r="F26" s="3">
        <v>54.5</v>
      </c>
      <c r="G26" s="3">
        <v>128</v>
      </c>
    </row>
    <row r="27" ht="18.75" spans="1:7">
      <c r="A27" s="1" t="s">
        <v>116</v>
      </c>
      <c r="B27" s="1" t="s">
        <v>91</v>
      </c>
      <c r="C27" s="3">
        <v>314.5</v>
      </c>
      <c r="D27" s="3">
        <v>65</v>
      </c>
      <c r="E27" s="3">
        <v>89</v>
      </c>
      <c r="F27" s="3">
        <v>30</v>
      </c>
      <c r="G27" s="3">
        <v>130.5</v>
      </c>
    </row>
    <row r="28" ht="18.75" spans="1:7">
      <c r="A28" s="1" t="s">
        <v>117</v>
      </c>
      <c r="B28" s="1" t="s">
        <v>91</v>
      </c>
      <c r="C28" s="3">
        <v>313.5</v>
      </c>
      <c r="D28" s="3">
        <v>86</v>
      </c>
      <c r="E28" s="3">
        <v>42</v>
      </c>
      <c r="F28" s="3">
        <v>57.5</v>
      </c>
      <c r="G28" s="3">
        <v>128</v>
      </c>
    </row>
    <row r="29" ht="18.75" spans="1:7">
      <c r="A29" s="1" t="s">
        <v>118</v>
      </c>
      <c r="B29" s="1" t="s">
        <v>91</v>
      </c>
      <c r="C29" s="3">
        <v>313</v>
      </c>
      <c r="D29" s="3">
        <v>88</v>
      </c>
      <c r="E29" s="3">
        <v>50</v>
      </c>
      <c r="F29" s="3">
        <v>35</v>
      </c>
      <c r="G29" s="3">
        <v>140</v>
      </c>
    </row>
    <row r="30" ht="18.75" spans="1:7">
      <c r="A30" s="1" t="s">
        <v>119</v>
      </c>
      <c r="B30" s="1" t="s">
        <v>91</v>
      </c>
      <c r="C30" s="3">
        <v>308.5</v>
      </c>
      <c r="D30" s="3">
        <v>94</v>
      </c>
      <c r="E30" s="3">
        <v>37</v>
      </c>
      <c r="F30" s="3">
        <v>49.5</v>
      </c>
      <c r="G30" s="3">
        <v>128</v>
      </c>
    </row>
    <row r="31" ht="18.75" spans="1:7">
      <c r="A31" s="1" t="s">
        <v>120</v>
      </c>
      <c r="B31" s="1" t="s">
        <v>91</v>
      </c>
      <c r="C31" s="3">
        <v>303.5</v>
      </c>
      <c r="D31" s="3">
        <v>77</v>
      </c>
      <c r="E31" s="3">
        <v>72</v>
      </c>
      <c r="F31" s="3">
        <v>34.5</v>
      </c>
      <c r="G31" s="3">
        <v>120</v>
      </c>
    </row>
    <row r="32" ht="18.75" spans="1:7">
      <c r="A32" s="1" t="s">
        <v>121</v>
      </c>
      <c r="B32" s="1" t="s">
        <v>91</v>
      </c>
      <c r="C32" s="3">
        <v>301.5</v>
      </c>
      <c r="D32" s="3">
        <v>65</v>
      </c>
      <c r="E32" s="3">
        <v>44</v>
      </c>
      <c r="F32" s="3">
        <v>68.5</v>
      </c>
      <c r="G32" s="3">
        <v>124</v>
      </c>
    </row>
    <row r="33" ht="18.75" spans="1:7">
      <c r="A33" s="1" t="s">
        <v>122</v>
      </c>
      <c r="B33" s="1" t="s">
        <v>91</v>
      </c>
      <c r="C33" s="3">
        <v>296</v>
      </c>
      <c r="D33" s="3">
        <v>80</v>
      </c>
      <c r="E33" s="3">
        <v>34</v>
      </c>
      <c r="F33" s="3">
        <v>58</v>
      </c>
      <c r="G33" s="3">
        <v>124</v>
      </c>
    </row>
    <row r="34" ht="18.75" spans="1:7">
      <c r="A34" s="1" t="s">
        <v>123</v>
      </c>
      <c r="B34" s="1" t="s">
        <v>91</v>
      </c>
      <c r="C34" s="3">
        <v>294.5</v>
      </c>
      <c r="D34" s="3">
        <v>75</v>
      </c>
      <c r="E34" s="3">
        <v>55</v>
      </c>
      <c r="F34" s="3">
        <v>48.5</v>
      </c>
      <c r="G34" s="3">
        <v>116</v>
      </c>
    </row>
    <row r="35" ht="18.75" spans="1:7">
      <c r="A35" s="1" t="s">
        <v>124</v>
      </c>
      <c r="B35" s="1" t="s">
        <v>91</v>
      </c>
      <c r="C35" s="3">
        <v>293</v>
      </c>
      <c r="D35" s="3">
        <v>79</v>
      </c>
      <c r="E35" s="3">
        <v>73</v>
      </c>
      <c r="F35" s="3">
        <v>21</v>
      </c>
      <c r="G35" s="3">
        <v>120</v>
      </c>
    </row>
    <row r="36" ht="18.75" spans="1:7">
      <c r="A36" s="1" t="s">
        <v>125</v>
      </c>
      <c r="B36" s="1" t="s">
        <v>91</v>
      </c>
      <c r="C36" s="3">
        <v>290.5</v>
      </c>
      <c r="D36" s="3">
        <v>88</v>
      </c>
      <c r="E36" s="3">
        <v>20</v>
      </c>
      <c r="F36" s="3">
        <v>66.5</v>
      </c>
      <c r="G36" s="3">
        <v>116</v>
      </c>
    </row>
    <row r="37" ht="18.75" spans="1:7">
      <c r="A37" s="1" t="s">
        <v>126</v>
      </c>
      <c r="B37" s="1" t="s">
        <v>91</v>
      </c>
      <c r="C37" s="3">
        <v>285.5</v>
      </c>
      <c r="D37" s="3">
        <v>78</v>
      </c>
      <c r="E37" s="3">
        <v>37</v>
      </c>
      <c r="F37" s="3">
        <v>40.5</v>
      </c>
      <c r="G37" s="3">
        <v>130</v>
      </c>
    </row>
    <row r="38" ht="18.75" spans="1:7">
      <c r="A38" s="1" t="s">
        <v>127</v>
      </c>
      <c r="B38" s="1" t="s">
        <v>91</v>
      </c>
      <c r="C38" s="3">
        <v>283.5</v>
      </c>
      <c r="D38" s="3">
        <v>84</v>
      </c>
      <c r="E38" s="3">
        <v>36</v>
      </c>
      <c r="F38" s="3">
        <v>67.5</v>
      </c>
      <c r="G38" s="3">
        <v>96</v>
      </c>
    </row>
    <row r="39" ht="18.75" spans="1:7">
      <c r="A39" s="1" t="s">
        <v>128</v>
      </c>
      <c r="B39" s="1" t="s">
        <v>91</v>
      </c>
      <c r="C39" s="3">
        <v>283.5</v>
      </c>
      <c r="D39" s="3">
        <v>80</v>
      </c>
      <c r="E39" s="3">
        <v>14</v>
      </c>
      <c r="F39" s="3">
        <v>73.5</v>
      </c>
      <c r="G39" s="3">
        <v>116</v>
      </c>
    </row>
    <row r="40" ht="18.75" spans="1:7">
      <c r="A40" s="1" t="s">
        <v>129</v>
      </c>
      <c r="B40" s="1" t="s">
        <v>91</v>
      </c>
      <c r="C40" s="3">
        <v>280.5</v>
      </c>
      <c r="D40" s="3">
        <v>76</v>
      </c>
      <c r="E40" s="3">
        <v>26</v>
      </c>
      <c r="F40" s="3">
        <v>24.5</v>
      </c>
      <c r="G40" s="3">
        <v>154</v>
      </c>
    </row>
    <row r="41" ht="18.75" spans="1:7">
      <c r="A41" s="1" t="s">
        <v>130</v>
      </c>
      <c r="B41" s="1" t="s">
        <v>91</v>
      </c>
      <c r="C41" s="3">
        <v>278</v>
      </c>
      <c r="D41" s="3">
        <v>78</v>
      </c>
      <c r="E41" s="3">
        <v>48</v>
      </c>
      <c r="F41" s="3">
        <v>48</v>
      </c>
      <c r="G41" s="3">
        <v>104</v>
      </c>
    </row>
    <row r="42" ht="18.75" spans="1:7">
      <c r="A42" s="1" t="s">
        <v>131</v>
      </c>
      <c r="B42" s="1" t="s">
        <v>91</v>
      </c>
      <c r="C42" s="3">
        <v>273</v>
      </c>
      <c r="D42" s="3">
        <v>68</v>
      </c>
      <c r="E42" s="3">
        <v>28</v>
      </c>
      <c r="F42" s="3">
        <v>47</v>
      </c>
      <c r="G42" s="3">
        <v>130</v>
      </c>
    </row>
    <row r="43" ht="18.75" spans="1:7">
      <c r="A43" s="1" t="s">
        <v>132</v>
      </c>
      <c r="B43" s="1" t="s">
        <v>91</v>
      </c>
      <c r="C43" s="3">
        <v>265</v>
      </c>
      <c r="D43" s="3">
        <v>76</v>
      </c>
      <c r="E43" s="3">
        <v>35</v>
      </c>
      <c r="F43" s="3">
        <v>48</v>
      </c>
      <c r="G43" s="3">
        <v>106</v>
      </c>
    </row>
    <row r="44" ht="18.75" spans="1:7">
      <c r="A44" s="4" t="s">
        <v>41</v>
      </c>
      <c r="B44" s="5"/>
      <c r="C44" s="6">
        <f>AVERAGE(C2:C43)</f>
        <v>336.714285714286</v>
      </c>
      <c r="D44" s="6">
        <f>AVERAGE(D2:D43)</f>
        <v>84.9761904761905</v>
      </c>
      <c r="E44" s="6">
        <f>AVERAGE(E2:E43)</f>
        <v>56.8095238095238</v>
      </c>
      <c r="F44" s="6">
        <f>AVERAGE(F2:F43)</f>
        <v>51.7857142857143</v>
      </c>
      <c r="G44" s="6">
        <f>AVERAGE(G2:G43)</f>
        <v>143.142857142857</v>
      </c>
    </row>
  </sheetData>
  <mergeCells count="1">
    <mergeCell ref="A44:B4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D2" sqref="D2:F26"/>
    </sheetView>
  </sheetViews>
  <sheetFormatPr defaultColWidth="9" defaultRowHeight="13.5" outlineLevelCol="6"/>
  <cols>
    <col min="1" max="1" width="13" customWidth="1"/>
    <col min="2" max="2" width="23.375" customWidth="1"/>
    <col min="3" max="3" width="16.25" customWidth="1"/>
    <col min="4" max="4" width="16.125" customWidth="1"/>
    <col min="5" max="5" width="15.375" customWidth="1"/>
    <col min="6" max="6" width="15.625" customWidth="1"/>
    <col min="7" max="7" width="16.625" customWidth="1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133</v>
      </c>
      <c r="B2" s="1" t="s">
        <v>134</v>
      </c>
      <c r="C2" s="3">
        <v>470.5</v>
      </c>
      <c r="D2" s="3">
        <v>107</v>
      </c>
      <c r="E2" s="3">
        <v>91</v>
      </c>
      <c r="F2" s="3">
        <v>64.5</v>
      </c>
      <c r="G2" s="3">
        <v>208</v>
      </c>
    </row>
    <row r="3" ht="18.75" spans="1:7">
      <c r="A3" s="1" t="s">
        <v>135</v>
      </c>
      <c r="B3" s="1" t="s">
        <v>134</v>
      </c>
      <c r="C3" s="3">
        <v>450</v>
      </c>
      <c r="D3" s="3">
        <v>99</v>
      </c>
      <c r="E3" s="3">
        <v>46</v>
      </c>
      <c r="F3" s="3">
        <v>76</v>
      </c>
      <c r="G3" s="3">
        <v>229</v>
      </c>
    </row>
    <row r="4" ht="18.75" spans="1:7">
      <c r="A4" s="1" t="s">
        <v>136</v>
      </c>
      <c r="B4" s="1" t="s">
        <v>134</v>
      </c>
      <c r="C4" s="3">
        <v>420</v>
      </c>
      <c r="D4" s="3">
        <v>83</v>
      </c>
      <c r="E4" s="3">
        <v>55</v>
      </c>
      <c r="F4" s="3">
        <v>59.5</v>
      </c>
      <c r="G4" s="3">
        <v>222.5</v>
      </c>
    </row>
    <row r="5" ht="18.75" spans="1:7">
      <c r="A5" s="1" t="s">
        <v>137</v>
      </c>
      <c r="B5" s="1" t="s">
        <v>134</v>
      </c>
      <c r="C5" s="3">
        <v>416</v>
      </c>
      <c r="D5" s="3">
        <v>83</v>
      </c>
      <c r="E5" s="3">
        <v>41</v>
      </c>
      <c r="F5" s="3">
        <v>51.5</v>
      </c>
      <c r="G5" s="3">
        <v>240.5</v>
      </c>
    </row>
    <row r="6" ht="18.75" spans="1:7">
      <c r="A6" s="1" t="s">
        <v>138</v>
      </c>
      <c r="B6" s="1" t="s">
        <v>134</v>
      </c>
      <c r="C6" s="3">
        <v>404</v>
      </c>
      <c r="D6" s="3">
        <v>76</v>
      </c>
      <c r="E6" s="3">
        <v>84</v>
      </c>
      <c r="F6" s="3">
        <v>62.5</v>
      </c>
      <c r="G6" s="3">
        <v>181.5</v>
      </c>
    </row>
    <row r="7" ht="18.75" spans="1:7">
      <c r="A7" s="1" t="s">
        <v>139</v>
      </c>
      <c r="B7" s="1" t="s">
        <v>134</v>
      </c>
      <c r="C7" s="3">
        <v>399.5</v>
      </c>
      <c r="D7" s="3">
        <v>88</v>
      </c>
      <c r="E7" s="3">
        <v>51</v>
      </c>
      <c r="F7" s="3">
        <v>47.5</v>
      </c>
      <c r="G7" s="3">
        <v>213</v>
      </c>
    </row>
    <row r="8" ht="18.75" spans="1:7">
      <c r="A8" s="1" t="s">
        <v>140</v>
      </c>
      <c r="B8" s="1" t="s">
        <v>134</v>
      </c>
      <c r="C8" s="3">
        <v>389.5</v>
      </c>
      <c r="D8" s="3">
        <v>84</v>
      </c>
      <c r="E8" s="3">
        <v>58</v>
      </c>
      <c r="F8" s="3">
        <v>44.5</v>
      </c>
      <c r="G8" s="3">
        <v>203</v>
      </c>
    </row>
    <row r="9" ht="18.75" spans="1:7">
      <c r="A9" s="1" t="s">
        <v>141</v>
      </c>
      <c r="B9" s="1" t="s">
        <v>134</v>
      </c>
      <c r="C9" s="3">
        <v>386.5</v>
      </c>
      <c r="D9" s="3">
        <v>89</v>
      </c>
      <c r="E9" s="3">
        <v>45</v>
      </c>
      <c r="F9" s="3">
        <v>56.5</v>
      </c>
      <c r="G9" s="3">
        <v>196</v>
      </c>
    </row>
    <row r="10" ht="18.75" spans="1:7">
      <c r="A10" s="1" t="s">
        <v>142</v>
      </c>
      <c r="B10" s="1" t="s">
        <v>134</v>
      </c>
      <c r="C10" s="3">
        <v>374.5</v>
      </c>
      <c r="D10" s="3">
        <v>77</v>
      </c>
      <c r="E10" s="3">
        <v>27</v>
      </c>
      <c r="F10" s="3">
        <v>77</v>
      </c>
      <c r="G10" s="3">
        <v>193.5</v>
      </c>
    </row>
    <row r="11" ht="18.75" spans="1:7">
      <c r="A11" s="1" t="s">
        <v>143</v>
      </c>
      <c r="B11" s="1" t="s">
        <v>134</v>
      </c>
      <c r="C11" s="3">
        <v>367.5</v>
      </c>
      <c r="D11" s="3">
        <v>70</v>
      </c>
      <c r="E11" s="3">
        <v>86</v>
      </c>
      <c r="F11" s="3">
        <v>32.5</v>
      </c>
      <c r="G11" s="3">
        <v>179</v>
      </c>
    </row>
    <row r="12" ht="18.75" spans="1:7">
      <c r="A12" s="1" t="s">
        <v>144</v>
      </c>
      <c r="B12" s="1" t="s">
        <v>134</v>
      </c>
      <c r="C12" s="3">
        <v>366.5</v>
      </c>
      <c r="D12" s="3">
        <v>93</v>
      </c>
      <c r="E12" s="3">
        <v>45</v>
      </c>
      <c r="F12" s="3">
        <v>45</v>
      </c>
      <c r="G12" s="3">
        <v>183.5</v>
      </c>
    </row>
    <row r="13" ht="18.75" spans="1:7">
      <c r="A13" s="1" t="s">
        <v>145</v>
      </c>
      <c r="B13" s="1" t="s">
        <v>134</v>
      </c>
      <c r="C13" s="3">
        <v>365.5</v>
      </c>
      <c r="D13" s="3">
        <v>80</v>
      </c>
      <c r="E13" s="3">
        <v>35</v>
      </c>
      <c r="F13" s="3">
        <v>46.5</v>
      </c>
      <c r="G13" s="3">
        <v>204</v>
      </c>
    </row>
    <row r="14" ht="18.75" spans="1:7">
      <c r="A14" s="1" t="s">
        <v>146</v>
      </c>
      <c r="B14" s="1" t="s">
        <v>134</v>
      </c>
      <c r="C14" s="3">
        <v>361.5</v>
      </c>
      <c r="D14" s="3">
        <v>87</v>
      </c>
      <c r="E14" s="3">
        <v>52</v>
      </c>
      <c r="F14" s="3">
        <v>35.5</v>
      </c>
      <c r="G14" s="3">
        <v>187</v>
      </c>
    </row>
    <row r="15" ht="18.75" spans="1:7">
      <c r="A15" s="1" t="s">
        <v>147</v>
      </c>
      <c r="B15" s="1" t="s">
        <v>134</v>
      </c>
      <c r="C15" s="3">
        <v>358.5</v>
      </c>
      <c r="D15" s="3">
        <v>72</v>
      </c>
      <c r="E15" s="3">
        <v>36</v>
      </c>
      <c r="F15" s="3">
        <v>56</v>
      </c>
      <c r="G15" s="3">
        <v>194.5</v>
      </c>
    </row>
    <row r="16" ht="18.75" spans="1:7">
      <c r="A16" s="1" t="s">
        <v>148</v>
      </c>
      <c r="B16" s="1" t="s">
        <v>134</v>
      </c>
      <c r="C16" s="3">
        <v>358</v>
      </c>
      <c r="D16" s="3">
        <v>93</v>
      </c>
      <c r="E16" s="3">
        <v>26</v>
      </c>
      <c r="F16" s="3">
        <v>57.5</v>
      </c>
      <c r="G16" s="3">
        <v>181.5</v>
      </c>
    </row>
    <row r="17" ht="18.75" spans="1:7">
      <c r="A17" s="1" t="s">
        <v>149</v>
      </c>
      <c r="B17" s="1" t="s">
        <v>134</v>
      </c>
      <c r="C17" s="3">
        <v>348.5</v>
      </c>
      <c r="D17" s="3">
        <v>88</v>
      </c>
      <c r="E17" s="3">
        <v>33</v>
      </c>
      <c r="F17" s="3">
        <v>55.5</v>
      </c>
      <c r="G17" s="3">
        <v>172</v>
      </c>
    </row>
    <row r="18" ht="18.75" spans="1:7">
      <c r="A18" s="1" t="s">
        <v>150</v>
      </c>
      <c r="B18" s="1" t="s">
        <v>134</v>
      </c>
      <c r="C18" s="3">
        <v>319.5</v>
      </c>
      <c r="D18" s="3">
        <v>70</v>
      </c>
      <c r="E18" s="3">
        <v>28</v>
      </c>
      <c r="F18" s="3">
        <v>49.5</v>
      </c>
      <c r="G18" s="3">
        <v>172</v>
      </c>
    </row>
    <row r="19" ht="18.75" spans="1:7">
      <c r="A19" s="1" t="s">
        <v>151</v>
      </c>
      <c r="B19" s="1" t="s">
        <v>134</v>
      </c>
      <c r="C19" s="3">
        <v>315</v>
      </c>
      <c r="D19" s="3">
        <v>80</v>
      </c>
      <c r="E19" s="3">
        <v>19</v>
      </c>
      <c r="F19" s="3">
        <v>57</v>
      </c>
      <c r="G19" s="3">
        <v>159</v>
      </c>
    </row>
    <row r="20" ht="18.75" spans="1:7">
      <c r="A20" s="1" t="s">
        <v>152</v>
      </c>
      <c r="B20" s="1" t="s">
        <v>134</v>
      </c>
      <c r="C20" s="3">
        <v>309</v>
      </c>
      <c r="D20" s="3">
        <v>83</v>
      </c>
      <c r="E20" s="3">
        <v>20</v>
      </c>
      <c r="F20" s="3">
        <v>34</v>
      </c>
      <c r="G20" s="3">
        <v>172</v>
      </c>
    </row>
    <row r="21" ht="18.75" spans="1:7">
      <c r="A21" s="1" t="s">
        <v>153</v>
      </c>
      <c r="B21" s="1" t="s">
        <v>134</v>
      </c>
      <c r="C21" s="3">
        <v>294.5</v>
      </c>
      <c r="D21" s="3">
        <v>67</v>
      </c>
      <c r="E21" s="3">
        <v>48</v>
      </c>
      <c r="F21" s="3">
        <v>24.5</v>
      </c>
      <c r="G21" s="3">
        <v>155</v>
      </c>
    </row>
    <row r="22" ht="18.75" spans="1:7">
      <c r="A22" s="1" t="s">
        <v>154</v>
      </c>
      <c r="B22" s="1" t="s">
        <v>134</v>
      </c>
      <c r="C22" s="3">
        <v>285.5</v>
      </c>
      <c r="D22" s="3">
        <v>68</v>
      </c>
      <c r="E22" s="3">
        <v>8</v>
      </c>
      <c r="F22" s="3">
        <v>58</v>
      </c>
      <c r="G22" s="3">
        <v>151.5</v>
      </c>
    </row>
    <row r="23" ht="18.75" spans="1:7">
      <c r="A23" s="1" t="s">
        <v>155</v>
      </c>
      <c r="B23" s="1" t="s">
        <v>134</v>
      </c>
      <c r="C23" s="3">
        <v>267.5</v>
      </c>
      <c r="D23" s="3">
        <v>73</v>
      </c>
      <c r="E23" s="3">
        <v>4</v>
      </c>
      <c r="F23" s="3">
        <v>41</v>
      </c>
      <c r="G23" s="3">
        <v>149.5</v>
      </c>
    </row>
    <row r="24" ht="18.75" spans="1:7">
      <c r="A24" s="1" t="s">
        <v>156</v>
      </c>
      <c r="B24" s="1" t="s">
        <v>134</v>
      </c>
      <c r="C24" s="3">
        <v>256.5</v>
      </c>
      <c r="D24" s="3">
        <v>68</v>
      </c>
      <c r="E24" s="3">
        <v>12</v>
      </c>
      <c r="F24" s="3">
        <v>37</v>
      </c>
      <c r="G24" s="3">
        <v>139.5</v>
      </c>
    </row>
    <row r="25" ht="18.75" spans="1:7">
      <c r="A25" s="1" t="s">
        <v>157</v>
      </c>
      <c r="B25" s="1" t="s">
        <v>134</v>
      </c>
      <c r="C25" s="3">
        <v>244.5</v>
      </c>
      <c r="D25" s="3">
        <v>39</v>
      </c>
      <c r="E25" s="3">
        <v>9</v>
      </c>
      <c r="F25" s="3">
        <v>40</v>
      </c>
      <c r="G25" s="3">
        <v>156.5</v>
      </c>
    </row>
    <row r="26" ht="18.75" spans="1:7">
      <c r="A26" s="1" t="s">
        <v>158</v>
      </c>
      <c r="B26" s="1" t="s">
        <v>134</v>
      </c>
      <c r="C26" s="3">
        <v>141</v>
      </c>
      <c r="D26" s="3">
        <v>50</v>
      </c>
      <c r="E26" s="3">
        <v>16</v>
      </c>
      <c r="F26" s="3">
        <v>20</v>
      </c>
      <c r="G26" s="3">
        <v>55</v>
      </c>
    </row>
    <row r="27" ht="18.75" spans="1:7">
      <c r="A27" s="7" t="s">
        <v>41</v>
      </c>
      <c r="B27" s="8"/>
      <c r="C27" s="6">
        <f>AVERAGE(C2:C26)</f>
        <v>346.78</v>
      </c>
      <c r="D27" s="6">
        <f>AVERAGE(D2:D26)</f>
        <v>78.68</v>
      </c>
      <c r="E27" s="6">
        <f>AVERAGE(E2:E26)</f>
        <v>39</v>
      </c>
      <c r="F27" s="6">
        <f>AVERAGE(F2:F26)</f>
        <v>49.16</v>
      </c>
      <c r="G27" s="6">
        <f>AVERAGE(G2:G26)</f>
        <v>179.94</v>
      </c>
    </row>
  </sheetData>
  <mergeCells count="1">
    <mergeCell ref="A27:B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16" workbookViewId="0">
      <selection activeCell="D2" sqref="D2:F44"/>
    </sheetView>
  </sheetViews>
  <sheetFormatPr defaultColWidth="9" defaultRowHeight="13.5" outlineLevelCol="6"/>
  <cols>
    <col min="1" max="1" width="13" customWidth="1"/>
    <col min="2" max="2" width="23.625" customWidth="1"/>
    <col min="3" max="3" width="16.125" customWidth="1"/>
    <col min="4" max="4" width="16.25" customWidth="1"/>
    <col min="5" max="6" width="16.5" customWidth="1"/>
    <col min="7" max="7" width="16.375" customWidth="1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159</v>
      </c>
      <c r="B2" s="1" t="s">
        <v>160</v>
      </c>
      <c r="C2" s="3">
        <v>324</v>
      </c>
      <c r="D2" s="3">
        <v>92</v>
      </c>
      <c r="E2" s="3">
        <v>92</v>
      </c>
      <c r="F2" s="3">
        <v>54</v>
      </c>
      <c r="G2" s="3">
        <v>86</v>
      </c>
    </row>
    <row r="3" ht="18.75" spans="1:7">
      <c r="A3" s="1" t="s">
        <v>161</v>
      </c>
      <c r="B3" s="1" t="s">
        <v>160</v>
      </c>
      <c r="C3" s="3">
        <v>316</v>
      </c>
      <c r="D3" s="3">
        <v>84</v>
      </c>
      <c r="E3" s="3">
        <v>110</v>
      </c>
      <c r="F3" s="3">
        <v>45</v>
      </c>
      <c r="G3" s="3">
        <v>77</v>
      </c>
    </row>
    <row r="4" ht="18.75" spans="1:7">
      <c r="A4" s="1" t="s">
        <v>162</v>
      </c>
      <c r="B4" s="1" t="s">
        <v>160</v>
      </c>
      <c r="C4" s="3">
        <v>309.5</v>
      </c>
      <c r="D4" s="3">
        <v>70</v>
      </c>
      <c r="E4" s="3">
        <v>115</v>
      </c>
      <c r="F4" s="3">
        <v>49.5</v>
      </c>
      <c r="G4" s="3">
        <v>75</v>
      </c>
    </row>
    <row r="5" ht="18.75" spans="1:7">
      <c r="A5" s="1" t="s">
        <v>163</v>
      </c>
      <c r="B5" s="1" t="s">
        <v>160</v>
      </c>
      <c r="C5" s="3">
        <v>307.5</v>
      </c>
      <c r="D5" s="3">
        <v>85</v>
      </c>
      <c r="E5" s="3">
        <v>88</v>
      </c>
      <c r="F5" s="3">
        <v>75.5</v>
      </c>
      <c r="G5" s="3">
        <v>59</v>
      </c>
    </row>
    <row r="6" ht="18.75" spans="1:7">
      <c r="A6" s="1" t="s">
        <v>164</v>
      </c>
      <c r="B6" s="1" t="s">
        <v>160</v>
      </c>
      <c r="C6" s="3">
        <v>306.5</v>
      </c>
      <c r="D6" s="3">
        <v>93</v>
      </c>
      <c r="E6" s="3">
        <v>91</v>
      </c>
      <c r="F6" s="3">
        <v>37.5</v>
      </c>
      <c r="G6" s="3">
        <v>85</v>
      </c>
    </row>
    <row r="7" ht="18.75" spans="1:7">
      <c r="A7" s="1" t="s">
        <v>165</v>
      </c>
      <c r="B7" s="1" t="s">
        <v>160</v>
      </c>
      <c r="C7" s="3">
        <v>303</v>
      </c>
      <c r="D7" s="3">
        <v>87</v>
      </c>
      <c r="E7" s="3">
        <v>89</v>
      </c>
      <c r="F7" s="3">
        <v>44</v>
      </c>
      <c r="G7" s="3">
        <v>83</v>
      </c>
    </row>
    <row r="8" ht="18.75" spans="1:7">
      <c r="A8" s="1" t="s">
        <v>166</v>
      </c>
      <c r="B8" s="1" t="s">
        <v>160</v>
      </c>
      <c r="C8" s="3">
        <v>287.5</v>
      </c>
      <c r="D8" s="3">
        <v>87</v>
      </c>
      <c r="E8" s="3">
        <v>86</v>
      </c>
      <c r="F8" s="3">
        <v>34.5</v>
      </c>
      <c r="G8" s="3">
        <v>80</v>
      </c>
    </row>
    <row r="9" ht="18.75" spans="1:7">
      <c r="A9" s="1" t="s">
        <v>167</v>
      </c>
      <c r="B9" s="1" t="s">
        <v>160</v>
      </c>
      <c r="C9" s="3">
        <v>273.5</v>
      </c>
      <c r="D9" s="3">
        <v>81</v>
      </c>
      <c r="E9" s="3">
        <v>56</v>
      </c>
      <c r="F9" s="3">
        <v>65.5</v>
      </c>
      <c r="G9" s="3">
        <v>71</v>
      </c>
    </row>
    <row r="10" ht="18.75" spans="1:7">
      <c r="A10" s="1" t="s">
        <v>168</v>
      </c>
      <c r="B10" s="1" t="s">
        <v>160</v>
      </c>
      <c r="C10" s="3">
        <v>272</v>
      </c>
      <c r="D10" s="3">
        <v>80</v>
      </c>
      <c r="E10" s="3">
        <v>83</v>
      </c>
      <c r="F10" s="3">
        <v>33</v>
      </c>
      <c r="G10" s="3">
        <v>76</v>
      </c>
    </row>
    <row r="11" ht="18.75" spans="1:7">
      <c r="A11" s="1" t="s">
        <v>169</v>
      </c>
      <c r="B11" s="1" t="s">
        <v>160</v>
      </c>
      <c r="C11" s="3">
        <v>269.5</v>
      </c>
      <c r="D11" s="3">
        <v>69</v>
      </c>
      <c r="E11" s="3">
        <v>89</v>
      </c>
      <c r="F11" s="3">
        <v>39.5</v>
      </c>
      <c r="G11" s="3">
        <v>72</v>
      </c>
    </row>
    <row r="12" ht="18.75" spans="1:7">
      <c r="A12" s="1" t="s">
        <v>170</v>
      </c>
      <c r="B12" s="1" t="s">
        <v>160</v>
      </c>
      <c r="C12" s="3">
        <v>266</v>
      </c>
      <c r="D12" s="3">
        <v>86</v>
      </c>
      <c r="E12" s="3">
        <v>85</v>
      </c>
      <c r="F12" s="3">
        <v>39</v>
      </c>
      <c r="G12" s="3">
        <v>56</v>
      </c>
    </row>
    <row r="13" ht="18.75" spans="1:7">
      <c r="A13" s="1" t="s">
        <v>171</v>
      </c>
      <c r="B13" s="1" t="s">
        <v>160</v>
      </c>
      <c r="C13" s="3">
        <v>262</v>
      </c>
      <c r="D13" s="3">
        <v>80</v>
      </c>
      <c r="E13" s="3">
        <v>50</v>
      </c>
      <c r="F13" s="3">
        <v>49</v>
      </c>
      <c r="G13" s="3">
        <v>83</v>
      </c>
    </row>
    <row r="14" ht="18.75" spans="1:7">
      <c r="A14" s="1" t="s">
        <v>172</v>
      </c>
      <c r="B14" s="1" t="s">
        <v>160</v>
      </c>
      <c r="C14" s="3">
        <v>257.5</v>
      </c>
      <c r="D14" s="3">
        <v>79</v>
      </c>
      <c r="E14" s="3">
        <v>55</v>
      </c>
      <c r="F14" s="3">
        <v>62.5</v>
      </c>
      <c r="G14" s="3">
        <v>61</v>
      </c>
    </row>
    <row r="15" ht="18.75" spans="1:7">
      <c r="A15" s="1" t="s">
        <v>173</v>
      </c>
      <c r="B15" s="1" t="s">
        <v>160</v>
      </c>
      <c r="C15" s="3">
        <v>252.5</v>
      </c>
      <c r="D15" s="3">
        <v>89</v>
      </c>
      <c r="E15" s="3">
        <v>57</v>
      </c>
      <c r="F15" s="3">
        <v>57.5</v>
      </c>
      <c r="G15" s="3">
        <v>49</v>
      </c>
    </row>
    <row r="16" ht="18.75" spans="1:7">
      <c r="A16" s="1" t="s">
        <v>174</v>
      </c>
      <c r="B16" s="1" t="s">
        <v>160</v>
      </c>
      <c r="C16" s="3">
        <v>246.5</v>
      </c>
      <c r="D16" s="3">
        <v>83</v>
      </c>
      <c r="E16" s="3">
        <v>61</v>
      </c>
      <c r="F16" s="3">
        <v>47.5</v>
      </c>
      <c r="G16" s="3">
        <v>55</v>
      </c>
    </row>
    <row r="17" ht="18.75" spans="1:7">
      <c r="A17" s="1" t="s">
        <v>175</v>
      </c>
      <c r="B17" s="1" t="s">
        <v>160</v>
      </c>
      <c r="C17" s="3">
        <v>243.5</v>
      </c>
      <c r="D17" s="3">
        <v>88</v>
      </c>
      <c r="E17" s="3">
        <v>42</v>
      </c>
      <c r="F17" s="3">
        <v>48.5</v>
      </c>
      <c r="G17" s="3">
        <v>65</v>
      </c>
    </row>
    <row r="18" ht="18.75" spans="1:7">
      <c r="A18" s="1" t="s">
        <v>176</v>
      </c>
      <c r="B18" s="1" t="s">
        <v>160</v>
      </c>
      <c r="C18" s="3">
        <v>242.5</v>
      </c>
      <c r="D18" s="3">
        <v>78</v>
      </c>
      <c r="E18" s="3">
        <v>51</v>
      </c>
      <c r="F18" s="3">
        <v>37.5</v>
      </c>
      <c r="G18" s="3">
        <v>76</v>
      </c>
    </row>
    <row r="19" ht="18.75" spans="1:7">
      <c r="A19" s="1" t="s">
        <v>177</v>
      </c>
      <c r="B19" s="1" t="s">
        <v>160</v>
      </c>
      <c r="C19" s="3">
        <v>242</v>
      </c>
      <c r="D19" s="3">
        <v>77</v>
      </c>
      <c r="E19" s="3">
        <v>44</v>
      </c>
      <c r="F19" s="3">
        <v>45</v>
      </c>
      <c r="G19" s="3">
        <v>76</v>
      </c>
    </row>
    <row r="20" ht="18.75" spans="1:7">
      <c r="A20" s="1" t="s">
        <v>178</v>
      </c>
      <c r="B20" s="1" t="s">
        <v>160</v>
      </c>
      <c r="C20" s="3">
        <v>240</v>
      </c>
      <c r="D20" s="3">
        <v>84</v>
      </c>
      <c r="E20" s="3">
        <v>45</v>
      </c>
      <c r="F20" s="3">
        <v>40</v>
      </c>
      <c r="G20" s="3">
        <v>71</v>
      </c>
    </row>
    <row r="21" ht="18.75" spans="1:7">
      <c r="A21" s="1" t="s">
        <v>179</v>
      </c>
      <c r="B21" s="1" t="s">
        <v>160</v>
      </c>
      <c r="C21" s="3">
        <v>237</v>
      </c>
      <c r="D21" s="3">
        <v>91</v>
      </c>
      <c r="E21" s="3">
        <v>27</v>
      </c>
      <c r="F21" s="3">
        <v>60</v>
      </c>
      <c r="G21" s="3">
        <v>59</v>
      </c>
    </row>
    <row r="22" ht="18.75" spans="1:7">
      <c r="A22" s="1" t="s">
        <v>180</v>
      </c>
      <c r="B22" s="1" t="s">
        <v>160</v>
      </c>
      <c r="C22" s="3">
        <v>237</v>
      </c>
      <c r="D22" s="3">
        <v>81</v>
      </c>
      <c r="E22" s="3">
        <v>41</v>
      </c>
      <c r="F22" s="3">
        <v>50</v>
      </c>
      <c r="G22" s="3">
        <v>65</v>
      </c>
    </row>
    <row r="23" ht="18.75" spans="1:7">
      <c r="A23" s="1" t="s">
        <v>181</v>
      </c>
      <c r="B23" s="1" t="s">
        <v>160</v>
      </c>
      <c r="C23" s="3">
        <v>236</v>
      </c>
      <c r="D23" s="3">
        <v>62</v>
      </c>
      <c r="E23" s="3">
        <v>45</v>
      </c>
      <c r="F23" s="3">
        <v>69</v>
      </c>
      <c r="G23" s="3">
        <v>60</v>
      </c>
    </row>
    <row r="24" ht="18.75" spans="1:7">
      <c r="A24" s="1" t="s">
        <v>182</v>
      </c>
      <c r="B24" s="1" t="s">
        <v>160</v>
      </c>
      <c r="C24" s="3">
        <v>233</v>
      </c>
      <c r="D24" s="3">
        <v>76</v>
      </c>
      <c r="E24" s="3">
        <v>51</v>
      </c>
      <c r="F24" s="3">
        <v>35</v>
      </c>
      <c r="G24" s="3">
        <v>71</v>
      </c>
    </row>
    <row r="25" ht="18.75" spans="1:7">
      <c r="A25" s="1" t="s">
        <v>183</v>
      </c>
      <c r="B25" s="1" t="s">
        <v>160</v>
      </c>
      <c r="C25" s="3">
        <v>228</v>
      </c>
      <c r="D25" s="3">
        <v>64</v>
      </c>
      <c r="E25" s="3">
        <v>38</v>
      </c>
      <c r="F25" s="3">
        <v>61</v>
      </c>
      <c r="G25" s="3">
        <v>65</v>
      </c>
    </row>
    <row r="26" ht="18.75" spans="1:7">
      <c r="A26" s="1" t="s">
        <v>184</v>
      </c>
      <c r="B26" s="1" t="s">
        <v>160</v>
      </c>
      <c r="C26" s="3">
        <v>226</v>
      </c>
      <c r="D26" s="3">
        <v>85</v>
      </c>
      <c r="E26" s="3">
        <v>25</v>
      </c>
      <c r="F26" s="3">
        <v>68</v>
      </c>
      <c r="G26" s="3">
        <v>48</v>
      </c>
    </row>
    <row r="27" ht="18.75" spans="1:7">
      <c r="A27" s="1" t="s">
        <v>185</v>
      </c>
      <c r="B27" s="1" t="s">
        <v>160</v>
      </c>
      <c r="C27" s="3">
        <v>225</v>
      </c>
      <c r="D27" s="3">
        <v>64</v>
      </c>
      <c r="E27" s="3">
        <v>58</v>
      </c>
      <c r="F27" s="3">
        <v>55</v>
      </c>
      <c r="G27" s="3">
        <v>48</v>
      </c>
    </row>
    <row r="28" ht="18.75" spans="1:7">
      <c r="A28" s="1" t="s">
        <v>186</v>
      </c>
      <c r="B28" s="1" t="s">
        <v>160</v>
      </c>
      <c r="C28" s="3">
        <v>220.5</v>
      </c>
      <c r="D28" s="3">
        <v>81</v>
      </c>
      <c r="E28" s="3">
        <v>40</v>
      </c>
      <c r="F28" s="3">
        <v>35.5</v>
      </c>
      <c r="G28" s="3">
        <v>64</v>
      </c>
    </row>
    <row r="29" ht="18.75" spans="1:7">
      <c r="A29" s="1" t="s">
        <v>187</v>
      </c>
      <c r="B29" s="1" t="s">
        <v>160</v>
      </c>
      <c r="C29" s="3">
        <v>219</v>
      </c>
      <c r="D29" s="3">
        <v>39</v>
      </c>
      <c r="E29" s="3">
        <v>63</v>
      </c>
      <c r="F29" s="3">
        <v>46</v>
      </c>
      <c r="G29" s="3">
        <v>71</v>
      </c>
    </row>
    <row r="30" ht="18.75" spans="1:7">
      <c r="A30" s="1" t="s">
        <v>188</v>
      </c>
      <c r="B30" s="1" t="s">
        <v>160</v>
      </c>
      <c r="C30" s="3">
        <v>217.5</v>
      </c>
      <c r="D30" s="3">
        <v>68</v>
      </c>
      <c r="E30" s="3">
        <v>41</v>
      </c>
      <c r="F30" s="3">
        <v>56.5</v>
      </c>
      <c r="G30" s="3">
        <v>52</v>
      </c>
    </row>
    <row r="31" ht="18.75" spans="1:7">
      <c r="A31" s="1" t="s">
        <v>189</v>
      </c>
      <c r="B31" s="1" t="s">
        <v>160</v>
      </c>
      <c r="C31" s="3">
        <v>210</v>
      </c>
      <c r="D31" s="3">
        <v>82</v>
      </c>
      <c r="E31" s="3">
        <v>54</v>
      </c>
      <c r="F31" s="3">
        <v>25</v>
      </c>
      <c r="G31" s="3">
        <v>49</v>
      </c>
    </row>
    <row r="32" ht="18.75" spans="1:7">
      <c r="A32" s="1" t="s">
        <v>190</v>
      </c>
      <c r="B32" s="1" t="s">
        <v>160</v>
      </c>
      <c r="C32" s="3">
        <v>209.5</v>
      </c>
      <c r="D32" s="3">
        <v>88</v>
      </c>
      <c r="E32" s="3">
        <v>47</v>
      </c>
      <c r="F32" s="3">
        <v>20.5</v>
      </c>
      <c r="G32" s="3">
        <v>54</v>
      </c>
    </row>
    <row r="33" ht="18.75" spans="1:7">
      <c r="A33" s="1" t="s">
        <v>191</v>
      </c>
      <c r="B33" s="1" t="s">
        <v>160</v>
      </c>
      <c r="C33" s="3">
        <v>209.5</v>
      </c>
      <c r="D33" s="3">
        <v>65</v>
      </c>
      <c r="E33" s="3">
        <v>38</v>
      </c>
      <c r="F33" s="3">
        <v>62.5</v>
      </c>
      <c r="G33" s="3">
        <v>44</v>
      </c>
    </row>
    <row r="34" ht="18.75" spans="1:7">
      <c r="A34" s="1" t="s">
        <v>192</v>
      </c>
      <c r="B34" s="1" t="s">
        <v>160</v>
      </c>
      <c r="C34" s="3">
        <v>207.5</v>
      </c>
      <c r="D34" s="3">
        <v>82</v>
      </c>
      <c r="E34" s="3">
        <v>47</v>
      </c>
      <c r="F34" s="3">
        <v>23.5</v>
      </c>
      <c r="G34" s="3">
        <v>55</v>
      </c>
    </row>
    <row r="35" ht="18.75" spans="1:7">
      <c r="A35" s="1" t="s">
        <v>193</v>
      </c>
      <c r="B35" s="1" t="s">
        <v>160</v>
      </c>
      <c r="C35" s="3">
        <v>206.5</v>
      </c>
      <c r="D35" s="3">
        <v>80</v>
      </c>
      <c r="E35" s="3">
        <v>29</v>
      </c>
      <c r="F35" s="3">
        <v>16.5</v>
      </c>
      <c r="G35" s="3">
        <v>81</v>
      </c>
    </row>
    <row r="36" ht="18.75" spans="1:7">
      <c r="A36" s="1" t="s">
        <v>194</v>
      </c>
      <c r="B36" s="1" t="s">
        <v>160</v>
      </c>
      <c r="C36" s="3">
        <v>202</v>
      </c>
      <c r="D36" s="3">
        <v>77</v>
      </c>
      <c r="E36" s="3">
        <v>20</v>
      </c>
      <c r="F36" s="3">
        <v>48</v>
      </c>
      <c r="G36" s="3">
        <v>57</v>
      </c>
    </row>
    <row r="37" ht="18.75" spans="1:7">
      <c r="A37" s="1" t="s">
        <v>195</v>
      </c>
      <c r="B37" s="1" t="s">
        <v>160</v>
      </c>
      <c r="C37" s="3">
        <v>197.5</v>
      </c>
      <c r="D37" s="3">
        <v>68</v>
      </c>
      <c r="E37" s="3">
        <v>34</v>
      </c>
      <c r="F37" s="3">
        <v>47.5</v>
      </c>
      <c r="G37" s="3">
        <v>48</v>
      </c>
    </row>
    <row r="38" ht="18.75" spans="1:7">
      <c r="A38" s="1" t="s">
        <v>196</v>
      </c>
      <c r="B38" s="1" t="s">
        <v>160</v>
      </c>
      <c r="C38" s="3">
        <v>197.5</v>
      </c>
      <c r="D38" s="3">
        <v>86</v>
      </c>
      <c r="E38" s="3">
        <v>30</v>
      </c>
      <c r="F38" s="3">
        <v>38.5</v>
      </c>
      <c r="G38" s="3">
        <v>43</v>
      </c>
    </row>
    <row r="39" ht="18.75" spans="1:7">
      <c r="A39" s="1" t="s">
        <v>197</v>
      </c>
      <c r="B39" s="1" t="s">
        <v>160</v>
      </c>
      <c r="C39" s="3">
        <v>195.5</v>
      </c>
      <c r="D39" s="3">
        <v>83</v>
      </c>
      <c r="E39" s="3">
        <v>4</v>
      </c>
      <c r="F39" s="3">
        <v>61.5</v>
      </c>
      <c r="G39" s="3">
        <v>47</v>
      </c>
    </row>
    <row r="40" ht="18.75" spans="1:7">
      <c r="A40" s="1" t="s">
        <v>198</v>
      </c>
      <c r="B40" s="1" t="s">
        <v>160</v>
      </c>
      <c r="C40" s="3">
        <v>192.5</v>
      </c>
      <c r="D40" s="3">
        <v>87</v>
      </c>
      <c r="E40" s="3">
        <v>17</v>
      </c>
      <c r="F40" s="3">
        <v>31.5</v>
      </c>
      <c r="G40" s="3">
        <v>57</v>
      </c>
    </row>
    <row r="41" ht="18.75" spans="1:7">
      <c r="A41" s="1" t="s">
        <v>199</v>
      </c>
      <c r="B41" s="1" t="s">
        <v>160</v>
      </c>
      <c r="C41" s="3">
        <v>188.5</v>
      </c>
      <c r="D41" s="3">
        <v>68</v>
      </c>
      <c r="E41" s="3">
        <v>14</v>
      </c>
      <c r="F41" s="3">
        <v>51.5</v>
      </c>
      <c r="G41" s="3">
        <v>55</v>
      </c>
    </row>
    <row r="42" ht="18.75" spans="1:7">
      <c r="A42" s="1" t="s">
        <v>200</v>
      </c>
      <c r="B42" s="1" t="s">
        <v>160</v>
      </c>
      <c r="C42" s="3">
        <v>183</v>
      </c>
      <c r="D42" s="3">
        <v>67</v>
      </c>
      <c r="E42" s="3">
        <v>40</v>
      </c>
      <c r="F42" s="3">
        <v>36</v>
      </c>
      <c r="G42" s="3">
        <v>40</v>
      </c>
    </row>
    <row r="43" ht="18.75" spans="1:7">
      <c r="A43" s="1" t="s">
        <v>201</v>
      </c>
      <c r="B43" s="1" t="s">
        <v>160</v>
      </c>
      <c r="C43" s="3">
        <v>181</v>
      </c>
      <c r="D43" s="3">
        <v>62</v>
      </c>
      <c r="E43" s="3">
        <v>38</v>
      </c>
      <c r="F43" s="3">
        <v>34</v>
      </c>
      <c r="G43" s="3">
        <v>47</v>
      </c>
    </row>
    <row r="44" ht="18.75" spans="1:7">
      <c r="A44" s="1" t="s">
        <v>202</v>
      </c>
      <c r="B44" s="1" t="s">
        <v>160</v>
      </c>
      <c r="C44" s="3">
        <v>180.5</v>
      </c>
      <c r="D44" s="3">
        <v>80</v>
      </c>
      <c r="E44" s="3">
        <v>24</v>
      </c>
      <c r="F44" s="3">
        <v>36.5</v>
      </c>
      <c r="G44" s="3">
        <v>40</v>
      </c>
    </row>
    <row r="45" ht="18.75" spans="1:7">
      <c r="A45" s="7" t="s">
        <v>41</v>
      </c>
      <c r="B45" s="8"/>
      <c r="C45" s="6">
        <f>AVERAGE(C2:C44)</f>
        <v>238.639534883721</v>
      </c>
      <c r="D45" s="6">
        <f>AVERAGE(D2:D44)</f>
        <v>78.0930232558139</v>
      </c>
      <c r="E45" s="6">
        <f>AVERAGE(E2:E44)</f>
        <v>52.4186046511628</v>
      </c>
      <c r="F45" s="6">
        <f>AVERAGE(F2:F44)</f>
        <v>45.8953488372093</v>
      </c>
      <c r="G45" s="6">
        <f>AVERAGE(G2:G44)</f>
        <v>62.2325581395349</v>
      </c>
    </row>
  </sheetData>
  <mergeCells count="1">
    <mergeCell ref="A45:B4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14" workbookViewId="0">
      <selection activeCell="D2" sqref="D2:F43"/>
    </sheetView>
  </sheetViews>
  <sheetFormatPr defaultColWidth="9" defaultRowHeight="13.5" outlineLevelCol="6"/>
  <cols>
    <col min="1" max="1" width="13" customWidth="1"/>
    <col min="2" max="2" width="19.75" customWidth="1"/>
    <col min="3" max="3" width="16.125" customWidth="1"/>
    <col min="4" max="5" width="16" customWidth="1"/>
    <col min="6" max="6" width="15.875" customWidth="1"/>
    <col min="7" max="7" width="15.625" customWidth="1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203</v>
      </c>
      <c r="B2" s="1" t="s">
        <v>204</v>
      </c>
      <c r="C2" s="3">
        <v>533</v>
      </c>
      <c r="D2" s="3">
        <v>67</v>
      </c>
      <c r="E2" s="3">
        <v>114</v>
      </c>
      <c r="F2" s="3">
        <v>69</v>
      </c>
      <c r="G2" s="3">
        <v>283</v>
      </c>
    </row>
    <row r="3" ht="18.75" spans="1:7">
      <c r="A3" s="1" t="s">
        <v>205</v>
      </c>
      <c r="B3" s="1" t="s">
        <v>204</v>
      </c>
      <c r="C3" s="3">
        <v>473.5</v>
      </c>
      <c r="D3" s="3">
        <v>93</v>
      </c>
      <c r="E3" s="3">
        <v>71</v>
      </c>
      <c r="F3" s="3">
        <v>62.5</v>
      </c>
      <c r="G3" s="3">
        <v>247</v>
      </c>
    </row>
    <row r="4" ht="18.75" spans="1:7">
      <c r="A4" s="1" t="s">
        <v>206</v>
      </c>
      <c r="B4" s="1" t="s">
        <v>204</v>
      </c>
      <c r="C4" s="3">
        <v>473.5</v>
      </c>
      <c r="D4" s="3">
        <v>97</v>
      </c>
      <c r="E4" s="3">
        <v>63</v>
      </c>
      <c r="F4" s="3">
        <v>61</v>
      </c>
      <c r="G4" s="3">
        <v>252.5</v>
      </c>
    </row>
    <row r="5" ht="18.75" spans="1:7">
      <c r="A5" s="1" t="s">
        <v>207</v>
      </c>
      <c r="B5" s="1" t="s">
        <v>204</v>
      </c>
      <c r="C5" s="3">
        <v>465</v>
      </c>
      <c r="D5" s="3">
        <v>77</v>
      </c>
      <c r="E5" s="3">
        <v>65</v>
      </c>
      <c r="F5" s="3">
        <v>72</v>
      </c>
      <c r="G5" s="3">
        <v>251</v>
      </c>
    </row>
    <row r="6" ht="18.75" spans="1:7">
      <c r="A6" s="1" t="s">
        <v>208</v>
      </c>
      <c r="B6" s="1" t="s">
        <v>204</v>
      </c>
      <c r="C6" s="3">
        <v>460</v>
      </c>
      <c r="D6" s="3">
        <v>79</v>
      </c>
      <c r="E6" s="3">
        <v>55</v>
      </c>
      <c r="F6" s="3">
        <v>72</v>
      </c>
      <c r="G6" s="3">
        <v>254</v>
      </c>
    </row>
    <row r="7" ht="18.75" spans="1:7">
      <c r="A7" s="1" t="s">
        <v>209</v>
      </c>
      <c r="B7" s="1" t="s">
        <v>204</v>
      </c>
      <c r="C7" s="3">
        <v>459.5</v>
      </c>
      <c r="D7" s="3">
        <v>68</v>
      </c>
      <c r="E7" s="3">
        <v>91</v>
      </c>
      <c r="F7" s="3">
        <v>49</v>
      </c>
      <c r="G7" s="3">
        <v>251.5</v>
      </c>
    </row>
    <row r="8" ht="18.75" spans="1:7">
      <c r="A8" s="1" t="s">
        <v>210</v>
      </c>
      <c r="B8" s="1" t="s">
        <v>204</v>
      </c>
      <c r="C8" s="3">
        <v>456.5</v>
      </c>
      <c r="D8" s="3">
        <v>85</v>
      </c>
      <c r="E8" s="3">
        <v>76</v>
      </c>
      <c r="F8" s="3">
        <v>64.5</v>
      </c>
      <c r="G8" s="3">
        <v>231</v>
      </c>
    </row>
    <row r="9" ht="18.75" spans="1:7">
      <c r="A9" s="1" t="s">
        <v>211</v>
      </c>
      <c r="B9" s="1" t="s">
        <v>204</v>
      </c>
      <c r="C9" s="3">
        <v>453</v>
      </c>
      <c r="D9" s="3">
        <v>77</v>
      </c>
      <c r="E9" s="3">
        <v>57</v>
      </c>
      <c r="F9" s="3">
        <v>40</v>
      </c>
      <c r="G9" s="3">
        <v>279</v>
      </c>
    </row>
    <row r="10" ht="18.75" spans="1:7">
      <c r="A10" s="1" t="s">
        <v>212</v>
      </c>
      <c r="B10" s="1" t="s">
        <v>204</v>
      </c>
      <c r="C10" s="3">
        <v>430</v>
      </c>
      <c r="D10" s="3">
        <v>87</v>
      </c>
      <c r="E10" s="3">
        <v>29</v>
      </c>
      <c r="F10" s="3">
        <v>67</v>
      </c>
      <c r="G10" s="3">
        <v>247</v>
      </c>
    </row>
    <row r="11" ht="18.75" spans="1:7">
      <c r="A11" s="1" t="s">
        <v>213</v>
      </c>
      <c r="B11" s="1" t="s">
        <v>204</v>
      </c>
      <c r="C11" s="3">
        <v>425</v>
      </c>
      <c r="D11" s="3">
        <v>83</v>
      </c>
      <c r="E11" s="3">
        <v>44</v>
      </c>
      <c r="F11" s="3">
        <v>65</v>
      </c>
      <c r="G11" s="3">
        <v>233</v>
      </c>
    </row>
    <row r="12" ht="18.75" spans="1:7">
      <c r="A12" s="1" t="s">
        <v>214</v>
      </c>
      <c r="B12" s="1" t="s">
        <v>204</v>
      </c>
      <c r="C12" s="3">
        <v>424</v>
      </c>
      <c r="D12" s="3">
        <v>80</v>
      </c>
      <c r="E12" s="3">
        <v>46</v>
      </c>
      <c r="F12" s="3">
        <v>45</v>
      </c>
      <c r="G12" s="3">
        <v>253</v>
      </c>
    </row>
    <row r="13" ht="18.75" spans="1:7">
      <c r="A13" s="1" t="s">
        <v>215</v>
      </c>
      <c r="B13" s="1" t="s">
        <v>204</v>
      </c>
      <c r="C13" s="3">
        <v>415.5</v>
      </c>
      <c r="D13" s="3">
        <v>82</v>
      </c>
      <c r="E13" s="3">
        <v>76</v>
      </c>
      <c r="F13" s="3">
        <v>68</v>
      </c>
      <c r="G13" s="3">
        <v>189.5</v>
      </c>
    </row>
    <row r="14" ht="18.75" spans="1:7">
      <c r="A14" s="1" t="s">
        <v>216</v>
      </c>
      <c r="B14" s="1" t="s">
        <v>204</v>
      </c>
      <c r="C14" s="3">
        <v>414</v>
      </c>
      <c r="D14" s="3">
        <v>82</v>
      </c>
      <c r="E14" s="3">
        <v>45</v>
      </c>
      <c r="F14" s="3">
        <v>52.5</v>
      </c>
      <c r="G14" s="3">
        <v>234.5</v>
      </c>
    </row>
    <row r="15" ht="18.75" spans="1:7">
      <c r="A15" s="1" t="s">
        <v>217</v>
      </c>
      <c r="B15" s="1" t="s">
        <v>204</v>
      </c>
      <c r="C15" s="3">
        <v>410.5</v>
      </c>
      <c r="D15" s="3">
        <v>83</v>
      </c>
      <c r="E15" s="3">
        <v>40</v>
      </c>
      <c r="F15" s="3">
        <v>64.5</v>
      </c>
      <c r="G15" s="3">
        <v>223</v>
      </c>
    </row>
    <row r="16" ht="18.75" spans="1:7">
      <c r="A16" s="1" t="s">
        <v>218</v>
      </c>
      <c r="B16" s="1" t="s">
        <v>204</v>
      </c>
      <c r="C16" s="3">
        <v>410</v>
      </c>
      <c r="D16" s="3">
        <v>69</v>
      </c>
      <c r="E16" s="3">
        <v>76</v>
      </c>
      <c r="F16" s="3">
        <v>33</v>
      </c>
      <c r="G16" s="3">
        <v>232</v>
      </c>
    </row>
    <row r="17" ht="18.75" spans="1:7">
      <c r="A17" s="1" t="s">
        <v>219</v>
      </c>
      <c r="B17" s="1" t="s">
        <v>204</v>
      </c>
      <c r="C17" s="3">
        <v>409</v>
      </c>
      <c r="D17" s="3">
        <v>84</v>
      </c>
      <c r="E17" s="3">
        <v>53</v>
      </c>
      <c r="F17" s="3">
        <v>70</v>
      </c>
      <c r="G17" s="3">
        <v>202</v>
      </c>
    </row>
    <row r="18" ht="18.75" spans="1:7">
      <c r="A18" s="1" t="s">
        <v>220</v>
      </c>
      <c r="B18" s="1" t="s">
        <v>204</v>
      </c>
      <c r="C18" s="3">
        <v>408</v>
      </c>
      <c r="D18" s="3">
        <v>91</v>
      </c>
      <c r="E18" s="3">
        <v>39</v>
      </c>
      <c r="F18" s="3">
        <v>59.5</v>
      </c>
      <c r="G18" s="3">
        <v>218.5</v>
      </c>
    </row>
    <row r="19" ht="18.75" spans="1:7">
      <c r="A19" s="1" t="s">
        <v>221</v>
      </c>
      <c r="B19" s="1" t="s">
        <v>204</v>
      </c>
      <c r="C19" s="3">
        <v>406</v>
      </c>
      <c r="D19" s="3">
        <v>74</v>
      </c>
      <c r="E19" s="3">
        <v>61</v>
      </c>
      <c r="F19" s="3">
        <v>47.5</v>
      </c>
      <c r="G19" s="3">
        <v>223.5</v>
      </c>
    </row>
    <row r="20" ht="18.75" spans="1:7">
      <c r="A20" s="1" t="s">
        <v>222</v>
      </c>
      <c r="B20" s="1" t="s">
        <v>204</v>
      </c>
      <c r="C20" s="3">
        <v>406</v>
      </c>
      <c r="D20" s="3">
        <v>73</v>
      </c>
      <c r="E20" s="3">
        <v>53</v>
      </c>
      <c r="F20" s="3">
        <v>67</v>
      </c>
      <c r="G20" s="3">
        <v>213</v>
      </c>
    </row>
    <row r="21" ht="18.75" spans="1:7">
      <c r="A21" s="1" t="s">
        <v>223</v>
      </c>
      <c r="B21" s="1" t="s">
        <v>204</v>
      </c>
      <c r="C21" s="3">
        <v>405.5</v>
      </c>
      <c r="D21" s="3">
        <v>84</v>
      </c>
      <c r="E21" s="3">
        <v>68</v>
      </c>
      <c r="F21" s="3">
        <v>64</v>
      </c>
      <c r="G21" s="3">
        <v>189.5</v>
      </c>
    </row>
    <row r="22" ht="18.75" spans="1:7">
      <c r="A22" s="1" t="s">
        <v>224</v>
      </c>
      <c r="B22" s="1" t="s">
        <v>204</v>
      </c>
      <c r="C22" s="3">
        <v>404</v>
      </c>
      <c r="D22" s="3">
        <v>87</v>
      </c>
      <c r="E22" s="3">
        <v>50</v>
      </c>
      <c r="F22" s="3">
        <v>68</v>
      </c>
      <c r="G22" s="3">
        <v>199</v>
      </c>
    </row>
    <row r="23" ht="18.75" spans="1:7">
      <c r="A23" s="1" t="s">
        <v>225</v>
      </c>
      <c r="B23" s="1" t="s">
        <v>204</v>
      </c>
      <c r="C23" s="3">
        <v>403.5</v>
      </c>
      <c r="D23" s="3">
        <v>77</v>
      </c>
      <c r="E23" s="3">
        <v>50</v>
      </c>
      <c r="F23" s="3">
        <v>52.5</v>
      </c>
      <c r="G23" s="3">
        <v>224</v>
      </c>
    </row>
    <row r="24" ht="18.75" spans="1:7">
      <c r="A24" s="1" t="s">
        <v>226</v>
      </c>
      <c r="B24" s="1" t="s">
        <v>204</v>
      </c>
      <c r="C24" s="3">
        <v>400</v>
      </c>
      <c r="D24" s="3">
        <v>87</v>
      </c>
      <c r="E24" s="3">
        <v>46</v>
      </c>
      <c r="F24" s="3">
        <v>71</v>
      </c>
      <c r="G24" s="3">
        <v>196</v>
      </c>
    </row>
    <row r="25" ht="18.75" spans="1:7">
      <c r="A25" s="1" t="s">
        <v>227</v>
      </c>
      <c r="B25" s="1" t="s">
        <v>204</v>
      </c>
      <c r="C25" s="3">
        <v>399.5</v>
      </c>
      <c r="D25" s="3">
        <v>81</v>
      </c>
      <c r="E25" s="3">
        <v>32</v>
      </c>
      <c r="F25" s="3">
        <v>43</v>
      </c>
      <c r="G25" s="3">
        <v>243.5</v>
      </c>
    </row>
    <row r="26" ht="18.75" spans="1:7">
      <c r="A26" s="1" t="s">
        <v>228</v>
      </c>
      <c r="B26" s="1" t="s">
        <v>204</v>
      </c>
      <c r="C26" s="3">
        <v>395.5</v>
      </c>
      <c r="D26" s="3">
        <v>64</v>
      </c>
      <c r="E26" s="3">
        <v>41</v>
      </c>
      <c r="F26" s="3">
        <v>71</v>
      </c>
      <c r="G26" s="3">
        <v>219.5</v>
      </c>
    </row>
    <row r="27" ht="18.75" spans="1:7">
      <c r="A27" s="1" t="s">
        <v>229</v>
      </c>
      <c r="B27" s="1" t="s">
        <v>204</v>
      </c>
      <c r="C27" s="3">
        <v>395</v>
      </c>
      <c r="D27" s="3">
        <v>91</v>
      </c>
      <c r="E27" s="3">
        <v>24</v>
      </c>
      <c r="F27" s="3">
        <v>71</v>
      </c>
      <c r="G27" s="3">
        <v>209</v>
      </c>
    </row>
    <row r="28" ht="18.75" spans="1:7">
      <c r="A28" s="1" t="s">
        <v>230</v>
      </c>
      <c r="B28" s="1" t="s">
        <v>204</v>
      </c>
      <c r="C28" s="3">
        <v>389</v>
      </c>
      <c r="D28" s="3">
        <v>87</v>
      </c>
      <c r="E28" s="3">
        <v>34</v>
      </c>
      <c r="F28" s="3">
        <v>47.5</v>
      </c>
      <c r="G28" s="3">
        <v>220.5</v>
      </c>
    </row>
    <row r="29" ht="18.75" spans="1:7">
      <c r="A29" s="1" t="s">
        <v>231</v>
      </c>
      <c r="B29" s="1" t="s">
        <v>204</v>
      </c>
      <c r="C29" s="3">
        <v>387</v>
      </c>
      <c r="D29" s="3">
        <v>85</v>
      </c>
      <c r="E29" s="3">
        <v>31</v>
      </c>
      <c r="F29" s="3">
        <v>64</v>
      </c>
      <c r="G29" s="3">
        <v>207</v>
      </c>
    </row>
    <row r="30" ht="18.75" spans="1:7">
      <c r="A30" s="1" t="s">
        <v>232</v>
      </c>
      <c r="B30" s="1" t="s">
        <v>204</v>
      </c>
      <c r="C30" s="3">
        <v>383.5</v>
      </c>
      <c r="D30" s="3">
        <v>82</v>
      </c>
      <c r="E30" s="3">
        <v>41</v>
      </c>
      <c r="F30" s="3">
        <v>52</v>
      </c>
      <c r="G30" s="3">
        <v>208.5</v>
      </c>
    </row>
    <row r="31" ht="18.75" spans="1:7">
      <c r="A31" s="1" t="s">
        <v>233</v>
      </c>
      <c r="B31" s="1" t="s">
        <v>204</v>
      </c>
      <c r="C31" s="3">
        <v>377.5</v>
      </c>
      <c r="D31" s="3">
        <v>66</v>
      </c>
      <c r="E31" s="3">
        <v>46</v>
      </c>
      <c r="F31" s="3">
        <v>46.5</v>
      </c>
      <c r="G31" s="3">
        <v>219</v>
      </c>
    </row>
    <row r="32" ht="18.75" spans="1:7">
      <c r="A32" s="1" t="s">
        <v>234</v>
      </c>
      <c r="B32" s="1" t="s">
        <v>204</v>
      </c>
      <c r="C32" s="3">
        <v>372.6</v>
      </c>
      <c r="D32" s="3">
        <v>75</v>
      </c>
      <c r="E32" s="3">
        <v>45.1</v>
      </c>
      <c r="F32" s="3">
        <v>60</v>
      </c>
      <c r="G32" s="3">
        <v>192.5</v>
      </c>
    </row>
    <row r="33" ht="18.75" spans="1:7">
      <c r="A33" s="1" t="s">
        <v>235</v>
      </c>
      <c r="B33" s="1" t="s">
        <v>204</v>
      </c>
      <c r="C33" s="3">
        <v>372.5</v>
      </c>
      <c r="D33" s="3">
        <v>88</v>
      </c>
      <c r="E33" s="3">
        <v>14</v>
      </c>
      <c r="F33" s="3">
        <v>49</v>
      </c>
      <c r="G33" s="3">
        <v>221.5</v>
      </c>
    </row>
    <row r="34" ht="18.75" spans="1:7">
      <c r="A34" s="1" t="s">
        <v>236</v>
      </c>
      <c r="B34" s="1" t="s">
        <v>204</v>
      </c>
      <c r="C34" s="3">
        <v>371</v>
      </c>
      <c r="D34" s="3">
        <v>84</v>
      </c>
      <c r="E34" s="3">
        <v>22</v>
      </c>
      <c r="F34" s="3">
        <v>57.5</v>
      </c>
      <c r="G34" s="3">
        <v>207.5</v>
      </c>
    </row>
    <row r="35" ht="18.75" spans="1:7">
      <c r="A35" s="1" t="s">
        <v>237</v>
      </c>
      <c r="B35" s="1" t="s">
        <v>204</v>
      </c>
      <c r="C35" s="3">
        <v>362.5</v>
      </c>
      <c r="D35" s="3">
        <v>76</v>
      </c>
      <c r="E35" s="3">
        <v>46</v>
      </c>
      <c r="F35" s="3">
        <v>65.5</v>
      </c>
      <c r="G35" s="3">
        <v>175</v>
      </c>
    </row>
    <row r="36" ht="18.75" spans="1:7">
      <c r="A36" s="1" t="s">
        <v>238</v>
      </c>
      <c r="B36" s="1" t="s">
        <v>204</v>
      </c>
      <c r="C36" s="3">
        <v>361.5</v>
      </c>
      <c r="D36" s="3">
        <v>86</v>
      </c>
      <c r="E36" s="3">
        <v>23</v>
      </c>
      <c r="F36" s="3">
        <v>66.5</v>
      </c>
      <c r="G36" s="3">
        <v>186</v>
      </c>
    </row>
    <row r="37" ht="18.75" spans="1:7">
      <c r="A37" s="1" t="s">
        <v>239</v>
      </c>
      <c r="B37" s="1" t="s">
        <v>204</v>
      </c>
      <c r="C37" s="3">
        <v>355</v>
      </c>
      <c r="D37" s="3">
        <v>67</v>
      </c>
      <c r="E37" s="3">
        <v>40</v>
      </c>
      <c r="F37" s="3">
        <v>55.5</v>
      </c>
      <c r="G37" s="3">
        <v>192.5</v>
      </c>
    </row>
    <row r="38" ht="18.75" spans="1:7">
      <c r="A38" s="1" t="s">
        <v>240</v>
      </c>
      <c r="B38" s="1" t="s">
        <v>204</v>
      </c>
      <c r="C38" s="3">
        <v>352.5</v>
      </c>
      <c r="D38" s="3">
        <v>62</v>
      </c>
      <c r="E38" s="3">
        <v>30</v>
      </c>
      <c r="F38" s="3">
        <v>47.5</v>
      </c>
      <c r="G38" s="3">
        <v>213</v>
      </c>
    </row>
    <row r="39" ht="18.75" spans="1:7">
      <c r="A39" s="1" t="s">
        <v>241</v>
      </c>
      <c r="B39" s="1" t="s">
        <v>204</v>
      </c>
      <c r="C39" s="3">
        <v>351.5</v>
      </c>
      <c r="D39" s="3">
        <v>85</v>
      </c>
      <c r="E39" s="3">
        <v>18</v>
      </c>
      <c r="F39" s="3">
        <v>77</v>
      </c>
      <c r="G39" s="3">
        <v>171.5</v>
      </c>
    </row>
    <row r="40" ht="18.75" spans="1:7">
      <c r="A40" s="1" t="s">
        <v>242</v>
      </c>
      <c r="B40" s="1" t="s">
        <v>204</v>
      </c>
      <c r="C40" s="3">
        <v>348.5</v>
      </c>
      <c r="D40" s="3">
        <v>74</v>
      </c>
      <c r="E40" s="3">
        <v>74</v>
      </c>
      <c r="F40" s="3">
        <v>51</v>
      </c>
      <c r="G40" s="3">
        <v>149.5</v>
      </c>
    </row>
    <row r="41" ht="18.75" spans="1:7">
      <c r="A41" s="1" t="s">
        <v>243</v>
      </c>
      <c r="B41" s="1" t="s">
        <v>204</v>
      </c>
      <c r="C41" s="3">
        <v>341</v>
      </c>
      <c r="D41" s="3">
        <v>84</v>
      </c>
      <c r="E41" s="3">
        <v>28</v>
      </c>
      <c r="F41" s="3">
        <v>38.5</v>
      </c>
      <c r="G41" s="3">
        <v>190.5</v>
      </c>
    </row>
    <row r="42" ht="18.75" spans="1:7">
      <c r="A42" s="1" t="s">
        <v>244</v>
      </c>
      <c r="B42" s="1" t="s">
        <v>204</v>
      </c>
      <c r="C42" s="3">
        <v>317</v>
      </c>
      <c r="D42" s="3">
        <v>78</v>
      </c>
      <c r="E42" s="3">
        <v>28</v>
      </c>
      <c r="F42" s="3">
        <v>47</v>
      </c>
      <c r="G42" s="3">
        <v>164</v>
      </c>
    </row>
    <row r="43" ht="18.75" spans="1:7">
      <c r="A43" s="1" t="s">
        <v>245</v>
      </c>
      <c r="B43" s="1" t="s">
        <v>204</v>
      </c>
      <c r="C43" s="3">
        <v>303</v>
      </c>
      <c r="D43" s="3">
        <v>76</v>
      </c>
      <c r="E43" s="3">
        <v>32</v>
      </c>
      <c r="F43" s="3">
        <v>49.5</v>
      </c>
      <c r="G43" s="3">
        <v>145.5</v>
      </c>
    </row>
    <row r="44" ht="18.75" spans="1:7">
      <c r="A44" s="4" t="s">
        <v>41</v>
      </c>
      <c r="B44" s="5"/>
      <c r="C44" s="6">
        <f>AVERAGE(C2:C43)</f>
        <v>401.919047619048</v>
      </c>
      <c r="D44" s="6">
        <f>AVERAGE(D2:D43)</f>
        <v>79.9285714285714</v>
      </c>
      <c r="E44" s="6">
        <f>AVERAGE(E2:E43)</f>
        <v>48.0261904761905</v>
      </c>
      <c r="F44" s="6">
        <f>AVERAGE(F2:F43)</f>
        <v>58.1904761904762</v>
      </c>
      <c r="G44" s="6">
        <f>AVERAGE(G2:G43)</f>
        <v>215.77380952381</v>
      </c>
    </row>
  </sheetData>
  <mergeCells count="1">
    <mergeCell ref="A44:B4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10" workbookViewId="0">
      <selection activeCell="D2" sqref="D2:F38"/>
    </sheetView>
  </sheetViews>
  <sheetFormatPr defaultColWidth="9" defaultRowHeight="13.5" outlineLevelCol="6"/>
  <cols>
    <col min="1" max="1" width="13" customWidth="1"/>
    <col min="2" max="2" width="19.75" customWidth="1"/>
    <col min="3" max="3" width="15.25" customWidth="1"/>
    <col min="4" max="4" width="15.625" customWidth="1"/>
    <col min="5" max="6" width="16" customWidth="1"/>
    <col min="7" max="7" width="16.5" customWidth="1"/>
  </cols>
  <sheetData>
    <row r="1" ht="1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spans="1:7">
      <c r="A2" s="1" t="s">
        <v>246</v>
      </c>
      <c r="B2" s="1" t="s">
        <v>247</v>
      </c>
      <c r="C2" s="3">
        <v>523</v>
      </c>
      <c r="D2" s="3">
        <v>79</v>
      </c>
      <c r="E2" s="3">
        <v>108</v>
      </c>
      <c r="F2" s="3">
        <v>43</v>
      </c>
      <c r="G2" s="3">
        <v>293</v>
      </c>
    </row>
    <row r="3" ht="18.75" spans="1:7">
      <c r="A3" s="1" t="s">
        <v>248</v>
      </c>
      <c r="B3" s="1" t="s">
        <v>247</v>
      </c>
      <c r="C3" s="3">
        <v>519</v>
      </c>
      <c r="D3" s="3">
        <v>82</v>
      </c>
      <c r="E3" s="3">
        <v>102</v>
      </c>
      <c r="F3" s="3">
        <v>60</v>
      </c>
      <c r="G3" s="3">
        <v>275</v>
      </c>
    </row>
    <row r="4" ht="18.75" spans="1:7">
      <c r="A4" s="1" t="s">
        <v>249</v>
      </c>
      <c r="B4" s="1" t="s">
        <v>247</v>
      </c>
      <c r="C4" s="3">
        <v>493.5</v>
      </c>
      <c r="D4" s="3">
        <v>82</v>
      </c>
      <c r="E4" s="3">
        <v>89</v>
      </c>
      <c r="F4" s="3">
        <v>51</v>
      </c>
      <c r="G4" s="3">
        <v>271.5</v>
      </c>
    </row>
    <row r="5" ht="18.75" spans="1:7">
      <c r="A5" s="1" t="s">
        <v>250</v>
      </c>
      <c r="B5" s="1" t="s">
        <v>247</v>
      </c>
      <c r="C5" s="3">
        <v>491</v>
      </c>
      <c r="D5" s="3">
        <v>72</v>
      </c>
      <c r="E5" s="3">
        <v>104</v>
      </c>
      <c r="F5" s="3">
        <v>64.5</v>
      </c>
      <c r="G5" s="3">
        <v>250.5</v>
      </c>
    </row>
    <row r="6" ht="18.75" spans="1:7">
      <c r="A6" s="1" t="s">
        <v>251</v>
      </c>
      <c r="B6" s="1" t="s">
        <v>247</v>
      </c>
      <c r="C6" s="3">
        <v>472.5</v>
      </c>
      <c r="D6" s="3">
        <v>94</v>
      </c>
      <c r="E6" s="3">
        <v>55</v>
      </c>
      <c r="F6" s="3">
        <v>52.5</v>
      </c>
      <c r="G6" s="3">
        <v>271</v>
      </c>
    </row>
    <row r="7" ht="18.75" spans="1:7">
      <c r="A7" s="1" t="s">
        <v>252</v>
      </c>
      <c r="B7" s="1" t="s">
        <v>247</v>
      </c>
      <c r="C7" s="3">
        <v>459.5</v>
      </c>
      <c r="D7" s="3">
        <v>84</v>
      </c>
      <c r="E7" s="3">
        <v>36</v>
      </c>
      <c r="F7" s="3">
        <v>63.5</v>
      </c>
      <c r="G7" s="3">
        <v>276</v>
      </c>
    </row>
    <row r="8" ht="18.75" spans="1:7">
      <c r="A8" s="1" t="s">
        <v>253</v>
      </c>
      <c r="B8" s="1" t="s">
        <v>247</v>
      </c>
      <c r="C8" s="3">
        <v>446</v>
      </c>
      <c r="D8" s="3">
        <v>81</v>
      </c>
      <c r="E8" s="3">
        <v>67</v>
      </c>
      <c r="F8" s="3">
        <v>67</v>
      </c>
      <c r="G8" s="3">
        <v>231</v>
      </c>
    </row>
    <row r="9" ht="18.75" spans="1:7">
      <c r="A9" s="1" t="s">
        <v>254</v>
      </c>
      <c r="B9" s="1" t="s">
        <v>247</v>
      </c>
      <c r="C9" s="3">
        <v>446</v>
      </c>
      <c r="D9" s="3">
        <v>91</v>
      </c>
      <c r="E9" s="3">
        <v>61</v>
      </c>
      <c r="F9" s="3">
        <v>65</v>
      </c>
      <c r="G9" s="3">
        <v>229</v>
      </c>
    </row>
    <row r="10" ht="18.75" spans="1:7">
      <c r="A10" s="1" t="s">
        <v>255</v>
      </c>
      <c r="B10" s="1" t="s">
        <v>247</v>
      </c>
      <c r="C10" s="3">
        <v>427.5</v>
      </c>
      <c r="D10" s="3">
        <v>80</v>
      </c>
      <c r="E10" s="3">
        <v>47</v>
      </c>
      <c r="F10" s="3">
        <v>63.5</v>
      </c>
      <c r="G10" s="3">
        <v>237</v>
      </c>
    </row>
    <row r="11" ht="18.75" spans="1:7">
      <c r="A11" s="1" t="s">
        <v>256</v>
      </c>
      <c r="B11" s="1" t="s">
        <v>247</v>
      </c>
      <c r="C11" s="3">
        <v>427</v>
      </c>
      <c r="D11" s="3">
        <v>74</v>
      </c>
      <c r="E11" s="3">
        <v>50</v>
      </c>
      <c r="F11" s="3">
        <v>58</v>
      </c>
      <c r="G11" s="3">
        <v>245</v>
      </c>
    </row>
    <row r="12" ht="18.75" spans="1:7">
      <c r="A12" s="1" t="s">
        <v>257</v>
      </c>
      <c r="B12" s="1" t="s">
        <v>247</v>
      </c>
      <c r="C12" s="3">
        <v>424.5</v>
      </c>
      <c r="D12" s="3">
        <v>64</v>
      </c>
      <c r="E12" s="3">
        <v>68</v>
      </c>
      <c r="F12" s="3">
        <v>43.5</v>
      </c>
      <c r="G12" s="3">
        <v>249</v>
      </c>
    </row>
    <row r="13" ht="18.75" spans="1:7">
      <c r="A13" s="1" t="s">
        <v>258</v>
      </c>
      <c r="B13" s="1" t="s">
        <v>247</v>
      </c>
      <c r="C13" s="3">
        <v>423.5</v>
      </c>
      <c r="D13" s="3">
        <v>77</v>
      </c>
      <c r="E13" s="3">
        <v>69</v>
      </c>
      <c r="F13" s="3">
        <v>62</v>
      </c>
      <c r="G13" s="3">
        <v>215.5</v>
      </c>
    </row>
    <row r="14" ht="18.75" spans="1:7">
      <c r="A14" s="1" t="s">
        <v>259</v>
      </c>
      <c r="B14" s="1" t="s">
        <v>247</v>
      </c>
      <c r="C14" s="3">
        <v>423</v>
      </c>
      <c r="D14" s="3">
        <v>98</v>
      </c>
      <c r="E14" s="3">
        <v>56</v>
      </c>
      <c r="F14" s="3">
        <v>54.5</v>
      </c>
      <c r="G14" s="3">
        <v>214.5</v>
      </c>
    </row>
    <row r="15" ht="18.75" spans="1:7">
      <c r="A15" s="1" t="s">
        <v>260</v>
      </c>
      <c r="B15" s="1" t="s">
        <v>247</v>
      </c>
      <c r="C15" s="3">
        <v>420</v>
      </c>
      <c r="D15" s="3">
        <v>89</v>
      </c>
      <c r="E15" s="3">
        <v>51</v>
      </c>
      <c r="F15" s="3">
        <v>51.5</v>
      </c>
      <c r="G15" s="3">
        <v>228.5</v>
      </c>
    </row>
    <row r="16" ht="18.75" spans="1:7">
      <c r="A16" s="1" t="s">
        <v>261</v>
      </c>
      <c r="B16" s="1" t="s">
        <v>247</v>
      </c>
      <c r="C16" s="3">
        <v>413.5</v>
      </c>
      <c r="D16" s="3">
        <v>76</v>
      </c>
      <c r="E16" s="3">
        <v>72</v>
      </c>
      <c r="F16" s="3">
        <v>50.5</v>
      </c>
      <c r="G16" s="3">
        <v>215</v>
      </c>
    </row>
    <row r="17" ht="18.75" spans="1:7">
      <c r="A17" s="1" t="s">
        <v>262</v>
      </c>
      <c r="B17" s="1" t="s">
        <v>247</v>
      </c>
      <c r="C17" s="3">
        <v>412.5</v>
      </c>
      <c r="D17" s="3">
        <v>77</v>
      </c>
      <c r="E17" s="3">
        <v>85</v>
      </c>
      <c r="F17" s="3">
        <v>47.5</v>
      </c>
      <c r="G17" s="3">
        <v>203</v>
      </c>
    </row>
    <row r="18" ht="18.75" spans="1:7">
      <c r="A18" s="1" t="s">
        <v>263</v>
      </c>
      <c r="B18" s="1" t="s">
        <v>247</v>
      </c>
      <c r="C18" s="3">
        <v>405.5</v>
      </c>
      <c r="D18" s="3">
        <v>68</v>
      </c>
      <c r="E18" s="3">
        <v>61</v>
      </c>
      <c r="F18" s="3">
        <v>69.5</v>
      </c>
      <c r="G18" s="3">
        <v>207</v>
      </c>
    </row>
    <row r="19" ht="18.75" spans="1:7">
      <c r="A19" s="1" t="s">
        <v>264</v>
      </c>
      <c r="B19" s="1" t="s">
        <v>247</v>
      </c>
      <c r="C19" s="3">
        <v>402.5</v>
      </c>
      <c r="D19" s="3">
        <v>88</v>
      </c>
      <c r="E19" s="3">
        <v>57</v>
      </c>
      <c r="F19" s="3">
        <v>65.5</v>
      </c>
      <c r="G19" s="3">
        <v>192</v>
      </c>
    </row>
    <row r="20" ht="18.75" spans="1:7">
      <c r="A20" s="1" t="s">
        <v>265</v>
      </c>
      <c r="B20" s="1" t="s">
        <v>247</v>
      </c>
      <c r="C20" s="3">
        <v>394</v>
      </c>
      <c r="D20" s="3">
        <v>88</v>
      </c>
      <c r="E20" s="3">
        <v>37</v>
      </c>
      <c r="F20" s="3">
        <v>57</v>
      </c>
      <c r="G20" s="3">
        <v>212</v>
      </c>
    </row>
    <row r="21" ht="18.75" spans="1:7">
      <c r="A21" s="1" t="s">
        <v>266</v>
      </c>
      <c r="B21" s="1" t="s">
        <v>247</v>
      </c>
      <c r="C21" s="3">
        <v>390.5</v>
      </c>
      <c r="D21" s="3">
        <v>87</v>
      </c>
      <c r="E21" s="3">
        <v>33</v>
      </c>
      <c r="F21" s="3">
        <v>50.5</v>
      </c>
      <c r="G21" s="3">
        <v>220</v>
      </c>
    </row>
    <row r="22" ht="18.75" spans="1:7">
      <c r="A22" s="1" t="s">
        <v>267</v>
      </c>
      <c r="B22" s="1" t="s">
        <v>247</v>
      </c>
      <c r="C22" s="3">
        <v>373.5</v>
      </c>
      <c r="D22" s="3">
        <v>79</v>
      </c>
      <c r="E22" s="3">
        <v>29</v>
      </c>
      <c r="F22" s="3">
        <v>58</v>
      </c>
      <c r="G22" s="3">
        <v>207.5</v>
      </c>
    </row>
    <row r="23" ht="18.75" spans="1:7">
      <c r="A23" s="1" t="s">
        <v>268</v>
      </c>
      <c r="B23" s="1" t="s">
        <v>247</v>
      </c>
      <c r="C23" s="3">
        <v>373</v>
      </c>
      <c r="D23" s="3">
        <v>85</v>
      </c>
      <c r="E23" s="3">
        <v>55</v>
      </c>
      <c r="F23" s="3">
        <v>32.5</v>
      </c>
      <c r="G23" s="3">
        <v>200.5</v>
      </c>
    </row>
    <row r="24" ht="18.75" spans="1:7">
      <c r="A24" s="1" t="s">
        <v>269</v>
      </c>
      <c r="B24" s="1" t="s">
        <v>247</v>
      </c>
      <c r="C24" s="3">
        <v>369.5</v>
      </c>
      <c r="D24" s="3">
        <v>75</v>
      </c>
      <c r="E24" s="3">
        <v>53</v>
      </c>
      <c r="F24" s="3">
        <v>36.5</v>
      </c>
      <c r="G24" s="3">
        <v>205</v>
      </c>
    </row>
    <row r="25" ht="18.75" spans="1:7">
      <c r="A25" s="1" t="s">
        <v>270</v>
      </c>
      <c r="B25" s="1" t="s">
        <v>247</v>
      </c>
      <c r="C25" s="3">
        <v>367.5</v>
      </c>
      <c r="D25" s="3">
        <v>64</v>
      </c>
      <c r="E25" s="3">
        <v>39</v>
      </c>
      <c r="F25" s="3">
        <v>49</v>
      </c>
      <c r="G25" s="3">
        <v>215.5</v>
      </c>
    </row>
    <row r="26" ht="18.75" spans="1:7">
      <c r="A26" s="1" t="s">
        <v>271</v>
      </c>
      <c r="B26" s="1" t="s">
        <v>247</v>
      </c>
      <c r="C26" s="3">
        <v>362</v>
      </c>
      <c r="D26" s="3">
        <v>71</v>
      </c>
      <c r="E26" s="3">
        <v>54</v>
      </c>
      <c r="F26" s="3">
        <v>46</v>
      </c>
      <c r="G26" s="3">
        <v>191</v>
      </c>
    </row>
    <row r="27" ht="18.75" spans="1:7">
      <c r="A27" s="1" t="s">
        <v>272</v>
      </c>
      <c r="B27" s="1" t="s">
        <v>247</v>
      </c>
      <c r="C27" s="3">
        <v>362</v>
      </c>
      <c r="D27" s="3">
        <v>76</v>
      </c>
      <c r="E27" s="3">
        <v>33</v>
      </c>
      <c r="F27" s="3">
        <v>40</v>
      </c>
      <c r="G27" s="3">
        <v>213</v>
      </c>
    </row>
    <row r="28" ht="18.75" spans="1:7">
      <c r="A28" s="1" t="s">
        <v>273</v>
      </c>
      <c r="B28" s="1" t="s">
        <v>247</v>
      </c>
      <c r="C28" s="3">
        <v>354</v>
      </c>
      <c r="D28" s="3">
        <v>77</v>
      </c>
      <c r="E28" s="3">
        <v>47</v>
      </c>
      <c r="F28" s="3">
        <v>61</v>
      </c>
      <c r="G28" s="3">
        <v>169</v>
      </c>
    </row>
    <row r="29" ht="18.75" spans="1:7">
      <c r="A29" s="1" t="s">
        <v>274</v>
      </c>
      <c r="B29" s="1" t="s">
        <v>247</v>
      </c>
      <c r="C29" s="3">
        <v>353.5</v>
      </c>
      <c r="D29" s="3">
        <v>82</v>
      </c>
      <c r="E29" s="3">
        <v>36</v>
      </c>
      <c r="F29" s="3">
        <v>52</v>
      </c>
      <c r="G29" s="3">
        <v>183.5</v>
      </c>
    </row>
    <row r="30" ht="18.75" spans="1:7">
      <c r="A30" s="1" t="s">
        <v>275</v>
      </c>
      <c r="B30" s="1" t="s">
        <v>247</v>
      </c>
      <c r="C30" s="3">
        <v>352</v>
      </c>
      <c r="D30" s="3">
        <v>64</v>
      </c>
      <c r="E30" s="3">
        <v>44</v>
      </c>
      <c r="F30" s="3">
        <v>21.5</v>
      </c>
      <c r="G30" s="3">
        <v>222.5</v>
      </c>
    </row>
    <row r="31" ht="18.75" spans="1:7">
      <c r="A31" s="1" t="s">
        <v>276</v>
      </c>
      <c r="B31" s="1" t="s">
        <v>247</v>
      </c>
      <c r="C31" s="3">
        <v>343</v>
      </c>
      <c r="D31" s="3">
        <v>80</v>
      </c>
      <c r="E31" s="3">
        <v>35</v>
      </c>
      <c r="F31" s="3">
        <v>57.5</v>
      </c>
      <c r="G31" s="3">
        <v>170.5</v>
      </c>
    </row>
    <row r="32" ht="18.75" spans="1:7">
      <c r="A32" s="1" t="s">
        <v>277</v>
      </c>
      <c r="B32" s="1" t="s">
        <v>247</v>
      </c>
      <c r="C32" s="3">
        <v>339</v>
      </c>
      <c r="D32" s="3">
        <v>71</v>
      </c>
      <c r="E32" s="3">
        <v>31</v>
      </c>
      <c r="F32" s="3">
        <v>49</v>
      </c>
      <c r="G32" s="3">
        <v>188</v>
      </c>
    </row>
    <row r="33" ht="18.75" spans="1:7">
      <c r="A33" s="1" t="s">
        <v>278</v>
      </c>
      <c r="B33" s="1" t="s">
        <v>247</v>
      </c>
      <c r="C33" s="3">
        <v>325</v>
      </c>
      <c r="D33" s="3">
        <v>64</v>
      </c>
      <c r="E33" s="3">
        <v>44</v>
      </c>
      <c r="F33" s="3">
        <v>45.5</v>
      </c>
      <c r="G33" s="3">
        <v>171.5</v>
      </c>
    </row>
    <row r="34" ht="18.75" spans="1:7">
      <c r="A34" s="1" t="s">
        <v>279</v>
      </c>
      <c r="B34" s="1" t="s">
        <v>247</v>
      </c>
      <c r="C34" s="3">
        <v>321.5</v>
      </c>
      <c r="D34" s="3">
        <v>73</v>
      </c>
      <c r="E34" s="3">
        <v>42</v>
      </c>
      <c r="F34" s="3">
        <v>35</v>
      </c>
      <c r="G34" s="3">
        <v>171.5</v>
      </c>
    </row>
    <row r="35" ht="18.75" spans="1:7">
      <c r="A35" s="1" t="s">
        <v>280</v>
      </c>
      <c r="B35" s="1" t="s">
        <v>247</v>
      </c>
      <c r="C35" s="3">
        <v>316</v>
      </c>
      <c r="D35" s="3">
        <v>67</v>
      </c>
      <c r="E35" s="3">
        <v>24</v>
      </c>
      <c r="F35" s="3">
        <v>47</v>
      </c>
      <c r="G35" s="3">
        <v>178</v>
      </c>
    </row>
    <row r="36" ht="18.75" spans="1:7">
      <c r="A36" s="1" t="s">
        <v>281</v>
      </c>
      <c r="B36" s="1" t="s">
        <v>247</v>
      </c>
      <c r="C36" s="3">
        <v>309.5</v>
      </c>
      <c r="D36" s="3">
        <v>68</v>
      </c>
      <c r="E36" s="3">
        <v>40</v>
      </c>
      <c r="F36" s="3">
        <v>44</v>
      </c>
      <c r="G36" s="3">
        <v>157.5</v>
      </c>
    </row>
    <row r="37" ht="18.75" spans="1:7">
      <c r="A37" s="1" t="s">
        <v>282</v>
      </c>
      <c r="B37" s="1" t="s">
        <v>247</v>
      </c>
      <c r="C37" s="3">
        <v>302</v>
      </c>
      <c r="D37" s="3">
        <v>75</v>
      </c>
      <c r="E37" s="3">
        <v>30</v>
      </c>
      <c r="F37" s="3">
        <v>37.5</v>
      </c>
      <c r="G37" s="3">
        <v>159.5</v>
      </c>
    </row>
    <row r="38" ht="18.75" spans="1:7">
      <c r="A38" s="1" t="s">
        <v>283</v>
      </c>
      <c r="B38" s="1" t="s">
        <v>247</v>
      </c>
      <c r="C38" s="3">
        <v>246.5</v>
      </c>
      <c r="D38" s="3">
        <v>30</v>
      </c>
      <c r="E38" s="3">
        <v>26</v>
      </c>
      <c r="F38" s="3">
        <v>60</v>
      </c>
      <c r="G38" s="3">
        <v>130.5</v>
      </c>
    </row>
    <row r="39" ht="18.75" spans="1:7">
      <c r="A39" s="4" t="s">
        <v>41</v>
      </c>
      <c r="B39" s="5"/>
      <c r="C39" s="6">
        <f>AVERAGE(C2:C38)</f>
        <v>394.162162162162</v>
      </c>
      <c r="D39" s="6">
        <f>AVERAGE(D2:D38)</f>
        <v>76.5405405405405</v>
      </c>
      <c r="E39" s="6">
        <f>AVERAGE(E2:E38)</f>
        <v>53.2432432432432</v>
      </c>
      <c r="F39" s="6">
        <f>AVERAGE(F2:F38)</f>
        <v>51.6756756756757</v>
      </c>
      <c r="G39" s="6">
        <f>AVERAGE(G2:G38)</f>
        <v>212.702702702703</v>
      </c>
    </row>
  </sheetData>
  <mergeCells count="1">
    <mergeCell ref="A39:B3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9"/>
  <sheetViews>
    <sheetView tabSelected="1" workbookViewId="0">
      <selection activeCell="L10" sqref="L10"/>
    </sheetView>
  </sheetViews>
  <sheetFormatPr defaultColWidth="9" defaultRowHeight="13.5" outlineLevelCol="6"/>
  <cols>
    <col min="1" max="1" width="13" customWidth="1"/>
    <col min="2" max="2" width="19.75" customWidth="1"/>
    <col min="3" max="3" width="16.5" customWidth="1"/>
    <col min="4" max="4" width="15.625" customWidth="1"/>
    <col min="5" max="5" width="17" customWidth="1"/>
    <col min="6" max="6" width="24.625" customWidth="1"/>
    <col min="7" max="7" width="22.75" customWidth="1"/>
  </cols>
  <sheetData>
    <row r="1" ht="18.75" spans="1:7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284</v>
      </c>
      <c r="G1" s="1" t="s">
        <v>285</v>
      </c>
    </row>
    <row r="2" ht="18.75" spans="1:7">
      <c r="A2" s="1" t="s">
        <v>90</v>
      </c>
      <c r="B2" s="1" t="s">
        <v>286</v>
      </c>
      <c r="C2" s="2">
        <v>112</v>
      </c>
      <c r="D2" s="2">
        <v>86</v>
      </c>
      <c r="E2" s="2">
        <v>69</v>
      </c>
      <c r="F2" s="2">
        <f>SUM(C2:E2)</f>
        <v>267</v>
      </c>
      <c r="G2" s="2">
        <v>1</v>
      </c>
    </row>
    <row r="3" ht="18.75" spans="1:7">
      <c r="A3" s="1" t="s">
        <v>133</v>
      </c>
      <c r="B3" s="1" t="s">
        <v>287</v>
      </c>
      <c r="C3" s="2">
        <v>107</v>
      </c>
      <c r="D3" s="2">
        <v>91</v>
      </c>
      <c r="E3" s="2">
        <v>64.5</v>
      </c>
      <c r="F3" s="2">
        <f>SUM(C3:E3)</f>
        <v>262.5</v>
      </c>
      <c r="G3" s="2">
        <v>2</v>
      </c>
    </row>
    <row r="4" ht="18.75" spans="1:7">
      <c r="A4" s="1" t="s">
        <v>44</v>
      </c>
      <c r="B4" s="1" t="s">
        <v>288</v>
      </c>
      <c r="C4" s="2">
        <v>75</v>
      </c>
      <c r="D4" s="2">
        <v>97</v>
      </c>
      <c r="E4" s="2">
        <v>78</v>
      </c>
      <c r="F4" s="2">
        <f>SUM(C4:E4)</f>
        <v>250</v>
      </c>
      <c r="G4" s="2">
        <v>3</v>
      </c>
    </row>
    <row r="5" ht="18.75" spans="1:7">
      <c r="A5" s="1" t="s">
        <v>203</v>
      </c>
      <c r="B5" s="1" t="s">
        <v>204</v>
      </c>
      <c r="C5" s="2">
        <v>67</v>
      </c>
      <c r="D5" s="2">
        <v>114</v>
      </c>
      <c r="E5" s="2">
        <v>69</v>
      </c>
      <c r="F5" s="2">
        <f>SUM(C5:E5)</f>
        <v>250</v>
      </c>
      <c r="G5" s="2">
        <v>4</v>
      </c>
    </row>
    <row r="6" ht="18.75" spans="1:7">
      <c r="A6" s="1" t="s">
        <v>46</v>
      </c>
      <c r="B6" s="1" t="s">
        <v>288</v>
      </c>
      <c r="C6" s="2">
        <v>89</v>
      </c>
      <c r="D6" s="2">
        <v>91</v>
      </c>
      <c r="E6" s="2">
        <v>69</v>
      </c>
      <c r="F6" s="2">
        <f>SUM(C6:E6)</f>
        <v>249</v>
      </c>
      <c r="G6" s="2">
        <v>5</v>
      </c>
    </row>
    <row r="7" ht="18.75" spans="1:7">
      <c r="A7" s="1" t="s">
        <v>163</v>
      </c>
      <c r="B7" s="1" t="s">
        <v>289</v>
      </c>
      <c r="C7" s="2">
        <v>85</v>
      </c>
      <c r="D7" s="2">
        <v>88</v>
      </c>
      <c r="E7" s="2">
        <v>75.5</v>
      </c>
      <c r="F7" s="2">
        <f>SUM(C7:E7)</f>
        <v>248.5</v>
      </c>
      <c r="G7" s="2">
        <v>6</v>
      </c>
    </row>
    <row r="8" ht="18.75" spans="1:7">
      <c r="A8" s="1" t="s">
        <v>248</v>
      </c>
      <c r="B8" s="1" t="s">
        <v>247</v>
      </c>
      <c r="C8" s="2">
        <v>82</v>
      </c>
      <c r="D8" s="2">
        <v>102</v>
      </c>
      <c r="E8" s="2">
        <v>60</v>
      </c>
      <c r="F8" s="2">
        <f>SUM(C8:E8)</f>
        <v>244</v>
      </c>
      <c r="G8" s="2">
        <v>7</v>
      </c>
    </row>
    <row r="9" ht="18.75" spans="1:7">
      <c r="A9" s="1" t="s">
        <v>94</v>
      </c>
      <c r="B9" s="1" t="s">
        <v>286</v>
      </c>
      <c r="C9" s="2">
        <v>108</v>
      </c>
      <c r="D9" s="2">
        <v>64</v>
      </c>
      <c r="E9" s="2">
        <v>70.5</v>
      </c>
      <c r="F9" s="2">
        <f>SUM(C9:E9)</f>
        <v>242.5</v>
      </c>
      <c r="G9" s="2">
        <v>8</v>
      </c>
    </row>
    <row r="10" ht="18.75" spans="1:7">
      <c r="A10" s="1" t="s">
        <v>93</v>
      </c>
      <c r="B10" s="1" t="s">
        <v>286</v>
      </c>
      <c r="C10" s="2">
        <v>101</v>
      </c>
      <c r="D10" s="2">
        <v>73</v>
      </c>
      <c r="E10" s="2">
        <v>68</v>
      </c>
      <c r="F10" s="2">
        <f>SUM(C10:E10)</f>
        <v>242</v>
      </c>
      <c r="G10" s="2">
        <v>9</v>
      </c>
    </row>
    <row r="11" ht="18.75" spans="1:7">
      <c r="A11" s="1" t="s">
        <v>250</v>
      </c>
      <c r="B11" s="1" t="s">
        <v>247</v>
      </c>
      <c r="C11" s="2">
        <v>72</v>
      </c>
      <c r="D11" s="2">
        <v>104</v>
      </c>
      <c r="E11" s="2">
        <v>64.5</v>
      </c>
      <c r="F11" s="2">
        <f>SUM(C11:E11)</f>
        <v>240.5</v>
      </c>
      <c r="G11" s="2">
        <v>10</v>
      </c>
    </row>
    <row r="12" ht="18.75" spans="1:7">
      <c r="A12" s="1" t="s">
        <v>99</v>
      </c>
      <c r="B12" s="1" t="s">
        <v>286</v>
      </c>
      <c r="C12" s="2">
        <v>106</v>
      </c>
      <c r="D12" s="2">
        <v>53</v>
      </c>
      <c r="E12" s="2">
        <v>81</v>
      </c>
      <c r="F12" s="2">
        <f>SUM(C12:E12)</f>
        <v>240</v>
      </c>
      <c r="G12" s="2">
        <v>11</v>
      </c>
    </row>
    <row r="13" ht="18.75" spans="1:7">
      <c r="A13" s="1" t="s">
        <v>97</v>
      </c>
      <c r="B13" s="1" t="s">
        <v>286</v>
      </c>
      <c r="C13" s="2">
        <v>95</v>
      </c>
      <c r="D13" s="2">
        <v>105</v>
      </c>
      <c r="E13" s="2">
        <v>39.5</v>
      </c>
      <c r="F13" s="2">
        <f>SUM(C13:E13)</f>
        <v>239.5</v>
      </c>
      <c r="G13" s="2">
        <v>12</v>
      </c>
    </row>
    <row r="14" ht="18.75" spans="1:7">
      <c r="A14" s="1" t="s">
        <v>161</v>
      </c>
      <c r="B14" s="1" t="s">
        <v>289</v>
      </c>
      <c r="C14" s="2">
        <v>84</v>
      </c>
      <c r="D14" s="2">
        <v>110</v>
      </c>
      <c r="E14" s="2">
        <v>45</v>
      </c>
      <c r="F14" s="2">
        <f>SUM(C14:E14)</f>
        <v>239</v>
      </c>
      <c r="G14" s="2">
        <v>13</v>
      </c>
    </row>
    <row r="15" ht="18.75" spans="1:7">
      <c r="A15" s="1" t="s">
        <v>101</v>
      </c>
      <c r="B15" s="1" t="s">
        <v>286</v>
      </c>
      <c r="C15" s="2">
        <v>88</v>
      </c>
      <c r="D15" s="2">
        <v>76</v>
      </c>
      <c r="E15" s="2">
        <v>74</v>
      </c>
      <c r="F15" s="2">
        <f>SUM(C15:E15)</f>
        <v>238</v>
      </c>
      <c r="G15" s="2">
        <v>14</v>
      </c>
    </row>
    <row r="16" ht="18.75" spans="1:7">
      <c r="A16" s="1" t="s">
        <v>159</v>
      </c>
      <c r="B16" s="1" t="s">
        <v>289</v>
      </c>
      <c r="C16" s="2">
        <v>92</v>
      </c>
      <c r="D16" s="2">
        <v>92</v>
      </c>
      <c r="E16" s="2">
        <v>54</v>
      </c>
      <c r="F16" s="2">
        <f>SUM(C16:E16)</f>
        <v>238</v>
      </c>
      <c r="G16" s="2">
        <v>15</v>
      </c>
    </row>
    <row r="17" ht="18.75" spans="1:7">
      <c r="A17" s="1" t="s">
        <v>162</v>
      </c>
      <c r="B17" s="1" t="s">
        <v>289</v>
      </c>
      <c r="C17" s="2">
        <v>70</v>
      </c>
      <c r="D17" s="2">
        <v>115</v>
      </c>
      <c r="E17" s="2">
        <v>49.5</v>
      </c>
      <c r="F17" s="2">
        <f>SUM(C17:E17)</f>
        <v>234.5</v>
      </c>
      <c r="G17" s="2">
        <v>16</v>
      </c>
    </row>
    <row r="18" ht="18.75" spans="1:7">
      <c r="A18" s="1" t="s">
        <v>98</v>
      </c>
      <c r="B18" s="1" t="s">
        <v>286</v>
      </c>
      <c r="C18" s="2">
        <v>96</v>
      </c>
      <c r="D18" s="2">
        <v>60</v>
      </c>
      <c r="E18" s="2">
        <v>77</v>
      </c>
      <c r="F18" s="2">
        <f>SUM(C18:E18)</f>
        <v>233</v>
      </c>
      <c r="G18" s="2">
        <v>17</v>
      </c>
    </row>
    <row r="19" ht="18.75" spans="1:7">
      <c r="A19" s="1" t="s">
        <v>100</v>
      </c>
      <c r="B19" s="1" t="s">
        <v>286</v>
      </c>
      <c r="C19" s="2">
        <v>79</v>
      </c>
      <c r="D19" s="2">
        <v>78</v>
      </c>
      <c r="E19" s="2">
        <v>74</v>
      </c>
      <c r="F19" s="2">
        <f>SUM(C19:E19)</f>
        <v>231</v>
      </c>
      <c r="G19" s="2">
        <v>18</v>
      </c>
    </row>
    <row r="20" ht="18.75" spans="1:7">
      <c r="A20" s="1" t="s">
        <v>246</v>
      </c>
      <c r="B20" s="1" t="s">
        <v>247</v>
      </c>
      <c r="C20" s="2">
        <v>79</v>
      </c>
      <c r="D20" s="2">
        <v>108</v>
      </c>
      <c r="E20" s="2">
        <v>43</v>
      </c>
      <c r="F20" s="2">
        <f>SUM(C20:E20)</f>
        <v>230</v>
      </c>
      <c r="G20" s="2">
        <v>19</v>
      </c>
    </row>
    <row r="21" ht="18.75" spans="1:7">
      <c r="A21" s="1" t="s">
        <v>49</v>
      </c>
      <c r="B21" s="1" t="s">
        <v>288</v>
      </c>
      <c r="C21" s="2">
        <v>62</v>
      </c>
      <c r="D21" s="2">
        <v>92</v>
      </c>
      <c r="E21" s="2">
        <v>75</v>
      </c>
      <c r="F21" s="2">
        <f>SUM(C21:E21)</f>
        <v>229</v>
      </c>
      <c r="G21" s="2">
        <v>20</v>
      </c>
    </row>
    <row r="22" ht="18.75" spans="1:7">
      <c r="A22" s="1" t="s">
        <v>45</v>
      </c>
      <c r="B22" s="1" t="s">
        <v>288</v>
      </c>
      <c r="C22" s="2">
        <v>87</v>
      </c>
      <c r="D22" s="2">
        <v>74</v>
      </c>
      <c r="E22" s="2">
        <v>66</v>
      </c>
      <c r="F22" s="2">
        <f>SUM(C22:E22)</f>
        <v>227</v>
      </c>
      <c r="G22" s="2">
        <v>21</v>
      </c>
    </row>
    <row r="23" ht="18.75" spans="1:7">
      <c r="A23" s="1" t="s">
        <v>205</v>
      </c>
      <c r="B23" s="1" t="s">
        <v>204</v>
      </c>
      <c r="C23" s="2">
        <v>93</v>
      </c>
      <c r="D23" s="2">
        <v>71</v>
      </c>
      <c r="E23" s="2">
        <v>62.5</v>
      </c>
      <c r="F23" s="2">
        <f>SUM(C23:E23)</f>
        <v>226.5</v>
      </c>
      <c r="G23" s="2">
        <v>22</v>
      </c>
    </row>
    <row r="24" ht="18.75" spans="1:7">
      <c r="A24" s="1" t="s">
        <v>215</v>
      </c>
      <c r="B24" s="1" t="s">
        <v>204</v>
      </c>
      <c r="C24" s="2">
        <v>82</v>
      </c>
      <c r="D24" s="2">
        <v>76</v>
      </c>
      <c r="E24" s="2">
        <v>68</v>
      </c>
      <c r="F24" s="2">
        <f>SUM(C24:E24)</f>
        <v>226</v>
      </c>
      <c r="G24" s="2">
        <v>23</v>
      </c>
    </row>
    <row r="25" ht="18.75" spans="1:7">
      <c r="A25" s="1" t="s">
        <v>210</v>
      </c>
      <c r="B25" s="1" t="s">
        <v>204</v>
      </c>
      <c r="C25" s="2">
        <v>85</v>
      </c>
      <c r="D25" s="2">
        <v>76</v>
      </c>
      <c r="E25" s="2">
        <v>64.5</v>
      </c>
      <c r="F25" s="2">
        <f>SUM(C25:E25)</f>
        <v>225.5</v>
      </c>
      <c r="G25" s="2">
        <v>24</v>
      </c>
    </row>
    <row r="26" ht="18.75" spans="1:7">
      <c r="A26" s="1" t="s">
        <v>92</v>
      </c>
      <c r="B26" s="1" t="s">
        <v>286</v>
      </c>
      <c r="C26" s="2">
        <v>86</v>
      </c>
      <c r="D26" s="2">
        <v>104</v>
      </c>
      <c r="E26" s="2">
        <v>35</v>
      </c>
      <c r="F26" s="2">
        <f>SUM(C26:E26)</f>
        <v>225</v>
      </c>
      <c r="G26" s="2">
        <v>25</v>
      </c>
    </row>
    <row r="27" ht="18.75" spans="1:7">
      <c r="A27" s="1" t="s">
        <v>138</v>
      </c>
      <c r="B27" s="1" t="s">
        <v>287</v>
      </c>
      <c r="C27" s="2">
        <v>76</v>
      </c>
      <c r="D27" s="2">
        <v>84</v>
      </c>
      <c r="E27" s="2">
        <v>62.5</v>
      </c>
      <c r="F27" s="2">
        <f>SUM(C27:E27)</f>
        <v>222.5</v>
      </c>
      <c r="G27" s="2">
        <v>26</v>
      </c>
    </row>
    <row r="28" ht="18.75" spans="1:7">
      <c r="A28" s="1" t="s">
        <v>249</v>
      </c>
      <c r="B28" s="1" t="s">
        <v>247</v>
      </c>
      <c r="C28" s="2">
        <v>82</v>
      </c>
      <c r="D28" s="2">
        <v>89</v>
      </c>
      <c r="E28" s="2">
        <v>51</v>
      </c>
      <c r="F28" s="2">
        <f>SUM(C28:E28)</f>
        <v>222</v>
      </c>
      <c r="G28" s="2">
        <v>27</v>
      </c>
    </row>
    <row r="29" ht="18.75" spans="1:7">
      <c r="A29" s="1" t="s">
        <v>164</v>
      </c>
      <c r="B29" s="1" t="s">
        <v>289</v>
      </c>
      <c r="C29" s="2">
        <v>93</v>
      </c>
      <c r="D29" s="2">
        <v>91</v>
      </c>
      <c r="E29" s="2">
        <v>37.5</v>
      </c>
      <c r="F29" s="2">
        <f>SUM(C29:E29)</f>
        <v>221.5</v>
      </c>
      <c r="G29" s="2">
        <v>28</v>
      </c>
    </row>
    <row r="30" ht="18.75" spans="1:7">
      <c r="A30" s="1" t="s">
        <v>135</v>
      </c>
      <c r="B30" s="1" t="s">
        <v>287</v>
      </c>
      <c r="C30" s="2">
        <v>99</v>
      </c>
      <c r="D30" s="2">
        <v>46</v>
      </c>
      <c r="E30" s="2">
        <v>76</v>
      </c>
      <c r="F30" s="2">
        <f>SUM(C30:E30)</f>
        <v>221</v>
      </c>
      <c r="G30" s="2">
        <v>29</v>
      </c>
    </row>
    <row r="31" ht="18.75" spans="1:7">
      <c r="A31" s="1" t="s">
        <v>206</v>
      </c>
      <c r="B31" s="1" t="s">
        <v>204</v>
      </c>
      <c r="C31" s="2">
        <v>97</v>
      </c>
      <c r="D31" s="2">
        <v>63</v>
      </c>
      <c r="E31" s="2">
        <v>61</v>
      </c>
      <c r="F31" s="2">
        <f>SUM(C31:E31)</f>
        <v>221</v>
      </c>
      <c r="G31" s="2">
        <v>30</v>
      </c>
    </row>
    <row r="32" ht="18.75" spans="1:7">
      <c r="A32" s="1" t="s">
        <v>48</v>
      </c>
      <c r="B32" s="1" t="s">
        <v>288</v>
      </c>
      <c r="C32" s="2">
        <v>79</v>
      </c>
      <c r="D32" s="2">
        <v>72</v>
      </c>
      <c r="E32" s="2">
        <v>69.5</v>
      </c>
      <c r="F32" s="2">
        <f>SUM(C32:E32)</f>
        <v>220.5</v>
      </c>
      <c r="G32" s="2">
        <v>31</v>
      </c>
    </row>
    <row r="33" ht="18.75" spans="1:7">
      <c r="A33" s="1" t="s">
        <v>165</v>
      </c>
      <c r="B33" s="1" t="s">
        <v>289</v>
      </c>
      <c r="C33" s="2">
        <v>87</v>
      </c>
      <c r="D33" s="2">
        <v>89</v>
      </c>
      <c r="E33" s="2">
        <v>44</v>
      </c>
      <c r="F33" s="2">
        <f>SUM(C33:E33)</f>
        <v>220</v>
      </c>
      <c r="G33" s="2">
        <v>32</v>
      </c>
    </row>
    <row r="34" ht="18.75" spans="1:7">
      <c r="A34" s="1" t="s">
        <v>47</v>
      </c>
      <c r="B34" s="1" t="s">
        <v>288</v>
      </c>
      <c r="C34" s="2">
        <v>88</v>
      </c>
      <c r="D34" s="2">
        <v>68</v>
      </c>
      <c r="E34" s="2">
        <v>63.5</v>
      </c>
      <c r="F34" s="2">
        <f>SUM(C34:E34)</f>
        <v>219.5</v>
      </c>
      <c r="G34" s="2">
        <v>33</v>
      </c>
    </row>
    <row r="35" ht="18.75" spans="1:7">
      <c r="A35" s="1" t="s">
        <v>54</v>
      </c>
      <c r="B35" s="1" t="s">
        <v>288</v>
      </c>
      <c r="C35" s="2">
        <v>89</v>
      </c>
      <c r="D35" s="2">
        <v>63</v>
      </c>
      <c r="E35" s="2">
        <v>67.5</v>
      </c>
      <c r="F35" s="2">
        <f>SUM(C35:E35)</f>
        <v>219.5</v>
      </c>
      <c r="G35" s="2">
        <v>34</v>
      </c>
    </row>
    <row r="36" ht="18.75" spans="1:7">
      <c r="A36" s="1" t="s">
        <v>254</v>
      </c>
      <c r="B36" s="1" t="s">
        <v>247</v>
      </c>
      <c r="C36" s="2">
        <v>91</v>
      </c>
      <c r="D36" s="2">
        <v>61</v>
      </c>
      <c r="E36" s="2">
        <v>65</v>
      </c>
      <c r="F36" s="2">
        <f>SUM(C36:E36)</f>
        <v>217</v>
      </c>
      <c r="G36" s="2">
        <v>35</v>
      </c>
    </row>
    <row r="37" ht="18.75" spans="1:7">
      <c r="A37" s="1" t="s">
        <v>9</v>
      </c>
      <c r="B37" s="1" t="s">
        <v>8</v>
      </c>
      <c r="C37" s="2">
        <v>93</v>
      </c>
      <c r="D37" s="2">
        <v>65</v>
      </c>
      <c r="E37" s="2">
        <v>58</v>
      </c>
      <c r="F37" s="2">
        <f>SUM(C37:E37)</f>
        <v>216</v>
      </c>
      <c r="G37" s="2">
        <v>36</v>
      </c>
    </row>
    <row r="38" ht="18.75" spans="1:7">
      <c r="A38" s="1" t="s">
        <v>103</v>
      </c>
      <c r="B38" s="1" t="s">
        <v>286</v>
      </c>
      <c r="C38" s="2">
        <v>90</v>
      </c>
      <c r="D38" s="2">
        <v>66</v>
      </c>
      <c r="E38" s="2">
        <v>60</v>
      </c>
      <c r="F38" s="2">
        <f>SUM(C38:E38)</f>
        <v>216</v>
      </c>
      <c r="G38" s="2">
        <v>37</v>
      </c>
    </row>
    <row r="39" ht="18.75" spans="1:7">
      <c r="A39" s="1" t="s">
        <v>223</v>
      </c>
      <c r="B39" s="1" t="s">
        <v>204</v>
      </c>
      <c r="C39" s="2">
        <v>84</v>
      </c>
      <c r="D39" s="2">
        <v>68</v>
      </c>
      <c r="E39" s="2">
        <v>64</v>
      </c>
      <c r="F39" s="2">
        <f>SUM(C39:E39)</f>
        <v>216</v>
      </c>
      <c r="G39" s="2">
        <v>38</v>
      </c>
    </row>
    <row r="40" ht="18.75" spans="1:7">
      <c r="A40" s="1" t="s">
        <v>253</v>
      </c>
      <c r="B40" s="1" t="s">
        <v>247</v>
      </c>
      <c r="C40" s="2">
        <v>81</v>
      </c>
      <c r="D40" s="2">
        <v>67</v>
      </c>
      <c r="E40" s="2">
        <v>67</v>
      </c>
      <c r="F40" s="2">
        <f>SUM(C40:E40)</f>
        <v>215</v>
      </c>
      <c r="G40" s="2">
        <v>39</v>
      </c>
    </row>
    <row r="41" ht="18.75" spans="1:7">
      <c r="A41" s="1" t="s">
        <v>207</v>
      </c>
      <c r="B41" s="1" t="s">
        <v>204</v>
      </c>
      <c r="C41" s="2">
        <v>77</v>
      </c>
      <c r="D41" s="2">
        <v>65</v>
      </c>
      <c r="E41" s="2">
        <v>72</v>
      </c>
      <c r="F41" s="2">
        <f>SUM(C41:E41)</f>
        <v>214</v>
      </c>
      <c r="G41" s="2">
        <v>40</v>
      </c>
    </row>
    <row r="42" ht="18.75" spans="1:7">
      <c r="A42" s="1" t="s">
        <v>50</v>
      </c>
      <c r="B42" s="1" t="s">
        <v>288</v>
      </c>
      <c r="C42" s="2">
        <v>78</v>
      </c>
      <c r="D42" s="2">
        <v>64</v>
      </c>
      <c r="E42" s="2">
        <v>71.5</v>
      </c>
      <c r="F42" s="2">
        <f>SUM(C42:E42)</f>
        <v>213.5</v>
      </c>
      <c r="G42" s="2">
        <v>41</v>
      </c>
    </row>
    <row r="43" ht="18.75" spans="1:7">
      <c r="A43" s="1" t="s">
        <v>60</v>
      </c>
      <c r="B43" s="1" t="s">
        <v>288</v>
      </c>
      <c r="C43" s="2">
        <v>81</v>
      </c>
      <c r="D43" s="2">
        <v>69</v>
      </c>
      <c r="E43" s="2">
        <v>61.5</v>
      </c>
      <c r="F43" s="2">
        <f>SUM(C43:E43)</f>
        <v>211.5</v>
      </c>
      <c r="G43" s="2">
        <v>42</v>
      </c>
    </row>
    <row r="44" ht="18.75" spans="1:7">
      <c r="A44" s="1" t="s">
        <v>108</v>
      </c>
      <c r="B44" s="1" t="s">
        <v>286</v>
      </c>
      <c r="C44" s="2">
        <v>82</v>
      </c>
      <c r="D44" s="2">
        <v>61</v>
      </c>
      <c r="E44" s="2">
        <v>68.5</v>
      </c>
      <c r="F44" s="2">
        <f>SUM(C44:E44)</f>
        <v>211.5</v>
      </c>
      <c r="G44" s="2">
        <v>43</v>
      </c>
    </row>
    <row r="45" ht="18.75" spans="1:7">
      <c r="A45" s="1" t="s">
        <v>264</v>
      </c>
      <c r="B45" s="1" t="s">
        <v>247</v>
      </c>
      <c r="C45" s="2">
        <v>88</v>
      </c>
      <c r="D45" s="2">
        <v>57</v>
      </c>
      <c r="E45" s="2">
        <v>65.5</v>
      </c>
      <c r="F45" s="2">
        <f>SUM(C45:E45)</f>
        <v>210.5</v>
      </c>
      <c r="G45" s="2">
        <v>44</v>
      </c>
    </row>
    <row r="46" ht="18.75" spans="1:7">
      <c r="A46" s="1" t="s">
        <v>170</v>
      </c>
      <c r="B46" s="1" t="s">
        <v>289</v>
      </c>
      <c r="C46" s="2">
        <v>86</v>
      </c>
      <c r="D46" s="2">
        <v>85</v>
      </c>
      <c r="E46" s="2">
        <v>39</v>
      </c>
      <c r="F46" s="2">
        <f>SUM(C46:E46)</f>
        <v>210</v>
      </c>
      <c r="G46" s="2">
        <v>45</v>
      </c>
    </row>
    <row r="47" ht="18.75" spans="1:7">
      <c r="A47" s="1" t="s">
        <v>95</v>
      </c>
      <c r="B47" s="1" t="s">
        <v>286</v>
      </c>
      <c r="C47" s="2">
        <v>94</v>
      </c>
      <c r="D47" s="2">
        <v>69</v>
      </c>
      <c r="E47" s="2">
        <v>46.5</v>
      </c>
      <c r="F47" s="2">
        <f>SUM(C47:E47)</f>
        <v>209.5</v>
      </c>
      <c r="G47" s="2">
        <v>46</v>
      </c>
    </row>
    <row r="48" ht="18.75" spans="1:7">
      <c r="A48" s="1" t="s">
        <v>262</v>
      </c>
      <c r="B48" s="1" t="s">
        <v>247</v>
      </c>
      <c r="C48" s="2">
        <v>77</v>
      </c>
      <c r="D48" s="2">
        <v>85</v>
      </c>
      <c r="E48" s="2">
        <v>47.5</v>
      </c>
      <c r="F48" s="2">
        <f>SUM(C48:E48)</f>
        <v>209.5</v>
      </c>
      <c r="G48" s="2">
        <v>47</v>
      </c>
    </row>
    <row r="49" ht="18.75" spans="1:7">
      <c r="A49" s="1" t="s">
        <v>71</v>
      </c>
      <c r="B49" s="1" t="s">
        <v>288</v>
      </c>
      <c r="C49" s="2">
        <v>96</v>
      </c>
      <c r="D49" s="2">
        <v>43</v>
      </c>
      <c r="E49" s="2">
        <v>70</v>
      </c>
      <c r="F49" s="2">
        <f>SUM(C49:E49)</f>
        <v>209</v>
      </c>
      <c r="G49" s="2">
        <v>48</v>
      </c>
    </row>
    <row r="50" ht="18.75" spans="1:7">
      <c r="A50" s="1" t="s">
        <v>96</v>
      </c>
      <c r="B50" s="1" t="s">
        <v>286</v>
      </c>
      <c r="C50" s="2">
        <v>90</v>
      </c>
      <c r="D50" s="2">
        <v>93</v>
      </c>
      <c r="E50" s="2">
        <v>25.5</v>
      </c>
      <c r="F50" s="2">
        <f>SUM(C50:E50)</f>
        <v>208.5</v>
      </c>
      <c r="G50" s="2">
        <v>49</v>
      </c>
    </row>
    <row r="51" ht="18.75" spans="1:7">
      <c r="A51" s="1" t="s">
        <v>259</v>
      </c>
      <c r="B51" s="1" t="s">
        <v>247</v>
      </c>
      <c r="C51" s="2">
        <v>98</v>
      </c>
      <c r="D51" s="2">
        <v>56</v>
      </c>
      <c r="E51" s="2">
        <v>54.5</v>
      </c>
      <c r="F51" s="2">
        <f>SUM(C51:E51)</f>
        <v>208.5</v>
      </c>
      <c r="G51" s="2">
        <v>50</v>
      </c>
    </row>
    <row r="52" ht="18.75" spans="1:7">
      <c r="A52" s="1" t="s">
        <v>209</v>
      </c>
      <c r="B52" s="1" t="s">
        <v>204</v>
      </c>
      <c r="C52" s="2">
        <v>68</v>
      </c>
      <c r="D52" s="2">
        <v>91</v>
      </c>
      <c r="E52" s="2">
        <v>49</v>
      </c>
      <c r="F52" s="2">
        <f>SUM(C52:E52)</f>
        <v>208</v>
      </c>
      <c r="G52" s="2">
        <v>51</v>
      </c>
    </row>
    <row r="53" ht="18.75" spans="1:7">
      <c r="A53" s="1" t="s">
        <v>258</v>
      </c>
      <c r="B53" s="1" t="s">
        <v>247</v>
      </c>
      <c r="C53" s="2">
        <v>77</v>
      </c>
      <c r="D53" s="2">
        <v>69</v>
      </c>
      <c r="E53" s="2">
        <v>62</v>
      </c>
      <c r="F53" s="2">
        <f>SUM(C53:E53)</f>
        <v>208</v>
      </c>
      <c r="G53" s="2">
        <v>52</v>
      </c>
    </row>
    <row r="54" ht="18.75" spans="1:7">
      <c r="A54" s="1" t="s">
        <v>166</v>
      </c>
      <c r="B54" s="1" t="s">
        <v>289</v>
      </c>
      <c r="C54" s="2">
        <v>87</v>
      </c>
      <c r="D54" s="2">
        <v>86</v>
      </c>
      <c r="E54" s="2">
        <v>34.5</v>
      </c>
      <c r="F54" s="2">
        <f>SUM(C54:E54)</f>
        <v>207.5</v>
      </c>
      <c r="G54" s="2">
        <v>53</v>
      </c>
    </row>
    <row r="55" ht="18.75" spans="1:7">
      <c r="A55" s="1" t="s">
        <v>219</v>
      </c>
      <c r="B55" s="1" t="s">
        <v>204</v>
      </c>
      <c r="C55" s="2">
        <v>84</v>
      </c>
      <c r="D55" s="2">
        <v>53</v>
      </c>
      <c r="E55" s="2">
        <v>70</v>
      </c>
      <c r="F55" s="2">
        <f>SUM(C55:E55)</f>
        <v>207</v>
      </c>
      <c r="G55" s="2">
        <v>54</v>
      </c>
    </row>
    <row r="56" ht="18.75" spans="1:7">
      <c r="A56" s="1" t="s">
        <v>208</v>
      </c>
      <c r="B56" s="1" t="s">
        <v>204</v>
      </c>
      <c r="C56" s="2">
        <v>79</v>
      </c>
      <c r="D56" s="2">
        <v>55</v>
      </c>
      <c r="E56" s="2">
        <v>72</v>
      </c>
      <c r="F56" s="2">
        <f>SUM(C56:E56)</f>
        <v>206</v>
      </c>
      <c r="G56" s="2">
        <v>55</v>
      </c>
    </row>
    <row r="57" ht="18.75" spans="1:7">
      <c r="A57" s="1" t="s">
        <v>224</v>
      </c>
      <c r="B57" s="1" t="s">
        <v>204</v>
      </c>
      <c r="C57" s="2">
        <v>87</v>
      </c>
      <c r="D57" s="2">
        <v>50</v>
      </c>
      <c r="E57" s="2">
        <v>68</v>
      </c>
      <c r="F57" s="2">
        <f>SUM(C57:E57)</f>
        <v>205</v>
      </c>
      <c r="G57" s="2">
        <v>56</v>
      </c>
    </row>
    <row r="58" ht="18.75" spans="1:7">
      <c r="A58" s="1" t="s">
        <v>7</v>
      </c>
      <c r="B58" s="1" t="s">
        <v>8</v>
      </c>
      <c r="C58" s="2">
        <v>86</v>
      </c>
      <c r="D58" s="2">
        <v>51</v>
      </c>
      <c r="E58" s="2">
        <v>67</v>
      </c>
      <c r="F58" s="2">
        <f>SUM(C58:E58)</f>
        <v>204</v>
      </c>
      <c r="G58" s="2">
        <v>57</v>
      </c>
    </row>
    <row r="59" ht="18.75" spans="1:7">
      <c r="A59" s="1" t="s">
        <v>42</v>
      </c>
      <c r="B59" s="1" t="s">
        <v>288</v>
      </c>
      <c r="C59" s="2">
        <v>77</v>
      </c>
      <c r="D59" s="2">
        <v>79</v>
      </c>
      <c r="E59" s="2">
        <v>48</v>
      </c>
      <c r="F59" s="2">
        <f>SUM(C59:E59)</f>
        <v>204</v>
      </c>
      <c r="G59" s="2">
        <v>58</v>
      </c>
    </row>
    <row r="60" ht="18.75" spans="1:7">
      <c r="A60" s="1" t="s">
        <v>65</v>
      </c>
      <c r="B60" s="1" t="s">
        <v>288</v>
      </c>
      <c r="C60" s="2">
        <v>86</v>
      </c>
      <c r="D60" s="2">
        <v>47</v>
      </c>
      <c r="E60" s="2">
        <v>71</v>
      </c>
      <c r="F60" s="2">
        <f>SUM(C60:E60)</f>
        <v>204</v>
      </c>
      <c r="G60" s="2">
        <v>59</v>
      </c>
    </row>
    <row r="61" ht="18.75" spans="1:7">
      <c r="A61" s="1" t="s">
        <v>226</v>
      </c>
      <c r="B61" s="1" t="s">
        <v>204</v>
      </c>
      <c r="C61" s="2">
        <v>87</v>
      </c>
      <c r="D61" s="2">
        <v>46</v>
      </c>
      <c r="E61" s="2">
        <v>71</v>
      </c>
      <c r="F61" s="2">
        <f>SUM(C61:E61)</f>
        <v>204</v>
      </c>
      <c r="G61" s="2">
        <v>60</v>
      </c>
    </row>
    <row r="62" ht="18.75" spans="1:7">
      <c r="A62" s="1" t="s">
        <v>173</v>
      </c>
      <c r="B62" s="1" t="s">
        <v>289</v>
      </c>
      <c r="C62" s="2">
        <v>89</v>
      </c>
      <c r="D62" s="2">
        <v>57</v>
      </c>
      <c r="E62" s="2">
        <v>57.5</v>
      </c>
      <c r="F62" s="2">
        <f>SUM(C62:E62)</f>
        <v>203.5</v>
      </c>
      <c r="G62" s="2">
        <v>61</v>
      </c>
    </row>
    <row r="63" ht="18.75" spans="1:7">
      <c r="A63" s="1" t="s">
        <v>59</v>
      </c>
      <c r="B63" s="1" t="s">
        <v>288</v>
      </c>
      <c r="C63" s="2">
        <v>88</v>
      </c>
      <c r="D63" s="2">
        <v>72</v>
      </c>
      <c r="E63" s="2">
        <v>43</v>
      </c>
      <c r="F63" s="2">
        <f>SUM(C63:E63)</f>
        <v>203</v>
      </c>
      <c r="G63" s="2">
        <v>62</v>
      </c>
    </row>
    <row r="64" ht="18.75" spans="1:7">
      <c r="A64" s="1" t="s">
        <v>167</v>
      </c>
      <c r="B64" s="1" t="s">
        <v>289</v>
      </c>
      <c r="C64" s="2">
        <v>81</v>
      </c>
      <c r="D64" s="2">
        <v>56</v>
      </c>
      <c r="E64" s="2">
        <v>65.5</v>
      </c>
      <c r="F64" s="2">
        <f>SUM(C64:E64)</f>
        <v>202.5</v>
      </c>
      <c r="G64" s="2">
        <v>63</v>
      </c>
    </row>
    <row r="65" ht="18.75" spans="1:7">
      <c r="A65" s="1" t="s">
        <v>111</v>
      </c>
      <c r="B65" s="1" t="s">
        <v>286</v>
      </c>
      <c r="C65" s="2">
        <v>85</v>
      </c>
      <c r="D65" s="2">
        <v>51</v>
      </c>
      <c r="E65" s="2">
        <v>66</v>
      </c>
      <c r="F65" s="2">
        <f>SUM(C65:E65)</f>
        <v>202</v>
      </c>
      <c r="G65" s="2">
        <v>64</v>
      </c>
    </row>
    <row r="66" ht="18.75" spans="1:7">
      <c r="A66" s="1" t="s">
        <v>105</v>
      </c>
      <c r="B66" s="1" t="s">
        <v>286</v>
      </c>
      <c r="C66" s="2">
        <v>97</v>
      </c>
      <c r="D66" s="2">
        <v>61</v>
      </c>
      <c r="E66" s="2">
        <v>43.5</v>
      </c>
      <c r="F66" s="2">
        <f>SUM(C66:E66)</f>
        <v>201.5</v>
      </c>
      <c r="G66" s="2">
        <v>65</v>
      </c>
    </row>
    <row r="67" ht="18.75" spans="1:7">
      <c r="A67" s="1" t="s">
        <v>251</v>
      </c>
      <c r="B67" s="1" t="s">
        <v>247</v>
      </c>
      <c r="C67" s="2">
        <v>94</v>
      </c>
      <c r="D67" s="2">
        <v>55</v>
      </c>
      <c r="E67" s="2">
        <v>52.5</v>
      </c>
      <c r="F67" s="2">
        <f>SUM(C67:E67)</f>
        <v>201.5</v>
      </c>
      <c r="G67" s="2">
        <v>66</v>
      </c>
    </row>
    <row r="68" ht="18.75" spans="1:7">
      <c r="A68" s="1" t="s">
        <v>66</v>
      </c>
      <c r="B68" s="1" t="s">
        <v>288</v>
      </c>
      <c r="C68" s="2">
        <v>78</v>
      </c>
      <c r="D68" s="2">
        <v>75</v>
      </c>
      <c r="E68" s="2">
        <v>48</v>
      </c>
      <c r="F68" s="2">
        <f>SUM(C68:E68)</f>
        <v>201</v>
      </c>
      <c r="G68" s="2">
        <v>67</v>
      </c>
    </row>
    <row r="69" ht="18.75" spans="1:7">
      <c r="A69" s="1" t="s">
        <v>242</v>
      </c>
      <c r="B69" s="1" t="s">
        <v>204</v>
      </c>
      <c r="C69" s="2">
        <v>74</v>
      </c>
      <c r="D69" s="2">
        <v>74</v>
      </c>
      <c r="E69" s="2">
        <v>51</v>
      </c>
      <c r="F69" s="2">
        <f>SUM(C69:E69)</f>
        <v>199</v>
      </c>
      <c r="G69" s="2">
        <v>68</v>
      </c>
    </row>
    <row r="70" ht="18.75" spans="1:7">
      <c r="A70" s="1" t="s">
        <v>51</v>
      </c>
      <c r="B70" s="1" t="s">
        <v>288</v>
      </c>
      <c r="C70" s="2">
        <v>88</v>
      </c>
      <c r="D70" s="2">
        <v>66</v>
      </c>
      <c r="E70" s="2">
        <v>44.5</v>
      </c>
      <c r="F70" s="2">
        <f>SUM(C70:E70)</f>
        <v>198.5</v>
      </c>
      <c r="G70" s="2">
        <v>69</v>
      </c>
    </row>
    <row r="71" ht="18.75" spans="1:7">
      <c r="A71" s="1" t="s">
        <v>261</v>
      </c>
      <c r="B71" s="1" t="s">
        <v>247</v>
      </c>
      <c r="C71" s="2">
        <v>76</v>
      </c>
      <c r="D71" s="2">
        <v>72</v>
      </c>
      <c r="E71" s="2">
        <v>50.5</v>
      </c>
      <c r="F71" s="2">
        <f>SUM(C71:E71)</f>
        <v>198.5</v>
      </c>
      <c r="G71" s="2">
        <v>70</v>
      </c>
    </row>
    <row r="72" ht="18.75" spans="1:7">
      <c r="A72" s="1" t="s">
        <v>263</v>
      </c>
      <c r="B72" s="1" t="s">
        <v>247</v>
      </c>
      <c r="C72" s="2">
        <v>68</v>
      </c>
      <c r="D72" s="2">
        <v>61</v>
      </c>
      <c r="E72" s="2">
        <v>69.5</v>
      </c>
      <c r="F72" s="2">
        <f>SUM(C72:E72)</f>
        <v>198.5</v>
      </c>
      <c r="G72" s="2">
        <v>71</v>
      </c>
    </row>
    <row r="73" ht="18.75" spans="1:7">
      <c r="A73" s="1" t="s">
        <v>64</v>
      </c>
      <c r="B73" s="1" t="s">
        <v>288</v>
      </c>
      <c r="C73" s="2">
        <v>88</v>
      </c>
      <c r="D73" s="2">
        <v>46</v>
      </c>
      <c r="E73" s="2">
        <v>63.5</v>
      </c>
      <c r="F73" s="2">
        <f>SUM(C73:E73)</f>
        <v>197.5</v>
      </c>
      <c r="G73" s="2">
        <v>72</v>
      </c>
    </row>
    <row r="74" ht="18.75" spans="1:7">
      <c r="A74" s="1" t="s">
        <v>136</v>
      </c>
      <c r="B74" s="1" t="s">
        <v>287</v>
      </c>
      <c r="C74" s="2">
        <v>83</v>
      </c>
      <c r="D74" s="2">
        <v>55</v>
      </c>
      <c r="E74" s="2">
        <v>59.5</v>
      </c>
      <c r="F74" s="2">
        <f>SUM(C74:E74)</f>
        <v>197.5</v>
      </c>
      <c r="G74" s="2">
        <v>73</v>
      </c>
    </row>
    <row r="75" ht="18.75" spans="1:7">
      <c r="A75" s="1" t="s">
        <v>169</v>
      </c>
      <c r="B75" s="1" t="s">
        <v>289</v>
      </c>
      <c r="C75" s="2">
        <v>69</v>
      </c>
      <c r="D75" s="2">
        <v>89</v>
      </c>
      <c r="E75" s="2">
        <v>39.5</v>
      </c>
      <c r="F75" s="2">
        <f>SUM(C75:E75)</f>
        <v>197.5</v>
      </c>
      <c r="G75" s="2">
        <v>74</v>
      </c>
    </row>
    <row r="76" ht="18.75" spans="1:7">
      <c r="A76" s="1" t="s">
        <v>113</v>
      </c>
      <c r="B76" s="1" t="s">
        <v>286</v>
      </c>
      <c r="C76" s="2">
        <v>84</v>
      </c>
      <c r="D76" s="2">
        <v>45</v>
      </c>
      <c r="E76" s="2">
        <v>68</v>
      </c>
      <c r="F76" s="2">
        <f>SUM(C76:E76)</f>
        <v>197</v>
      </c>
      <c r="G76" s="2">
        <v>75</v>
      </c>
    </row>
    <row r="77" ht="18.75" spans="1:7">
      <c r="A77" s="1" t="s">
        <v>172</v>
      </c>
      <c r="B77" s="1" t="s">
        <v>289</v>
      </c>
      <c r="C77" s="2">
        <v>79</v>
      </c>
      <c r="D77" s="2">
        <v>55</v>
      </c>
      <c r="E77" s="2">
        <v>62.5</v>
      </c>
      <c r="F77" s="2">
        <f>SUM(C77:E77)</f>
        <v>196.5</v>
      </c>
      <c r="G77" s="2">
        <v>76</v>
      </c>
    </row>
    <row r="78" ht="18.75" spans="1:7">
      <c r="A78" s="1" t="s">
        <v>168</v>
      </c>
      <c r="B78" s="1" t="s">
        <v>289</v>
      </c>
      <c r="C78" s="2">
        <v>80</v>
      </c>
      <c r="D78" s="2">
        <v>83</v>
      </c>
      <c r="E78" s="2">
        <v>33</v>
      </c>
      <c r="F78" s="2">
        <f>SUM(C78:E78)</f>
        <v>196</v>
      </c>
      <c r="G78" s="2">
        <v>77</v>
      </c>
    </row>
    <row r="79" ht="18.75" spans="1:7">
      <c r="A79" s="1" t="s">
        <v>69</v>
      </c>
      <c r="B79" s="1" t="s">
        <v>288</v>
      </c>
      <c r="C79" s="2">
        <v>79</v>
      </c>
      <c r="D79" s="2">
        <v>70</v>
      </c>
      <c r="E79" s="2">
        <v>46</v>
      </c>
      <c r="F79" s="2">
        <f>SUM(C79:E79)</f>
        <v>195</v>
      </c>
      <c r="G79" s="2">
        <v>78</v>
      </c>
    </row>
    <row r="80" ht="18.75" spans="1:7">
      <c r="A80" s="1" t="s">
        <v>56</v>
      </c>
      <c r="B80" s="1" t="s">
        <v>288</v>
      </c>
      <c r="C80" s="2">
        <v>79</v>
      </c>
      <c r="D80" s="2">
        <v>65</v>
      </c>
      <c r="E80" s="2">
        <v>50.5</v>
      </c>
      <c r="F80" s="2">
        <f>SUM(C80:E80)</f>
        <v>194.5</v>
      </c>
      <c r="G80" s="2">
        <v>79</v>
      </c>
    </row>
    <row r="81" ht="18.75" spans="1:7">
      <c r="A81" s="1" t="s">
        <v>222</v>
      </c>
      <c r="B81" s="1" t="s">
        <v>204</v>
      </c>
      <c r="C81" s="2">
        <v>73</v>
      </c>
      <c r="D81" s="2">
        <v>53</v>
      </c>
      <c r="E81" s="2">
        <v>67</v>
      </c>
      <c r="F81" s="2">
        <f>SUM(C81:E81)</f>
        <v>193</v>
      </c>
      <c r="G81" s="2">
        <v>80</v>
      </c>
    </row>
    <row r="82" ht="18.75" spans="1:7">
      <c r="A82" s="1" t="s">
        <v>213</v>
      </c>
      <c r="B82" s="1" t="s">
        <v>204</v>
      </c>
      <c r="C82" s="2">
        <v>83</v>
      </c>
      <c r="D82" s="2">
        <v>44</v>
      </c>
      <c r="E82" s="2">
        <v>65</v>
      </c>
      <c r="F82" s="2">
        <f>SUM(C82:E82)</f>
        <v>192</v>
      </c>
      <c r="G82" s="2">
        <v>81</v>
      </c>
    </row>
    <row r="83" ht="18.75" spans="1:7">
      <c r="A83" s="1" t="s">
        <v>55</v>
      </c>
      <c r="B83" s="1" t="s">
        <v>288</v>
      </c>
      <c r="C83" s="2">
        <v>63</v>
      </c>
      <c r="D83" s="2">
        <v>88</v>
      </c>
      <c r="E83" s="2">
        <v>40.5</v>
      </c>
      <c r="F83" s="2">
        <f>SUM(C83:E83)</f>
        <v>191.5</v>
      </c>
      <c r="G83" s="2">
        <v>82</v>
      </c>
    </row>
    <row r="84" ht="18.75" spans="1:7">
      <c r="A84" s="1" t="s">
        <v>174</v>
      </c>
      <c r="B84" s="1" t="s">
        <v>289</v>
      </c>
      <c r="C84" s="2">
        <v>83</v>
      </c>
      <c r="D84" s="2">
        <v>61</v>
      </c>
      <c r="E84" s="2">
        <v>47.5</v>
      </c>
      <c r="F84" s="2">
        <f>SUM(C84:E84)</f>
        <v>191.5</v>
      </c>
      <c r="G84" s="2">
        <v>83</v>
      </c>
    </row>
    <row r="85" ht="18.75" spans="1:7">
      <c r="A85" s="1" t="s">
        <v>260</v>
      </c>
      <c r="B85" s="1" t="s">
        <v>247</v>
      </c>
      <c r="C85" s="2">
        <v>89</v>
      </c>
      <c r="D85" s="2">
        <v>51</v>
      </c>
      <c r="E85" s="2">
        <v>51.5</v>
      </c>
      <c r="F85" s="2">
        <f>SUM(C85:E85)</f>
        <v>191.5</v>
      </c>
      <c r="G85" s="2">
        <v>84</v>
      </c>
    </row>
    <row r="86" ht="18.75" spans="1:7">
      <c r="A86" s="1" t="s">
        <v>58</v>
      </c>
      <c r="B86" s="1" t="s">
        <v>288</v>
      </c>
      <c r="C86" s="2">
        <v>83</v>
      </c>
      <c r="D86" s="2">
        <v>72</v>
      </c>
      <c r="E86" s="2">
        <v>36</v>
      </c>
      <c r="F86" s="2">
        <f>SUM(C86:E86)</f>
        <v>191</v>
      </c>
      <c r="G86" s="2">
        <v>85</v>
      </c>
    </row>
    <row r="87" ht="18.75" spans="1:7">
      <c r="A87" s="1" t="s">
        <v>141</v>
      </c>
      <c r="B87" s="1" t="s">
        <v>287</v>
      </c>
      <c r="C87" s="2">
        <v>89</v>
      </c>
      <c r="D87" s="2">
        <v>45</v>
      </c>
      <c r="E87" s="2">
        <v>56.5</v>
      </c>
      <c r="F87" s="2">
        <f>SUM(C87:E87)</f>
        <v>190.5</v>
      </c>
      <c r="G87" s="2">
        <v>86</v>
      </c>
    </row>
    <row r="88" ht="18.75" spans="1:7">
      <c r="A88" s="1" t="s">
        <v>255</v>
      </c>
      <c r="B88" s="1" t="s">
        <v>247</v>
      </c>
      <c r="C88" s="2">
        <v>80</v>
      </c>
      <c r="D88" s="2">
        <v>47</v>
      </c>
      <c r="E88" s="2">
        <v>63.5</v>
      </c>
      <c r="F88" s="2">
        <f>SUM(C88:E88)</f>
        <v>190.5</v>
      </c>
      <c r="G88" s="2">
        <v>87</v>
      </c>
    </row>
    <row r="89" ht="18.75" spans="1:7">
      <c r="A89" s="1" t="s">
        <v>107</v>
      </c>
      <c r="B89" s="1" t="s">
        <v>286</v>
      </c>
      <c r="C89" s="2">
        <v>81</v>
      </c>
      <c r="D89" s="2">
        <v>73</v>
      </c>
      <c r="E89" s="2">
        <v>36</v>
      </c>
      <c r="F89" s="2">
        <f>SUM(C89:E89)</f>
        <v>190</v>
      </c>
      <c r="G89" s="2">
        <v>88</v>
      </c>
    </row>
    <row r="90" ht="18.75" spans="1:7">
      <c r="A90" s="1" t="s">
        <v>220</v>
      </c>
      <c r="B90" s="1" t="s">
        <v>204</v>
      </c>
      <c r="C90" s="2">
        <v>91</v>
      </c>
      <c r="D90" s="2">
        <v>39</v>
      </c>
      <c r="E90" s="2">
        <v>59.5</v>
      </c>
      <c r="F90" s="2">
        <f>SUM(C90:E90)</f>
        <v>189.5</v>
      </c>
      <c r="G90" s="2">
        <v>89</v>
      </c>
    </row>
    <row r="91" ht="18.75" spans="1:7">
      <c r="A91" s="1" t="s">
        <v>67</v>
      </c>
      <c r="B91" s="1" t="s">
        <v>288</v>
      </c>
      <c r="C91" s="2">
        <v>78</v>
      </c>
      <c r="D91" s="2">
        <v>53</v>
      </c>
      <c r="E91" s="2">
        <v>58</v>
      </c>
      <c r="F91" s="2">
        <f>SUM(C91:E91)</f>
        <v>189</v>
      </c>
      <c r="G91" s="2">
        <v>90</v>
      </c>
    </row>
    <row r="92" ht="18.75" spans="1:7">
      <c r="A92" s="1" t="s">
        <v>102</v>
      </c>
      <c r="B92" s="1" t="s">
        <v>286</v>
      </c>
      <c r="C92" s="2">
        <v>82</v>
      </c>
      <c r="D92" s="2">
        <v>68</v>
      </c>
      <c r="E92" s="2">
        <v>39</v>
      </c>
      <c r="F92" s="2">
        <f>SUM(C92:E92)</f>
        <v>189</v>
      </c>
      <c r="G92" s="2">
        <v>91</v>
      </c>
    </row>
    <row r="93" ht="18.75" spans="1:7">
      <c r="A93" s="1" t="s">
        <v>110</v>
      </c>
      <c r="B93" s="1" t="s">
        <v>286</v>
      </c>
      <c r="C93" s="2">
        <v>87</v>
      </c>
      <c r="D93" s="2">
        <v>41</v>
      </c>
      <c r="E93" s="2">
        <v>61</v>
      </c>
      <c r="F93" s="2">
        <f>SUM(C93:E93)</f>
        <v>189</v>
      </c>
      <c r="G93" s="2">
        <v>92</v>
      </c>
    </row>
    <row r="94" ht="18.75" spans="1:7">
      <c r="A94" s="1" t="s">
        <v>13</v>
      </c>
      <c r="B94" s="1" t="s">
        <v>8</v>
      </c>
      <c r="C94" s="2">
        <v>72</v>
      </c>
      <c r="D94" s="2">
        <v>47</v>
      </c>
      <c r="E94" s="2">
        <v>69.5</v>
      </c>
      <c r="F94" s="2">
        <f>SUM(C94:E94)</f>
        <v>188.5</v>
      </c>
      <c r="G94" s="2">
        <v>93</v>
      </c>
    </row>
    <row r="95" ht="18.75" spans="1:7">
      <c r="A95" s="1" t="s">
        <v>143</v>
      </c>
      <c r="B95" s="1" t="s">
        <v>287</v>
      </c>
      <c r="C95" s="2">
        <v>70</v>
      </c>
      <c r="D95" s="2">
        <v>86</v>
      </c>
      <c r="E95" s="2">
        <v>32.5</v>
      </c>
      <c r="F95" s="2">
        <f>SUM(C95:E95)</f>
        <v>188.5</v>
      </c>
      <c r="G95" s="2">
        <v>94</v>
      </c>
    </row>
    <row r="96" ht="18.75" spans="1:7">
      <c r="A96" s="1" t="s">
        <v>112</v>
      </c>
      <c r="B96" s="1" t="s">
        <v>286</v>
      </c>
      <c r="C96" s="2">
        <v>80</v>
      </c>
      <c r="D96" s="2">
        <v>53</v>
      </c>
      <c r="E96" s="2">
        <v>54.5</v>
      </c>
      <c r="F96" s="2">
        <f>SUM(C96:E96)</f>
        <v>187.5</v>
      </c>
      <c r="G96" s="2">
        <v>95</v>
      </c>
    </row>
    <row r="97" ht="18.75" spans="1:7">
      <c r="A97" s="1" t="s">
        <v>127</v>
      </c>
      <c r="B97" s="1" t="s">
        <v>286</v>
      </c>
      <c r="C97" s="2">
        <v>84</v>
      </c>
      <c r="D97" s="2">
        <v>36</v>
      </c>
      <c r="E97" s="2">
        <v>67.5</v>
      </c>
      <c r="F97" s="2">
        <f>SUM(C97:E97)</f>
        <v>187.5</v>
      </c>
      <c r="G97" s="2">
        <v>96</v>
      </c>
    </row>
    <row r="98" ht="18.75" spans="1:7">
      <c r="A98" s="1" t="s">
        <v>217</v>
      </c>
      <c r="B98" s="1" t="s">
        <v>204</v>
      </c>
      <c r="C98" s="2">
        <v>83</v>
      </c>
      <c r="D98" s="2">
        <v>40</v>
      </c>
      <c r="E98" s="2">
        <v>64.5</v>
      </c>
      <c r="F98" s="2">
        <f>SUM(C98:E98)</f>
        <v>187.5</v>
      </c>
      <c r="G98" s="2">
        <v>97</v>
      </c>
    </row>
    <row r="99" ht="18.75" spans="1:7">
      <c r="A99" s="1" t="s">
        <v>237</v>
      </c>
      <c r="B99" s="1" t="s">
        <v>204</v>
      </c>
      <c r="C99" s="2">
        <v>76</v>
      </c>
      <c r="D99" s="2">
        <v>46</v>
      </c>
      <c r="E99" s="2">
        <v>65.5</v>
      </c>
      <c r="F99" s="2">
        <f>SUM(C99:E99)</f>
        <v>187.5</v>
      </c>
      <c r="G99" s="2">
        <v>98</v>
      </c>
    </row>
    <row r="100" ht="18.75" spans="1:7">
      <c r="A100" s="1" t="s">
        <v>115</v>
      </c>
      <c r="B100" s="1" t="s">
        <v>286</v>
      </c>
      <c r="C100" s="2">
        <v>82</v>
      </c>
      <c r="D100" s="2">
        <v>50</v>
      </c>
      <c r="E100" s="2">
        <v>54.5</v>
      </c>
      <c r="F100" s="2">
        <f>SUM(C100:E100)</f>
        <v>186.5</v>
      </c>
      <c r="G100" s="2">
        <v>99</v>
      </c>
    </row>
    <row r="101" ht="18.75" spans="1:7">
      <c r="A101" s="1" t="s">
        <v>139</v>
      </c>
      <c r="B101" s="1" t="s">
        <v>287</v>
      </c>
      <c r="C101" s="2">
        <v>88</v>
      </c>
      <c r="D101" s="2">
        <v>51</v>
      </c>
      <c r="E101" s="2">
        <v>47.5</v>
      </c>
      <c r="F101" s="2">
        <f>SUM(C101:E101)</f>
        <v>186.5</v>
      </c>
      <c r="G101" s="2">
        <v>100</v>
      </c>
    </row>
    <row r="102" ht="18.75" spans="1:7">
      <c r="A102" s="1" t="s">
        <v>140</v>
      </c>
      <c r="B102" s="1" t="s">
        <v>287</v>
      </c>
      <c r="C102" s="2">
        <v>84</v>
      </c>
      <c r="D102" s="2">
        <v>58</v>
      </c>
      <c r="E102" s="2">
        <v>44.5</v>
      </c>
      <c r="F102" s="2">
        <f>SUM(C102:E102)</f>
        <v>186.5</v>
      </c>
      <c r="G102" s="2">
        <v>101</v>
      </c>
    </row>
    <row r="103" ht="18.75" spans="1:7">
      <c r="A103" s="1" t="s">
        <v>229</v>
      </c>
      <c r="B103" s="1" t="s">
        <v>204</v>
      </c>
      <c r="C103" s="2">
        <v>91</v>
      </c>
      <c r="D103" s="2">
        <v>24</v>
      </c>
      <c r="E103" s="2">
        <v>71</v>
      </c>
      <c r="F103" s="2">
        <f>SUM(C103:E103)</f>
        <v>186</v>
      </c>
      <c r="G103" s="2">
        <v>102</v>
      </c>
    </row>
    <row r="104" ht="18.75" spans="1:7">
      <c r="A104" s="1" t="s">
        <v>72</v>
      </c>
      <c r="B104" s="1" t="s">
        <v>288</v>
      </c>
      <c r="C104" s="2">
        <v>86</v>
      </c>
      <c r="D104" s="2">
        <v>37</v>
      </c>
      <c r="E104" s="2">
        <v>62.5</v>
      </c>
      <c r="F104" s="2">
        <f>SUM(C104:E104)</f>
        <v>185.5</v>
      </c>
      <c r="G104" s="2">
        <v>103</v>
      </c>
    </row>
    <row r="105" ht="18.75" spans="1:7">
      <c r="A105" s="1" t="s">
        <v>117</v>
      </c>
      <c r="B105" s="1" t="s">
        <v>286</v>
      </c>
      <c r="C105" s="2">
        <v>86</v>
      </c>
      <c r="D105" s="2">
        <v>42</v>
      </c>
      <c r="E105" s="2">
        <v>57.5</v>
      </c>
      <c r="F105" s="2">
        <f>SUM(C105:E105)</f>
        <v>185.5</v>
      </c>
      <c r="G105" s="2">
        <v>104</v>
      </c>
    </row>
    <row r="106" ht="18.75" spans="1:7">
      <c r="A106" s="1" t="s">
        <v>63</v>
      </c>
      <c r="B106" s="1" t="s">
        <v>288</v>
      </c>
      <c r="C106" s="2">
        <v>81</v>
      </c>
      <c r="D106" s="2">
        <v>53</v>
      </c>
      <c r="E106" s="2">
        <v>51</v>
      </c>
      <c r="F106" s="2">
        <f>SUM(C106:E106)</f>
        <v>185</v>
      </c>
      <c r="G106" s="2">
        <v>105</v>
      </c>
    </row>
    <row r="107" ht="18.75" spans="1:7">
      <c r="A107" s="1" t="s">
        <v>68</v>
      </c>
      <c r="B107" s="1" t="s">
        <v>288</v>
      </c>
      <c r="C107" s="2">
        <v>83</v>
      </c>
      <c r="D107" s="2">
        <v>35</v>
      </c>
      <c r="E107" s="2">
        <v>67</v>
      </c>
      <c r="F107" s="2">
        <f>SUM(C107:E107)</f>
        <v>185</v>
      </c>
      <c r="G107" s="2">
        <v>106</v>
      </c>
    </row>
    <row r="108" ht="18.75" spans="1:7">
      <c r="A108" s="1" t="s">
        <v>273</v>
      </c>
      <c r="B108" s="1" t="s">
        <v>247</v>
      </c>
      <c r="C108" s="2">
        <v>77</v>
      </c>
      <c r="D108" s="2">
        <v>47</v>
      </c>
      <c r="E108" s="2">
        <v>61</v>
      </c>
      <c r="F108" s="2">
        <f>SUM(C108:E108)</f>
        <v>185</v>
      </c>
      <c r="G108" s="2">
        <v>107</v>
      </c>
    </row>
    <row r="109" ht="18.75" spans="1:7">
      <c r="A109" s="1" t="s">
        <v>116</v>
      </c>
      <c r="B109" s="1" t="s">
        <v>286</v>
      </c>
      <c r="C109" s="2">
        <v>65</v>
      </c>
      <c r="D109" s="2">
        <v>89</v>
      </c>
      <c r="E109" s="2">
        <v>30</v>
      </c>
      <c r="F109" s="2">
        <f>SUM(C109:E109)</f>
        <v>184</v>
      </c>
      <c r="G109" s="2">
        <v>108</v>
      </c>
    </row>
    <row r="110" ht="18.75" spans="1:7">
      <c r="A110" s="1" t="s">
        <v>120</v>
      </c>
      <c r="B110" s="1" t="s">
        <v>286</v>
      </c>
      <c r="C110" s="2">
        <v>77</v>
      </c>
      <c r="D110" s="2">
        <v>72</v>
      </c>
      <c r="E110" s="2">
        <v>34.5</v>
      </c>
      <c r="F110" s="2">
        <f>SUM(C110:E110)</f>
        <v>183.5</v>
      </c>
      <c r="G110" s="2">
        <v>109</v>
      </c>
    </row>
    <row r="111" ht="18.75" spans="1:7">
      <c r="A111" s="1" t="s">
        <v>252</v>
      </c>
      <c r="B111" s="1" t="s">
        <v>247</v>
      </c>
      <c r="C111" s="2">
        <v>84</v>
      </c>
      <c r="D111" s="2">
        <v>36</v>
      </c>
      <c r="E111" s="2">
        <v>63.5</v>
      </c>
      <c r="F111" s="2">
        <f>SUM(C111:E111)</f>
        <v>183.5</v>
      </c>
      <c r="G111" s="2">
        <v>110</v>
      </c>
    </row>
    <row r="112" ht="18.75" spans="1:7">
      <c r="A112" s="1" t="s">
        <v>144</v>
      </c>
      <c r="B112" s="1" t="s">
        <v>287</v>
      </c>
      <c r="C112" s="2">
        <v>93</v>
      </c>
      <c r="D112" s="2">
        <v>45</v>
      </c>
      <c r="E112" s="2">
        <v>45</v>
      </c>
      <c r="F112" s="2">
        <f>SUM(C112:E112)</f>
        <v>183</v>
      </c>
      <c r="G112" s="2">
        <v>111</v>
      </c>
    </row>
    <row r="113" ht="18.75" spans="1:7">
      <c r="A113" s="1" t="s">
        <v>212</v>
      </c>
      <c r="B113" s="1" t="s">
        <v>204</v>
      </c>
      <c r="C113" s="2">
        <v>87</v>
      </c>
      <c r="D113" s="2">
        <v>29</v>
      </c>
      <c r="E113" s="2">
        <v>67</v>
      </c>
      <c r="F113" s="2">
        <f>SUM(C113:E113)</f>
        <v>183</v>
      </c>
      <c r="G113" s="2">
        <v>112</v>
      </c>
    </row>
    <row r="114" ht="18.75" spans="1:7">
      <c r="A114" s="1" t="s">
        <v>19</v>
      </c>
      <c r="B114" s="1" t="s">
        <v>8</v>
      </c>
      <c r="C114" s="2">
        <v>88</v>
      </c>
      <c r="D114" s="2">
        <v>42</v>
      </c>
      <c r="E114" s="2">
        <v>52.5</v>
      </c>
      <c r="F114" s="2">
        <f>SUM(C114:E114)</f>
        <v>182.5</v>
      </c>
      <c r="G114" s="2">
        <v>113</v>
      </c>
    </row>
    <row r="115" ht="18.75" spans="1:7">
      <c r="A115" s="1" t="s">
        <v>221</v>
      </c>
      <c r="B115" s="1" t="s">
        <v>204</v>
      </c>
      <c r="C115" s="2">
        <v>74</v>
      </c>
      <c r="D115" s="2">
        <v>61</v>
      </c>
      <c r="E115" s="2">
        <v>47.5</v>
      </c>
      <c r="F115" s="2">
        <f>SUM(C115:E115)</f>
        <v>182.5</v>
      </c>
      <c r="G115" s="2">
        <v>114</v>
      </c>
    </row>
    <row r="116" ht="18.75" spans="1:7">
      <c r="A116" s="1" t="s">
        <v>53</v>
      </c>
      <c r="B116" s="1" t="s">
        <v>288</v>
      </c>
      <c r="C116" s="2">
        <v>86</v>
      </c>
      <c r="D116" s="2">
        <v>48</v>
      </c>
      <c r="E116" s="2">
        <v>48</v>
      </c>
      <c r="F116" s="2">
        <f>SUM(C116:E116)</f>
        <v>182</v>
      </c>
      <c r="G116" s="2">
        <v>115</v>
      </c>
    </row>
    <row r="117" ht="18.75" spans="1:7">
      <c r="A117" s="1" t="s">
        <v>256</v>
      </c>
      <c r="B117" s="1" t="s">
        <v>247</v>
      </c>
      <c r="C117" s="2">
        <v>74</v>
      </c>
      <c r="D117" s="2">
        <v>50</v>
      </c>
      <c r="E117" s="2">
        <v>58</v>
      </c>
      <c r="F117" s="2">
        <f>SUM(C117:E117)</f>
        <v>182</v>
      </c>
      <c r="G117" s="2">
        <v>116</v>
      </c>
    </row>
    <row r="118" ht="18.75" spans="1:7">
      <c r="A118" s="1" t="s">
        <v>265</v>
      </c>
      <c r="B118" s="1" t="s">
        <v>247</v>
      </c>
      <c r="C118" s="2">
        <v>88</v>
      </c>
      <c r="D118" s="2">
        <v>37</v>
      </c>
      <c r="E118" s="2">
        <v>57</v>
      </c>
      <c r="F118" s="2">
        <f>SUM(C118:E118)</f>
        <v>182</v>
      </c>
      <c r="G118" s="2">
        <v>117</v>
      </c>
    </row>
    <row r="119" ht="18.75" spans="1:7">
      <c r="A119" s="1" t="s">
        <v>10</v>
      </c>
      <c r="B119" s="1" t="s">
        <v>8</v>
      </c>
      <c r="C119" s="2">
        <v>69</v>
      </c>
      <c r="D119" s="2">
        <v>57</v>
      </c>
      <c r="E119" s="2">
        <v>55.5</v>
      </c>
      <c r="F119" s="2">
        <f>SUM(C119:E119)</f>
        <v>181.5</v>
      </c>
      <c r="G119" s="2">
        <v>118</v>
      </c>
    </row>
    <row r="120" ht="18.75" spans="1:7">
      <c r="A120" s="1" t="s">
        <v>114</v>
      </c>
      <c r="B120" s="1" t="s">
        <v>286</v>
      </c>
      <c r="C120" s="2">
        <v>83</v>
      </c>
      <c r="D120" s="2">
        <v>43</v>
      </c>
      <c r="E120" s="2">
        <v>55</v>
      </c>
      <c r="F120" s="2">
        <f>SUM(C120:E120)</f>
        <v>181</v>
      </c>
      <c r="G120" s="2">
        <v>119</v>
      </c>
    </row>
    <row r="121" ht="18.75" spans="1:7">
      <c r="A121" s="1" t="s">
        <v>142</v>
      </c>
      <c r="B121" s="1" t="s">
        <v>287</v>
      </c>
      <c r="C121" s="2">
        <v>77</v>
      </c>
      <c r="D121" s="2">
        <v>27</v>
      </c>
      <c r="E121" s="2">
        <v>77</v>
      </c>
      <c r="F121" s="2">
        <f>SUM(C121:E121)</f>
        <v>181</v>
      </c>
      <c r="G121" s="2">
        <v>120</v>
      </c>
    </row>
    <row r="122" ht="18.75" spans="1:7">
      <c r="A122" s="1" t="s">
        <v>119</v>
      </c>
      <c r="B122" s="1" t="s">
        <v>286</v>
      </c>
      <c r="C122" s="2">
        <v>94</v>
      </c>
      <c r="D122" s="2">
        <v>37</v>
      </c>
      <c r="E122" s="2">
        <v>49.5</v>
      </c>
      <c r="F122" s="2">
        <f>SUM(C122:E122)</f>
        <v>180.5</v>
      </c>
      <c r="G122" s="2">
        <v>121</v>
      </c>
    </row>
    <row r="123" ht="18.75" spans="1:7">
      <c r="A123" s="1" t="s">
        <v>234</v>
      </c>
      <c r="B123" s="1" t="s">
        <v>204</v>
      </c>
      <c r="C123" s="2">
        <v>75</v>
      </c>
      <c r="D123" s="2">
        <v>45.1</v>
      </c>
      <c r="E123" s="2">
        <v>60</v>
      </c>
      <c r="F123" s="2">
        <f>SUM(C123:E123)</f>
        <v>180.1</v>
      </c>
      <c r="G123" s="2">
        <v>122</v>
      </c>
    </row>
    <row r="124" ht="18.75" spans="1:7">
      <c r="A124" s="1" t="s">
        <v>231</v>
      </c>
      <c r="B124" s="1" t="s">
        <v>204</v>
      </c>
      <c r="C124" s="2">
        <v>85</v>
      </c>
      <c r="D124" s="2">
        <v>31</v>
      </c>
      <c r="E124" s="2">
        <v>64</v>
      </c>
      <c r="F124" s="2">
        <f>SUM(C124:E124)</f>
        <v>180</v>
      </c>
      <c r="G124" s="2">
        <v>123</v>
      </c>
    </row>
    <row r="125" ht="18.75" spans="1:7">
      <c r="A125" s="1" t="s">
        <v>241</v>
      </c>
      <c r="B125" s="1" t="s">
        <v>204</v>
      </c>
      <c r="C125" s="2">
        <v>85</v>
      </c>
      <c r="D125" s="2">
        <v>18</v>
      </c>
      <c r="E125" s="2">
        <v>77</v>
      </c>
      <c r="F125" s="2">
        <f>SUM(C125:E125)</f>
        <v>180</v>
      </c>
      <c r="G125" s="2">
        <v>124</v>
      </c>
    </row>
    <row r="126" ht="18.75" spans="1:7">
      <c r="A126" s="1" t="s">
        <v>104</v>
      </c>
      <c r="B126" s="1" t="s">
        <v>286</v>
      </c>
      <c r="C126" s="2">
        <v>84</v>
      </c>
      <c r="D126" s="2">
        <v>59</v>
      </c>
      <c r="E126" s="2">
        <v>36.5</v>
      </c>
      <c r="F126" s="2">
        <f>SUM(C126:E126)</f>
        <v>179.5</v>
      </c>
      <c r="G126" s="2">
        <v>125</v>
      </c>
    </row>
    <row r="127" ht="18.75" spans="1:7">
      <c r="A127" s="1" t="s">
        <v>216</v>
      </c>
      <c r="B127" s="1" t="s">
        <v>204</v>
      </c>
      <c r="C127" s="2">
        <v>82</v>
      </c>
      <c r="D127" s="2">
        <v>45</v>
      </c>
      <c r="E127" s="2">
        <v>52.5</v>
      </c>
      <c r="F127" s="2">
        <f>SUM(C127:E127)</f>
        <v>179.5</v>
      </c>
      <c r="G127" s="2">
        <v>126</v>
      </c>
    </row>
    <row r="128" ht="18.75" spans="1:7">
      <c r="A128" s="1" t="s">
        <v>225</v>
      </c>
      <c r="B128" s="1" t="s">
        <v>204</v>
      </c>
      <c r="C128" s="2">
        <v>77</v>
      </c>
      <c r="D128" s="2">
        <v>50</v>
      </c>
      <c r="E128" s="2">
        <v>52.5</v>
      </c>
      <c r="F128" s="2">
        <f>SUM(C128:E128)</f>
        <v>179.5</v>
      </c>
      <c r="G128" s="2">
        <v>127</v>
      </c>
    </row>
    <row r="129" ht="18.75" spans="1:7">
      <c r="A129" s="1" t="s">
        <v>171</v>
      </c>
      <c r="B129" s="1" t="s">
        <v>289</v>
      </c>
      <c r="C129" s="2">
        <v>80</v>
      </c>
      <c r="D129" s="2">
        <v>50</v>
      </c>
      <c r="E129" s="2">
        <v>49</v>
      </c>
      <c r="F129" s="2">
        <f>SUM(C129:E129)</f>
        <v>179</v>
      </c>
      <c r="G129" s="2">
        <v>128</v>
      </c>
    </row>
    <row r="130" ht="18.75" spans="1:7">
      <c r="A130" s="1" t="s">
        <v>123</v>
      </c>
      <c r="B130" s="1" t="s">
        <v>286</v>
      </c>
      <c r="C130" s="2">
        <v>75</v>
      </c>
      <c r="D130" s="2">
        <v>55</v>
      </c>
      <c r="E130" s="2">
        <v>48.5</v>
      </c>
      <c r="F130" s="2">
        <f>SUM(C130:E130)</f>
        <v>178.5</v>
      </c>
      <c r="G130" s="2">
        <v>129</v>
      </c>
    </row>
    <row r="131" ht="18.75" spans="1:7">
      <c r="A131" s="1" t="s">
        <v>175</v>
      </c>
      <c r="B131" s="1" t="s">
        <v>289</v>
      </c>
      <c r="C131" s="2">
        <v>88</v>
      </c>
      <c r="D131" s="2">
        <v>42</v>
      </c>
      <c r="E131" s="2">
        <v>48.5</v>
      </c>
      <c r="F131" s="2">
        <f>SUM(C131:E131)</f>
        <v>178.5</v>
      </c>
      <c r="G131" s="2">
        <v>130</v>
      </c>
    </row>
    <row r="132" ht="18.75" spans="1:7">
      <c r="A132" s="1" t="s">
        <v>11</v>
      </c>
      <c r="B132" s="1" t="s">
        <v>8</v>
      </c>
      <c r="C132" s="2">
        <v>82</v>
      </c>
      <c r="D132" s="2">
        <v>50</v>
      </c>
      <c r="E132" s="2">
        <v>46</v>
      </c>
      <c r="F132" s="2">
        <f>SUM(C132:E132)</f>
        <v>178</v>
      </c>
      <c r="G132" s="2">
        <v>131</v>
      </c>
    </row>
    <row r="133" ht="18.75" spans="1:7">
      <c r="A133" s="1" t="s">
        <v>52</v>
      </c>
      <c r="B133" s="1" t="s">
        <v>288</v>
      </c>
      <c r="C133" s="2">
        <v>79</v>
      </c>
      <c r="D133" s="2">
        <v>48</v>
      </c>
      <c r="E133" s="2">
        <v>51</v>
      </c>
      <c r="F133" s="2">
        <f>SUM(C133:E133)</f>
        <v>178</v>
      </c>
      <c r="G133" s="2">
        <v>132</v>
      </c>
    </row>
    <row r="134" ht="18.75" spans="1:7">
      <c r="A134" s="1" t="s">
        <v>57</v>
      </c>
      <c r="B134" s="1" t="s">
        <v>288</v>
      </c>
      <c r="C134" s="2">
        <v>65</v>
      </c>
      <c r="D134" s="2">
        <v>60</v>
      </c>
      <c r="E134" s="2">
        <v>53</v>
      </c>
      <c r="F134" s="2">
        <f>SUM(C134:E134)</f>
        <v>178</v>
      </c>
      <c r="G134" s="2">
        <v>133</v>
      </c>
    </row>
    <row r="135" ht="18.75" spans="1:7">
      <c r="A135" s="1" t="s">
        <v>73</v>
      </c>
      <c r="B135" s="1" t="s">
        <v>288</v>
      </c>
      <c r="C135" s="2">
        <v>46</v>
      </c>
      <c r="D135" s="2">
        <v>67</v>
      </c>
      <c r="E135" s="2">
        <v>65</v>
      </c>
      <c r="F135" s="2">
        <f>SUM(C135:E135)</f>
        <v>178</v>
      </c>
      <c r="G135" s="2">
        <v>134</v>
      </c>
    </row>
    <row r="136" ht="18.75" spans="1:7">
      <c r="A136" s="1" t="s">
        <v>179</v>
      </c>
      <c r="B136" s="1" t="s">
        <v>289</v>
      </c>
      <c r="C136" s="2">
        <v>91</v>
      </c>
      <c r="D136" s="2">
        <v>27</v>
      </c>
      <c r="E136" s="2">
        <v>60</v>
      </c>
      <c r="F136" s="2">
        <f>SUM(C136:E136)</f>
        <v>178</v>
      </c>
      <c r="G136" s="2">
        <v>135</v>
      </c>
    </row>
    <row r="137" ht="18.75" spans="1:7">
      <c r="A137" s="1" t="s">
        <v>184</v>
      </c>
      <c r="B137" s="1" t="s">
        <v>289</v>
      </c>
      <c r="C137" s="2">
        <v>85</v>
      </c>
      <c r="D137" s="2">
        <v>25</v>
      </c>
      <c r="E137" s="2">
        <v>68</v>
      </c>
      <c r="F137" s="2">
        <f>SUM(C137:E137)</f>
        <v>178</v>
      </c>
      <c r="G137" s="2">
        <v>136</v>
      </c>
    </row>
    <row r="138" ht="18.75" spans="1:7">
      <c r="A138" s="1" t="s">
        <v>218</v>
      </c>
      <c r="B138" s="1" t="s">
        <v>204</v>
      </c>
      <c r="C138" s="2">
        <v>69</v>
      </c>
      <c r="D138" s="2">
        <v>76</v>
      </c>
      <c r="E138" s="2">
        <v>33</v>
      </c>
      <c r="F138" s="2">
        <f>SUM(C138:E138)</f>
        <v>178</v>
      </c>
      <c r="G138" s="2">
        <v>137</v>
      </c>
    </row>
    <row r="139" ht="18.75" spans="1:7">
      <c r="A139" s="1" t="s">
        <v>121</v>
      </c>
      <c r="B139" s="1" t="s">
        <v>286</v>
      </c>
      <c r="C139" s="2">
        <v>65</v>
      </c>
      <c r="D139" s="2">
        <v>44</v>
      </c>
      <c r="E139" s="2">
        <v>68.5</v>
      </c>
      <c r="F139" s="2">
        <f>SUM(C139:E139)</f>
        <v>177.5</v>
      </c>
      <c r="G139" s="2">
        <v>138</v>
      </c>
    </row>
    <row r="140" ht="18.75" spans="1:7">
      <c r="A140" s="1" t="s">
        <v>62</v>
      </c>
      <c r="B140" s="1" t="s">
        <v>288</v>
      </c>
      <c r="C140" s="2">
        <v>85</v>
      </c>
      <c r="D140" s="2">
        <v>45</v>
      </c>
      <c r="E140" s="2">
        <v>47</v>
      </c>
      <c r="F140" s="2">
        <f>SUM(C140:E140)</f>
        <v>177</v>
      </c>
      <c r="G140" s="2">
        <v>139</v>
      </c>
    </row>
    <row r="141" ht="18.75" spans="1:7">
      <c r="A141" s="1" t="s">
        <v>76</v>
      </c>
      <c r="B141" s="1" t="s">
        <v>288</v>
      </c>
      <c r="C141" s="2">
        <v>86</v>
      </c>
      <c r="D141" s="2">
        <v>41</v>
      </c>
      <c r="E141" s="2">
        <v>50</v>
      </c>
      <c r="F141" s="2">
        <f>SUM(C141:E141)</f>
        <v>177</v>
      </c>
      <c r="G141" s="2">
        <v>140</v>
      </c>
    </row>
    <row r="142" ht="18.75" spans="1:7">
      <c r="A142" s="1" t="s">
        <v>106</v>
      </c>
      <c r="B142" s="1" t="s">
        <v>286</v>
      </c>
      <c r="C142" s="2">
        <v>90</v>
      </c>
      <c r="D142" s="2">
        <v>51</v>
      </c>
      <c r="E142" s="2">
        <v>36</v>
      </c>
      <c r="F142" s="2">
        <f>SUM(C142:E142)</f>
        <v>177</v>
      </c>
      <c r="G142" s="2">
        <v>141</v>
      </c>
    </row>
    <row r="143" ht="18.75" spans="1:7">
      <c r="A143" s="1" t="s">
        <v>185</v>
      </c>
      <c r="B143" s="1" t="s">
        <v>289</v>
      </c>
      <c r="C143" s="2">
        <v>64</v>
      </c>
      <c r="D143" s="2">
        <v>58</v>
      </c>
      <c r="E143" s="2">
        <v>55</v>
      </c>
      <c r="F143" s="2">
        <f>SUM(C143:E143)</f>
        <v>177</v>
      </c>
      <c r="G143" s="2">
        <v>142</v>
      </c>
    </row>
    <row r="144" ht="18.75" spans="1:7">
      <c r="A144" s="1" t="s">
        <v>148</v>
      </c>
      <c r="B144" s="1" t="s">
        <v>287</v>
      </c>
      <c r="C144" s="2">
        <v>93</v>
      </c>
      <c r="D144" s="2">
        <v>26</v>
      </c>
      <c r="E144" s="2">
        <v>57.5</v>
      </c>
      <c r="F144" s="2">
        <f>SUM(C144:E144)</f>
        <v>176.5</v>
      </c>
      <c r="G144" s="2">
        <v>143</v>
      </c>
    </row>
    <row r="145" ht="18.75" spans="1:7">
      <c r="A145" s="1" t="s">
        <v>149</v>
      </c>
      <c r="B145" s="1" t="s">
        <v>287</v>
      </c>
      <c r="C145" s="2">
        <v>88</v>
      </c>
      <c r="D145" s="2">
        <v>33</v>
      </c>
      <c r="E145" s="2">
        <v>55.5</v>
      </c>
      <c r="F145" s="2">
        <f>SUM(C145:E145)</f>
        <v>176.5</v>
      </c>
      <c r="G145" s="2">
        <v>144</v>
      </c>
    </row>
    <row r="146" ht="18.75" spans="1:7">
      <c r="A146" s="1" t="s">
        <v>181</v>
      </c>
      <c r="B146" s="1" t="s">
        <v>289</v>
      </c>
      <c r="C146" s="2">
        <v>62</v>
      </c>
      <c r="D146" s="2">
        <v>45</v>
      </c>
      <c r="E146" s="2">
        <v>69</v>
      </c>
      <c r="F146" s="2">
        <f>SUM(C146:E146)</f>
        <v>176</v>
      </c>
      <c r="G146" s="2">
        <v>145</v>
      </c>
    </row>
    <row r="147" ht="18.75" spans="1:7">
      <c r="A147" s="1" t="s">
        <v>228</v>
      </c>
      <c r="B147" s="1" t="s">
        <v>204</v>
      </c>
      <c r="C147" s="2">
        <v>64</v>
      </c>
      <c r="D147" s="2">
        <v>41</v>
      </c>
      <c r="E147" s="2">
        <v>71</v>
      </c>
      <c r="F147" s="2">
        <f>SUM(C147:E147)</f>
        <v>176</v>
      </c>
      <c r="G147" s="2">
        <v>146</v>
      </c>
    </row>
    <row r="148" ht="18.75" spans="1:7">
      <c r="A148" s="1" t="s">
        <v>137</v>
      </c>
      <c r="B148" s="1" t="s">
        <v>287</v>
      </c>
      <c r="C148" s="2">
        <v>83</v>
      </c>
      <c r="D148" s="2">
        <v>41</v>
      </c>
      <c r="E148" s="2">
        <v>51.5</v>
      </c>
      <c r="F148" s="2">
        <f>SUM(C148:E148)</f>
        <v>175.5</v>
      </c>
      <c r="G148" s="2">
        <v>147</v>
      </c>
    </row>
    <row r="149" ht="18.75" spans="1:7">
      <c r="A149" s="1" t="s">
        <v>238</v>
      </c>
      <c r="B149" s="1" t="s">
        <v>204</v>
      </c>
      <c r="C149" s="2">
        <v>86</v>
      </c>
      <c r="D149" s="2">
        <v>23</v>
      </c>
      <c r="E149" s="2">
        <v>66.5</v>
      </c>
      <c r="F149" s="2">
        <f>SUM(C149:E149)</f>
        <v>175.5</v>
      </c>
      <c r="G149" s="2">
        <v>148</v>
      </c>
    </row>
    <row r="150" ht="18.75" spans="1:7">
      <c r="A150" s="1" t="s">
        <v>257</v>
      </c>
      <c r="B150" s="1" t="s">
        <v>247</v>
      </c>
      <c r="C150" s="2">
        <v>64</v>
      </c>
      <c r="D150" s="2">
        <v>68</v>
      </c>
      <c r="E150" s="2">
        <v>43.5</v>
      </c>
      <c r="F150" s="2">
        <f>SUM(C150:E150)</f>
        <v>175.5</v>
      </c>
      <c r="G150" s="2">
        <v>149</v>
      </c>
    </row>
    <row r="151" ht="18.75" spans="1:7">
      <c r="A151" s="1" t="s">
        <v>74</v>
      </c>
      <c r="B151" s="1" t="s">
        <v>288</v>
      </c>
      <c r="C151" s="2">
        <v>63</v>
      </c>
      <c r="D151" s="2">
        <v>48</v>
      </c>
      <c r="E151" s="2">
        <v>64</v>
      </c>
      <c r="F151" s="2">
        <f>SUM(C151:E151)</f>
        <v>175</v>
      </c>
      <c r="G151" s="2">
        <v>150</v>
      </c>
    </row>
    <row r="152" ht="18.75" spans="1:7">
      <c r="A152" s="1" t="s">
        <v>232</v>
      </c>
      <c r="B152" s="1" t="s">
        <v>204</v>
      </c>
      <c r="C152" s="2">
        <v>82</v>
      </c>
      <c r="D152" s="2">
        <v>41</v>
      </c>
      <c r="E152" s="2">
        <v>52</v>
      </c>
      <c r="F152" s="2">
        <f>SUM(C152:E152)</f>
        <v>175</v>
      </c>
      <c r="G152" s="2">
        <v>151</v>
      </c>
    </row>
    <row r="153" ht="18.75" spans="1:7">
      <c r="A153" s="1" t="s">
        <v>125</v>
      </c>
      <c r="B153" s="1" t="s">
        <v>286</v>
      </c>
      <c r="C153" s="2">
        <v>88</v>
      </c>
      <c r="D153" s="2">
        <v>20</v>
      </c>
      <c r="E153" s="2">
        <v>66.5</v>
      </c>
      <c r="F153" s="2">
        <f>SUM(C153:E153)</f>
        <v>174.5</v>
      </c>
      <c r="G153" s="2">
        <v>152</v>
      </c>
    </row>
    <row r="154" ht="18.75" spans="1:7">
      <c r="A154" s="1" t="s">
        <v>146</v>
      </c>
      <c r="B154" s="1" t="s">
        <v>287</v>
      </c>
      <c r="C154" s="2">
        <v>87</v>
      </c>
      <c r="D154" s="2">
        <v>52</v>
      </c>
      <c r="E154" s="2">
        <v>35.5</v>
      </c>
      <c r="F154" s="2">
        <f>SUM(C154:E154)</f>
        <v>174.5</v>
      </c>
      <c r="G154" s="2">
        <v>153</v>
      </c>
    </row>
    <row r="155" ht="18.75" spans="1:7">
      <c r="A155" s="1" t="s">
        <v>130</v>
      </c>
      <c r="B155" s="1" t="s">
        <v>286</v>
      </c>
      <c r="C155" s="2">
        <v>78</v>
      </c>
      <c r="D155" s="2">
        <v>48</v>
      </c>
      <c r="E155" s="2">
        <v>48</v>
      </c>
      <c r="F155" s="2">
        <f>SUM(C155:E155)</f>
        <v>174</v>
      </c>
      <c r="G155" s="2">
        <v>154</v>
      </c>
    </row>
    <row r="156" ht="18.75" spans="1:7">
      <c r="A156" s="1" t="s">
        <v>211</v>
      </c>
      <c r="B156" s="1" t="s">
        <v>204</v>
      </c>
      <c r="C156" s="2">
        <v>77</v>
      </c>
      <c r="D156" s="2">
        <v>57</v>
      </c>
      <c r="E156" s="2">
        <v>40</v>
      </c>
      <c r="F156" s="2">
        <f>SUM(C156:E156)</f>
        <v>174</v>
      </c>
      <c r="G156" s="2">
        <v>155</v>
      </c>
    </row>
    <row r="157" ht="18.75" spans="1:7">
      <c r="A157" s="1" t="s">
        <v>15</v>
      </c>
      <c r="B157" s="1" t="s">
        <v>8</v>
      </c>
      <c r="C157" s="2">
        <v>84</v>
      </c>
      <c r="D157" s="2">
        <v>35</v>
      </c>
      <c r="E157" s="2">
        <v>54.5</v>
      </c>
      <c r="F157" s="2">
        <f>SUM(C157:E157)</f>
        <v>173.5</v>
      </c>
      <c r="G157" s="2">
        <v>156</v>
      </c>
    </row>
    <row r="158" ht="18.75" spans="1:7">
      <c r="A158" s="1" t="s">
        <v>78</v>
      </c>
      <c r="B158" s="1" t="s">
        <v>288</v>
      </c>
      <c r="C158" s="2">
        <v>67</v>
      </c>
      <c r="D158" s="2">
        <v>55</v>
      </c>
      <c r="E158" s="2">
        <v>51</v>
      </c>
      <c r="F158" s="2">
        <f>SUM(C158:E158)</f>
        <v>173</v>
      </c>
      <c r="G158" s="2">
        <v>157</v>
      </c>
    </row>
    <row r="159" ht="18.75" spans="1:7">
      <c r="A159" s="1" t="s">
        <v>118</v>
      </c>
      <c r="B159" s="1" t="s">
        <v>286</v>
      </c>
      <c r="C159" s="2">
        <v>88</v>
      </c>
      <c r="D159" s="2">
        <v>50</v>
      </c>
      <c r="E159" s="2">
        <v>35</v>
      </c>
      <c r="F159" s="2">
        <f>SUM(C159:E159)</f>
        <v>173</v>
      </c>
      <c r="G159" s="2">
        <v>158</v>
      </c>
    </row>
    <row r="160" ht="18.75" spans="1:7">
      <c r="A160" s="1" t="s">
        <v>124</v>
      </c>
      <c r="B160" s="1" t="s">
        <v>286</v>
      </c>
      <c r="C160" s="2">
        <v>79</v>
      </c>
      <c r="D160" s="2">
        <v>73</v>
      </c>
      <c r="E160" s="2">
        <v>21</v>
      </c>
      <c r="F160" s="2">
        <f>SUM(C160:E160)</f>
        <v>173</v>
      </c>
      <c r="G160" s="2">
        <v>159</v>
      </c>
    </row>
    <row r="161" ht="18.75" spans="1:7">
      <c r="A161" s="1" t="s">
        <v>268</v>
      </c>
      <c r="B161" s="1" t="s">
        <v>247</v>
      </c>
      <c r="C161" s="2">
        <v>85</v>
      </c>
      <c r="D161" s="2">
        <v>55</v>
      </c>
      <c r="E161" s="2">
        <v>32.5</v>
      </c>
      <c r="F161" s="2">
        <f>SUM(C161:E161)</f>
        <v>172.5</v>
      </c>
      <c r="G161" s="2">
        <v>160</v>
      </c>
    </row>
    <row r="162" ht="18.75" spans="1:7">
      <c r="A162" s="1" t="s">
        <v>276</v>
      </c>
      <c r="B162" s="1" t="s">
        <v>247</v>
      </c>
      <c r="C162" s="2">
        <v>80</v>
      </c>
      <c r="D162" s="2">
        <v>35</v>
      </c>
      <c r="E162" s="2">
        <v>57.5</v>
      </c>
      <c r="F162" s="2">
        <f>SUM(C162:E162)</f>
        <v>172.5</v>
      </c>
      <c r="G162" s="2">
        <v>161</v>
      </c>
    </row>
    <row r="163" ht="18.75" spans="1:7">
      <c r="A163" s="1" t="s">
        <v>122</v>
      </c>
      <c r="B163" s="1" t="s">
        <v>286</v>
      </c>
      <c r="C163" s="2">
        <v>80</v>
      </c>
      <c r="D163" s="2">
        <v>34</v>
      </c>
      <c r="E163" s="2">
        <v>58</v>
      </c>
      <c r="F163" s="2">
        <f>SUM(C163:E163)</f>
        <v>172</v>
      </c>
      <c r="G163" s="2">
        <v>162</v>
      </c>
    </row>
    <row r="164" ht="18.75" spans="1:7">
      <c r="A164" s="1" t="s">
        <v>180</v>
      </c>
      <c r="B164" s="1" t="s">
        <v>289</v>
      </c>
      <c r="C164" s="2">
        <v>81</v>
      </c>
      <c r="D164" s="2">
        <v>41</v>
      </c>
      <c r="E164" s="2">
        <v>50</v>
      </c>
      <c r="F164" s="2">
        <f>SUM(C164:E164)</f>
        <v>172</v>
      </c>
      <c r="G164" s="2">
        <v>163</v>
      </c>
    </row>
    <row r="165" ht="18.75" spans="1:7">
      <c r="A165" s="1" t="s">
        <v>214</v>
      </c>
      <c r="B165" s="1" t="s">
        <v>204</v>
      </c>
      <c r="C165" s="2">
        <v>80</v>
      </c>
      <c r="D165" s="2">
        <v>46</v>
      </c>
      <c r="E165" s="2">
        <v>45</v>
      </c>
      <c r="F165" s="2">
        <f>SUM(C165:E165)</f>
        <v>171</v>
      </c>
      <c r="G165" s="2">
        <v>164</v>
      </c>
    </row>
    <row r="166" ht="18.75" spans="1:7">
      <c r="A166" s="1" t="s">
        <v>271</v>
      </c>
      <c r="B166" s="1" t="s">
        <v>247</v>
      </c>
      <c r="C166" s="2">
        <v>71</v>
      </c>
      <c r="D166" s="2">
        <v>54</v>
      </c>
      <c r="E166" s="2">
        <v>46</v>
      </c>
      <c r="F166" s="2">
        <f>SUM(C166:E166)</f>
        <v>171</v>
      </c>
      <c r="G166" s="2">
        <v>165</v>
      </c>
    </row>
    <row r="167" ht="18.75" spans="1:7">
      <c r="A167" s="1" t="s">
        <v>266</v>
      </c>
      <c r="B167" s="1" t="s">
        <v>247</v>
      </c>
      <c r="C167" s="2">
        <v>87</v>
      </c>
      <c r="D167" s="2">
        <v>33</v>
      </c>
      <c r="E167" s="2">
        <v>50.5</v>
      </c>
      <c r="F167" s="2">
        <f>SUM(C167:E167)</f>
        <v>170.5</v>
      </c>
      <c r="G167" s="2">
        <v>166</v>
      </c>
    </row>
    <row r="168" ht="18.75" spans="1:7">
      <c r="A168" s="1" t="s">
        <v>12</v>
      </c>
      <c r="B168" s="1" t="s">
        <v>8</v>
      </c>
      <c r="C168" s="2">
        <v>72</v>
      </c>
      <c r="D168" s="2">
        <v>35</v>
      </c>
      <c r="E168" s="2">
        <v>63</v>
      </c>
      <c r="F168" s="2">
        <f>SUM(C168:E168)</f>
        <v>170</v>
      </c>
      <c r="G168" s="2">
        <v>167</v>
      </c>
    </row>
    <row r="169" ht="18.75" spans="1:7">
      <c r="A169" s="1" t="s">
        <v>70</v>
      </c>
      <c r="B169" s="1" t="s">
        <v>288</v>
      </c>
      <c r="C169" s="2">
        <v>87</v>
      </c>
      <c r="D169" s="2">
        <v>24</v>
      </c>
      <c r="E169" s="2">
        <v>59</v>
      </c>
      <c r="F169" s="2">
        <f>SUM(C169:E169)</f>
        <v>170</v>
      </c>
      <c r="G169" s="2">
        <v>168</v>
      </c>
    </row>
    <row r="170" ht="18.75" spans="1:7">
      <c r="A170" s="1" t="s">
        <v>274</v>
      </c>
      <c r="B170" s="1" t="s">
        <v>247</v>
      </c>
      <c r="C170" s="2">
        <v>82</v>
      </c>
      <c r="D170" s="2">
        <v>36</v>
      </c>
      <c r="E170" s="2">
        <v>52</v>
      </c>
      <c r="F170" s="2">
        <f>SUM(C170:E170)</f>
        <v>170</v>
      </c>
      <c r="G170" s="2">
        <v>169</v>
      </c>
    </row>
    <row r="171" ht="18.75" spans="1:7">
      <c r="A171" s="1" t="s">
        <v>24</v>
      </c>
      <c r="B171" s="1" t="s">
        <v>8</v>
      </c>
      <c r="C171" s="2">
        <v>76</v>
      </c>
      <c r="D171" s="2">
        <v>50</v>
      </c>
      <c r="E171" s="2">
        <v>43.5</v>
      </c>
      <c r="F171" s="2">
        <f>SUM(C171:E171)</f>
        <v>169.5</v>
      </c>
      <c r="G171" s="2">
        <v>170</v>
      </c>
    </row>
    <row r="172" ht="18.75" spans="1:7">
      <c r="A172" s="1" t="s">
        <v>178</v>
      </c>
      <c r="B172" s="1" t="s">
        <v>289</v>
      </c>
      <c r="C172" s="2">
        <v>84</v>
      </c>
      <c r="D172" s="2">
        <v>45</v>
      </c>
      <c r="E172" s="2">
        <v>40</v>
      </c>
      <c r="F172" s="2">
        <f>SUM(C172:E172)</f>
        <v>169</v>
      </c>
      <c r="G172" s="2">
        <v>171</v>
      </c>
    </row>
    <row r="173" ht="18.75" spans="1:7">
      <c r="A173" s="1" t="s">
        <v>83</v>
      </c>
      <c r="B173" s="1" t="s">
        <v>288</v>
      </c>
      <c r="C173" s="2">
        <v>72</v>
      </c>
      <c r="D173" s="2">
        <v>62</v>
      </c>
      <c r="E173" s="2">
        <v>34.5</v>
      </c>
      <c r="F173" s="2">
        <f>SUM(C173:E173)</f>
        <v>168.5</v>
      </c>
      <c r="G173" s="2">
        <v>172</v>
      </c>
    </row>
    <row r="174" ht="18.75" spans="1:7">
      <c r="A174" s="1" t="s">
        <v>230</v>
      </c>
      <c r="B174" s="1" t="s">
        <v>204</v>
      </c>
      <c r="C174" s="2">
        <v>87</v>
      </c>
      <c r="D174" s="2">
        <v>34</v>
      </c>
      <c r="E174" s="2">
        <v>47.5</v>
      </c>
      <c r="F174" s="2">
        <f>SUM(C174:E174)</f>
        <v>168.5</v>
      </c>
      <c r="G174" s="2">
        <v>173</v>
      </c>
    </row>
    <row r="175" ht="18.75" spans="1:7">
      <c r="A175" s="1" t="s">
        <v>21</v>
      </c>
      <c r="B175" s="1" t="s">
        <v>8</v>
      </c>
      <c r="C175" s="2">
        <v>80</v>
      </c>
      <c r="D175" s="2">
        <v>38</v>
      </c>
      <c r="E175" s="2">
        <v>50</v>
      </c>
      <c r="F175" s="2">
        <f>SUM(C175:E175)</f>
        <v>168</v>
      </c>
      <c r="G175" s="2">
        <v>174</v>
      </c>
    </row>
    <row r="176" ht="18.75" spans="1:7">
      <c r="A176" s="1" t="s">
        <v>17</v>
      </c>
      <c r="B176" s="1" t="s">
        <v>8</v>
      </c>
      <c r="C176" s="2">
        <v>88</v>
      </c>
      <c r="D176" s="2">
        <v>25</v>
      </c>
      <c r="E176" s="2">
        <v>54.5</v>
      </c>
      <c r="F176" s="2">
        <f>SUM(C176:E176)</f>
        <v>167.5</v>
      </c>
      <c r="G176" s="2">
        <v>175</v>
      </c>
    </row>
    <row r="177" ht="18.75" spans="1:7">
      <c r="A177" s="1" t="s">
        <v>128</v>
      </c>
      <c r="B177" s="1" t="s">
        <v>286</v>
      </c>
      <c r="C177" s="2">
        <v>80</v>
      </c>
      <c r="D177" s="2">
        <v>14</v>
      </c>
      <c r="E177" s="2">
        <v>73.5</v>
      </c>
      <c r="F177" s="2">
        <f>SUM(C177:E177)</f>
        <v>167.5</v>
      </c>
      <c r="G177" s="2">
        <v>176</v>
      </c>
    </row>
    <row r="178" ht="18.75" spans="1:7">
      <c r="A178" s="1" t="s">
        <v>20</v>
      </c>
      <c r="B178" s="1" t="s">
        <v>8</v>
      </c>
      <c r="C178" s="2">
        <v>94</v>
      </c>
      <c r="D178" s="2">
        <v>32</v>
      </c>
      <c r="E178" s="2">
        <v>41</v>
      </c>
      <c r="F178" s="2">
        <f>SUM(C178:E178)</f>
        <v>167</v>
      </c>
      <c r="G178" s="2">
        <v>177</v>
      </c>
    </row>
    <row r="179" ht="18.75" spans="1:7">
      <c r="A179" s="1" t="s">
        <v>61</v>
      </c>
      <c r="B179" s="1" t="s">
        <v>288</v>
      </c>
      <c r="C179" s="2">
        <v>83</v>
      </c>
      <c r="D179" s="2">
        <v>55</v>
      </c>
      <c r="E179" s="2">
        <v>29</v>
      </c>
      <c r="F179" s="2">
        <f>SUM(C179:E179)</f>
        <v>167</v>
      </c>
      <c r="G179" s="2">
        <v>178</v>
      </c>
    </row>
    <row r="180" ht="18.75" spans="1:7">
      <c r="A180" s="1" t="s">
        <v>77</v>
      </c>
      <c r="B180" s="1" t="s">
        <v>288</v>
      </c>
      <c r="C180" s="2">
        <v>69</v>
      </c>
      <c r="D180" s="2">
        <v>44</v>
      </c>
      <c r="E180" s="2">
        <v>54</v>
      </c>
      <c r="F180" s="2">
        <f>SUM(C180:E180)</f>
        <v>167</v>
      </c>
      <c r="G180" s="2">
        <v>179</v>
      </c>
    </row>
    <row r="181" ht="18.75" spans="1:7">
      <c r="A181" s="1" t="s">
        <v>176</v>
      </c>
      <c r="B181" s="1" t="s">
        <v>289</v>
      </c>
      <c r="C181" s="2">
        <v>78</v>
      </c>
      <c r="D181" s="2">
        <v>51</v>
      </c>
      <c r="E181" s="2">
        <v>37.5</v>
      </c>
      <c r="F181" s="2">
        <f>SUM(C181:E181)</f>
        <v>166.5</v>
      </c>
      <c r="G181" s="2">
        <v>180</v>
      </c>
    </row>
    <row r="182" ht="18.75" spans="1:7">
      <c r="A182" s="1" t="s">
        <v>82</v>
      </c>
      <c r="B182" s="1" t="s">
        <v>288</v>
      </c>
      <c r="C182" s="2">
        <v>93</v>
      </c>
      <c r="D182" s="2">
        <v>28</v>
      </c>
      <c r="E182" s="2">
        <v>45</v>
      </c>
      <c r="F182" s="2">
        <f>SUM(C182:E182)</f>
        <v>166</v>
      </c>
      <c r="G182" s="2">
        <v>181</v>
      </c>
    </row>
    <row r="183" ht="18.75" spans="1:7">
      <c r="A183" s="1" t="s">
        <v>177</v>
      </c>
      <c r="B183" s="1" t="s">
        <v>289</v>
      </c>
      <c r="C183" s="2">
        <v>77</v>
      </c>
      <c r="D183" s="2">
        <v>44</v>
      </c>
      <c r="E183" s="2">
        <v>45</v>
      </c>
      <c r="F183" s="2">
        <f>SUM(C183:E183)</f>
        <v>166</v>
      </c>
      <c r="G183" s="2">
        <v>182</v>
      </c>
    </row>
    <row r="184" ht="18.75" spans="1:7">
      <c r="A184" s="1" t="s">
        <v>267</v>
      </c>
      <c r="B184" s="1" t="s">
        <v>247</v>
      </c>
      <c r="C184" s="2">
        <v>79</v>
      </c>
      <c r="D184" s="2">
        <v>29</v>
      </c>
      <c r="E184" s="2">
        <v>58</v>
      </c>
      <c r="F184" s="2">
        <f>SUM(C184:E184)</f>
        <v>166</v>
      </c>
      <c r="G184" s="2">
        <v>183</v>
      </c>
    </row>
    <row r="185" ht="18.75" spans="1:7">
      <c r="A185" s="1" t="s">
        <v>188</v>
      </c>
      <c r="B185" s="1" t="s">
        <v>289</v>
      </c>
      <c r="C185" s="2">
        <v>68</v>
      </c>
      <c r="D185" s="2">
        <v>41</v>
      </c>
      <c r="E185" s="2">
        <v>56.5</v>
      </c>
      <c r="F185" s="2">
        <f>SUM(C185:E185)</f>
        <v>165.5</v>
      </c>
      <c r="G185" s="2">
        <v>184</v>
      </c>
    </row>
    <row r="186" ht="18.75" spans="1:7">
      <c r="A186" s="1" t="s">
        <v>191</v>
      </c>
      <c r="B186" s="1" t="s">
        <v>289</v>
      </c>
      <c r="C186" s="2">
        <v>65</v>
      </c>
      <c r="D186" s="2">
        <v>38</v>
      </c>
      <c r="E186" s="2">
        <v>62.5</v>
      </c>
      <c r="F186" s="2">
        <f>SUM(C186:E186)</f>
        <v>165.5</v>
      </c>
      <c r="G186" s="2">
        <v>185</v>
      </c>
    </row>
    <row r="187" ht="18.75" spans="1:7">
      <c r="A187" s="1" t="s">
        <v>26</v>
      </c>
      <c r="B187" s="1" t="s">
        <v>8</v>
      </c>
      <c r="C187" s="2">
        <v>80</v>
      </c>
      <c r="D187" s="2">
        <v>44</v>
      </c>
      <c r="E187" s="2">
        <v>40.5</v>
      </c>
      <c r="F187" s="2">
        <f>SUM(C187:E187)</f>
        <v>164.5</v>
      </c>
      <c r="G187" s="2">
        <v>186</v>
      </c>
    </row>
    <row r="188" ht="18.75" spans="1:7">
      <c r="A188" s="1" t="s">
        <v>269</v>
      </c>
      <c r="B188" s="1" t="s">
        <v>247</v>
      </c>
      <c r="C188" s="2">
        <v>75</v>
      </c>
      <c r="D188" s="2">
        <v>53</v>
      </c>
      <c r="E188" s="2">
        <v>36.5</v>
      </c>
      <c r="F188" s="2">
        <f>SUM(C188:E188)</f>
        <v>164.5</v>
      </c>
      <c r="G188" s="2">
        <v>187</v>
      </c>
    </row>
    <row r="189" ht="18.75" spans="1:7">
      <c r="A189" s="1" t="s">
        <v>147</v>
      </c>
      <c r="B189" s="1" t="s">
        <v>287</v>
      </c>
      <c r="C189" s="2">
        <v>72</v>
      </c>
      <c r="D189" s="2">
        <v>36</v>
      </c>
      <c r="E189" s="2">
        <v>56</v>
      </c>
      <c r="F189" s="2">
        <f>SUM(C189:E189)</f>
        <v>164</v>
      </c>
      <c r="G189" s="2">
        <v>188</v>
      </c>
    </row>
    <row r="190" ht="18.75" spans="1:7">
      <c r="A190" s="1" t="s">
        <v>236</v>
      </c>
      <c r="B190" s="1" t="s">
        <v>204</v>
      </c>
      <c r="C190" s="2">
        <v>84</v>
      </c>
      <c r="D190" s="2">
        <v>22</v>
      </c>
      <c r="E190" s="2">
        <v>57.5</v>
      </c>
      <c r="F190" s="2">
        <f>SUM(C190:E190)</f>
        <v>163.5</v>
      </c>
      <c r="G190" s="2">
        <v>189</v>
      </c>
    </row>
    <row r="191" ht="18.75" spans="1:7">
      <c r="A191" s="1" t="s">
        <v>18</v>
      </c>
      <c r="B191" s="1" t="s">
        <v>8</v>
      </c>
      <c r="C191" s="2">
        <v>78</v>
      </c>
      <c r="D191" s="2">
        <v>24</v>
      </c>
      <c r="E191" s="2">
        <v>61</v>
      </c>
      <c r="F191" s="2">
        <f>SUM(C191:E191)</f>
        <v>163</v>
      </c>
      <c r="G191" s="2">
        <v>190</v>
      </c>
    </row>
    <row r="192" ht="18.75" spans="1:7">
      <c r="A192" s="1" t="s">
        <v>25</v>
      </c>
      <c r="B192" s="1" t="s">
        <v>8</v>
      </c>
      <c r="C192" s="2">
        <v>77</v>
      </c>
      <c r="D192" s="2">
        <v>20</v>
      </c>
      <c r="E192" s="2">
        <v>66</v>
      </c>
      <c r="F192" s="2">
        <f>SUM(C192:E192)</f>
        <v>163</v>
      </c>
      <c r="G192" s="2">
        <v>191</v>
      </c>
    </row>
    <row r="193" ht="18.75" spans="1:7">
      <c r="A193" s="1" t="s">
        <v>183</v>
      </c>
      <c r="B193" s="1" t="s">
        <v>289</v>
      </c>
      <c r="C193" s="2">
        <v>64</v>
      </c>
      <c r="D193" s="2">
        <v>38</v>
      </c>
      <c r="E193" s="2">
        <v>61</v>
      </c>
      <c r="F193" s="2">
        <f>SUM(C193:E193)</f>
        <v>163</v>
      </c>
      <c r="G193" s="2">
        <v>192</v>
      </c>
    </row>
    <row r="194" ht="18.75" spans="1:7">
      <c r="A194" s="1" t="s">
        <v>239</v>
      </c>
      <c r="B194" s="1" t="s">
        <v>204</v>
      </c>
      <c r="C194" s="2">
        <v>67</v>
      </c>
      <c r="D194" s="2">
        <v>40</v>
      </c>
      <c r="E194" s="2">
        <v>55.5</v>
      </c>
      <c r="F194" s="2">
        <f>SUM(C194:E194)</f>
        <v>162.5</v>
      </c>
      <c r="G194" s="2">
        <v>193</v>
      </c>
    </row>
    <row r="195" ht="18.75" spans="1:7">
      <c r="A195" s="1" t="s">
        <v>182</v>
      </c>
      <c r="B195" s="1" t="s">
        <v>289</v>
      </c>
      <c r="C195" s="2">
        <v>76</v>
      </c>
      <c r="D195" s="2">
        <v>51</v>
      </c>
      <c r="E195" s="2">
        <v>35</v>
      </c>
      <c r="F195" s="2">
        <f>SUM(C195:E195)</f>
        <v>162</v>
      </c>
      <c r="G195" s="2">
        <v>194</v>
      </c>
    </row>
    <row r="196" ht="18.75" spans="1:7">
      <c r="A196" s="1" t="s">
        <v>145</v>
      </c>
      <c r="B196" s="1" t="s">
        <v>287</v>
      </c>
      <c r="C196" s="2">
        <v>80</v>
      </c>
      <c r="D196" s="2">
        <v>35</v>
      </c>
      <c r="E196" s="2">
        <v>46.5</v>
      </c>
      <c r="F196" s="2">
        <f>SUM(C196:E196)</f>
        <v>161.5</v>
      </c>
      <c r="G196" s="2">
        <v>195</v>
      </c>
    </row>
    <row r="197" ht="18.75" spans="1:7">
      <c r="A197" s="1" t="s">
        <v>75</v>
      </c>
      <c r="B197" s="1" t="s">
        <v>288</v>
      </c>
      <c r="C197" s="2">
        <v>81</v>
      </c>
      <c r="D197" s="2">
        <v>35</v>
      </c>
      <c r="E197" s="2">
        <v>45</v>
      </c>
      <c r="F197" s="2">
        <f>SUM(C197:E197)</f>
        <v>161</v>
      </c>
      <c r="G197" s="2">
        <v>196</v>
      </c>
    </row>
    <row r="198" ht="18.75" spans="1:7">
      <c r="A198" s="1" t="s">
        <v>189</v>
      </c>
      <c r="B198" s="1" t="s">
        <v>289</v>
      </c>
      <c r="C198" s="2">
        <v>82</v>
      </c>
      <c r="D198" s="2">
        <v>54</v>
      </c>
      <c r="E198" s="2">
        <v>25</v>
      </c>
      <c r="F198" s="2">
        <f>SUM(C198:E198)</f>
        <v>161</v>
      </c>
      <c r="G198" s="2">
        <v>197</v>
      </c>
    </row>
    <row r="199" ht="18.75" spans="1:7">
      <c r="A199" s="1" t="s">
        <v>23</v>
      </c>
      <c r="B199" s="1" t="s">
        <v>8</v>
      </c>
      <c r="C199" s="2">
        <v>72</v>
      </c>
      <c r="D199" s="2">
        <v>51</v>
      </c>
      <c r="E199" s="2">
        <v>37.5</v>
      </c>
      <c r="F199" s="2">
        <f>SUM(C199:E199)</f>
        <v>160.5</v>
      </c>
      <c r="G199" s="2">
        <v>198</v>
      </c>
    </row>
    <row r="200" ht="18.75" spans="1:7">
      <c r="A200" s="1" t="s">
        <v>14</v>
      </c>
      <c r="B200" s="1" t="s">
        <v>8</v>
      </c>
      <c r="C200" s="2">
        <v>76</v>
      </c>
      <c r="D200" s="2">
        <v>25</v>
      </c>
      <c r="E200" s="2">
        <v>58.5</v>
      </c>
      <c r="F200" s="2">
        <f>SUM(C200:E200)</f>
        <v>159.5</v>
      </c>
      <c r="G200" s="2">
        <v>199</v>
      </c>
    </row>
    <row r="201" ht="18.75" spans="1:7">
      <c r="A201" s="1" t="s">
        <v>132</v>
      </c>
      <c r="B201" s="1" t="s">
        <v>286</v>
      </c>
      <c r="C201" s="2">
        <v>76</v>
      </c>
      <c r="D201" s="2">
        <v>35</v>
      </c>
      <c r="E201" s="2">
        <v>48</v>
      </c>
      <c r="F201" s="2">
        <f>SUM(C201:E201)</f>
        <v>159</v>
      </c>
      <c r="G201" s="2">
        <v>200</v>
      </c>
    </row>
    <row r="202" ht="18.75" spans="1:7">
      <c r="A202" s="1" t="s">
        <v>16</v>
      </c>
      <c r="B202" s="1" t="s">
        <v>8</v>
      </c>
      <c r="C202" s="2">
        <v>82</v>
      </c>
      <c r="D202" s="2">
        <v>35</v>
      </c>
      <c r="E202" s="2">
        <v>41.5</v>
      </c>
      <c r="F202" s="2">
        <f>SUM(C202:E202)</f>
        <v>158.5</v>
      </c>
      <c r="G202" s="2">
        <v>201</v>
      </c>
    </row>
    <row r="203" ht="18.75" spans="1:7">
      <c r="A203" s="1" t="s">
        <v>233</v>
      </c>
      <c r="B203" s="1" t="s">
        <v>204</v>
      </c>
      <c r="C203" s="2">
        <v>66</v>
      </c>
      <c r="D203" s="2">
        <v>46</v>
      </c>
      <c r="E203" s="2">
        <v>46.5</v>
      </c>
      <c r="F203" s="2">
        <f>SUM(C203:E203)</f>
        <v>158.5</v>
      </c>
      <c r="G203" s="2">
        <v>202</v>
      </c>
    </row>
    <row r="204" ht="18.75" spans="1:7">
      <c r="A204" s="1" t="s">
        <v>245</v>
      </c>
      <c r="B204" s="1" t="s">
        <v>204</v>
      </c>
      <c r="C204" s="2">
        <v>76</v>
      </c>
      <c r="D204" s="2">
        <v>32</v>
      </c>
      <c r="E204" s="2">
        <v>49.5</v>
      </c>
      <c r="F204" s="2">
        <f>SUM(C204:E204)</f>
        <v>157.5</v>
      </c>
      <c r="G204" s="2">
        <v>203</v>
      </c>
    </row>
    <row r="205" ht="18.75" spans="1:7">
      <c r="A205" s="1" t="s">
        <v>27</v>
      </c>
      <c r="B205" s="1" t="s">
        <v>8</v>
      </c>
      <c r="C205" s="2">
        <v>85</v>
      </c>
      <c r="D205" s="2">
        <v>20</v>
      </c>
      <c r="E205" s="2">
        <v>51.5</v>
      </c>
      <c r="F205" s="2">
        <f>SUM(C205:E205)</f>
        <v>156.5</v>
      </c>
      <c r="G205" s="2">
        <v>204</v>
      </c>
    </row>
    <row r="206" ht="18.75" spans="1:7">
      <c r="A206" s="1" t="s">
        <v>186</v>
      </c>
      <c r="B206" s="1" t="s">
        <v>289</v>
      </c>
      <c r="C206" s="2">
        <v>81</v>
      </c>
      <c r="D206" s="2">
        <v>40</v>
      </c>
      <c r="E206" s="2">
        <v>35.5</v>
      </c>
      <c r="F206" s="2">
        <f>SUM(C206:E206)</f>
        <v>156.5</v>
      </c>
      <c r="G206" s="2">
        <v>205</v>
      </c>
    </row>
    <row r="207" ht="18.75" spans="1:7">
      <c r="A207" s="1" t="s">
        <v>151</v>
      </c>
      <c r="B207" s="1" t="s">
        <v>287</v>
      </c>
      <c r="C207" s="2">
        <v>80</v>
      </c>
      <c r="D207" s="2">
        <v>19</v>
      </c>
      <c r="E207" s="2">
        <v>57</v>
      </c>
      <c r="F207" s="2">
        <f>SUM(C207:E207)</f>
        <v>156</v>
      </c>
      <c r="G207" s="2">
        <v>206</v>
      </c>
    </row>
    <row r="208" ht="18.75" spans="1:7">
      <c r="A208" s="1" t="s">
        <v>227</v>
      </c>
      <c r="B208" s="1" t="s">
        <v>204</v>
      </c>
      <c r="C208" s="2">
        <v>81</v>
      </c>
      <c r="D208" s="2">
        <v>32</v>
      </c>
      <c r="E208" s="2">
        <v>43</v>
      </c>
      <c r="F208" s="2">
        <f>SUM(C208:E208)</f>
        <v>156</v>
      </c>
      <c r="G208" s="2">
        <v>207</v>
      </c>
    </row>
    <row r="209" ht="18.75" spans="1:7">
      <c r="A209" s="1" t="s">
        <v>126</v>
      </c>
      <c r="B209" s="1" t="s">
        <v>286</v>
      </c>
      <c r="C209" s="2">
        <v>78</v>
      </c>
      <c r="D209" s="2">
        <v>37</v>
      </c>
      <c r="E209" s="2">
        <v>40.5</v>
      </c>
      <c r="F209" s="2">
        <f>SUM(C209:E209)</f>
        <v>155.5</v>
      </c>
      <c r="G209" s="2">
        <v>208</v>
      </c>
    </row>
    <row r="210" ht="18.75" spans="1:7">
      <c r="A210" s="1" t="s">
        <v>190</v>
      </c>
      <c r="B210" s="1" t="s">
        <v>289</v>
      </c>
      <c r="C210" s="2">
        <v>88</v>
      </c>
      <c r="D210" s="2">
        <v>47</v>
      </c>
      <c r="E210" s="2">
        <v>20.5</v>
      </c>
      <c r="F210" s="2">
        <f>SUM(C210:E210)</f>
        <v>155.5</v>
      </c>
      <c r="G210" s="2">
        <v>209</v>
      </c>
    </row>
    <row r="211" ht="18.75" spans="1:7">
      <c r="A211" s="1" t="s">
        <v>196</v>
      </c>
      <c r="B211" s="1" t="s">
        <v>289</v>
      </c>
      <c r="C211" s="2">
        <v>86</v>
      </c>
      <c r="D211" s="2">
        <v>30</v>
      </c>
      <c r="E211" s="2">
        <v>38.5</v>
      </c>
      <c r="F211" s="2">
        <f>SUM(C211:E211)</f>
        <v>154.5</v>
      </c>
      <c r="G211" s="2">
        <v>210</v>
      </c>
    </row>
    <row r="212" ht="18.75" spans="1:7">
      <c r="A212" s="1" t="s">
        <v>278</v>
      </c>
      <c r="B212" s="1" t="s">
        <v>247</v>
      </c>
      <c r="C212" s="2">
        <v>64</v>
      </c>
      <c r="D212" s="2">
        <v>44</v>
      </c>
      <c r="E212" s="2">
        <v>45.5</v>
      </c>
      <c r="F212" s="2">
        <f>SUM(C212:E212)</f>
        <v>153.5</v>
      </c>
      <c r="G212" s="2">
        <v>211</v>
      </c>
    </row>
    <row r="213" ht="18.75" spans="1:7">
      <c r="A213" s="1" t="s">
        <v>22</v>
      </c>
      <c r="B213" s="1" t="s">
        <v>8</v>
      </c>
      <c r="C213" s="2">
        <v>68</v>
      </c>
      <c r="D213" s="2">
        <v>16</v>
      </c>
      <c r="E213" s="2">
        <v>69</v>
      </c>
      <c r="F213" s="2">
        <f>SUM(C213:E213)</f>
        <v>153</v>
      </c>
      <c r="G213" s="2">
        <v>212</v>
      </c>
    </row>
    <row r="214" ht="18.75" spans="1:7">
      <c r="A214" s="1" t="s">
        <v>244</v>
      </c>
      <c r="B214" s="1" t="s">
        <v>204</v>
      </c>
      <c r="C214" s="2">
        <v>78</v>
      </c>
      <c r="D214" s="2">
        <v>28</v>
      </c>
      <c r="E214" s="2">
        <v>47</v>
      </c>
      <c r="F214" s="2">
        <f>SUM(C214:E214)</f>
        <v>153</v>
      </c>
      <c r="G214" s="2">
        <v>213</v>
      </c>
    </row>
    <row r="215" ht="18.75" spans="1:7">
      <c r="A215" s="1" t="s">
        <v>192</v>
      </c>
      <c r="B215" s="1" t="s">
        <v>289</v>
      </c>
      <c r="C215" s="2">
        <v>82</v>
      </c>
      <c r="D215" s="2">
        <v>47</v>
      </c>
      <c r="E215" s="2">
        <v>23.5</v>
      </c>
      <c r="F215" s="2">
        <f>SUM(C215:E215)</f>
        <v>152.5</v>
      </c>
      <c r="G215" s="2">
        <v>214</v>
      </c>
    </row>
    <row r="216" ht="18.75" spans="1:7">
      <c r="A216" s="1" t="s">
        <v>270</v>
      </c>
      <c r="B216" s="1" t="s">
        <v>247</v>
      </c>
      <c r="C216" s="2">
        <v>64</v>
      </c>
      <c r="D216" s="2">
        <v>39</v>
      </c>
      <c r="E216" s="2">
        <v>49</v>
      </c>
      <c r="F216" s="2">
        <f>SUM(C216:E216)</f>
        <v>152</v>
      </c>
      <c r="G216" s="2">
        <v>215</v>
      </c>
    </row>
    <row r="217" ht="18.75" spans="1:7">
      <c r="A217" s="1" t="s">
        <v>281</v>
      </c>
      <c r="B217" s="1" t="s">
        <v>247</v>
      </c>
      <c r="C217" s="2">
        <v>68</v>
      </c>
      <c r="D217" s="2">
        <v>40</v>
      </c>
      <c r="E217" s="2">
        <v>44</v>
      </c>
      <c r="F217" s="2">
        <f>SUM(C217:E217)</f>
        <v>152</v>
      </c>
      <c r="G217" s="2">
        <v>216</v>
      </c>
    </row>
    <row r="218" ht="18.75" spans="1:7">
      <c r="A218" s="1" t="s">
        <v>33</v>
      </c>
      <c r="B218" s="1" t="s">
        <v>8</v>
      </c>
      <c r="C218" s="2">
        <v>81</v>
      </c>
      <c r="D218" s="2">
        <v>16</v>
      </c>
      <c r="E218" s="2">
        <v>54.5</v>
      </c>
      <c r="F218" s="2">
        <f>SUM(C218:E218)</f>
        <v>151.5</v>
      </c>
      <c r="G218" s="2">
        <v>217</v>
      </c>
    </row>
    <row r="219" ht="18.75" spans="1:7">
      <c r="A219" s="1" t="s">
        <v>109</v>
      </c>
      <c r="B219" s="1" t="s">
        <v>286</v>
      </c>
      <c r="C219" s="2">
        <v>70</v>
      </c>
      <c r="D219" s="2">
        <v>63</v>
      </c>
      <c r="E219" s="2">
        <v>18.5</v>
      </c>
      <c r="F219" s="2">
        <f>SUM(C219:E219)</f>
        <v>151.5</v>
      </c>
      <c r="G219" s="2">
        <v>218</v>
      </c>
    </row>
    <row r="220" ht="18.75" spans="1:7">
      <c r="A220" s="1" t="s">
        <v>85</v>
      </c>
      <c r="B220" s="1" t="s">
        <v>288</v>
      </c>
      <c r="C220" s="2">
        <v>76</v>
      </c>
      <c r="D220" s="2">
        <v>33</v>
      </c>
      <c r="E220" s="2">
        <v>42</v>
      </c>
      <c r="F220" s="2">
        <f>SUM(C220:E220)</f>
        <v>151</v>
      </c>
      <c r="G220" s="2">
        <v>219</v>
      </c>
    </row>
    <row r="221" ht="18.75" spans="1:7">
      <c r="A221" s="1" t="s">
        <v>235</v>
      </c>
      <c r="B221" s="1" t="s">
        <v>204</v>
      </c>
      <c r="C221" s="2">
        <v>88</v>
      </c>
      <c r="D221" s="2">
        <v>14</v>
      </c>
      <c r="E221" s="2">
        <v>49</v>
      </c>
      <c r="F221" s="2">
        <f>SUM(C221:E221)</f>
        <v>151</v>
      </c>
      <c r="G221" s="2">
        <v>220</v>
      </c>
    </row>
    <row r="222" ht="18.75" spans="1:7">
      <c r="A222" s="1" t="s">
        <v>277</v>
      </c>
      <c r="B222" s="1" t="s">
        <v>247</v>
      </c>
      <c r="C222" s="2">
        <v>71</v>
      </c>
      <c r="D222" s="2">
        <v>31</v>
      </c>
      <c r="E222" s="2">
        <v>49</v>
      </c>
      <c r="F222" s="2">
        <f>SUM(C222:E222)</f>
        <v>151</v>
      </c>
      <c r="G222" s="2">
        <v>221</v>
      </c>
    </row>
    <row r="223" ht="18.75" spans="1:7">
      <c r="A223" s="1" t="s">
        <v>243</v>
      </c>
      <c r="B223" s="1" t="s">
        <v>204</v>
      </c>
      <c r="C223" s="2">
        <v>84</v>
      </c>
      <c r="D223" s="2">
        <v>28</v>
      </c>
      <c r="E223" s="2">
        <v>38.5</v>
      </c>
      <c r="F223" s="2">
        <f>SUM(C223:E223)</f>
        <v>150.5</v>
      </c>
      <c r="G223" s="2">
        <v>222</v>
      </c>
    </row>
    <row r="224" ht="18.75" spans="1:7">
      <c r="A224" s="1" t="s">
        <v>279</v>
      </c>
      <c r="B224" s="1" t="s">
        <v>247</v>
      </c>
      <c r="C224" s="2">
        <v>73</v>
      </c>
      <c r="D224" s="2">
        <v>42</v>
      </c>
      <c r="E224" s="2">
        <v>35</v>
      </c>
      <c r="F224" s="2">
        <f>SUM(C224:E224)</f>
        <v>150</v>
      </c>
      <c r="G224" s="2">
        <v>223</v>
      </c>
    </row>
    <row r="225" ht="18.75" spans="1:7">
      <c r="A225" s="1" t="s">
        <v>28</v>
      </c>
      <c r="B225" s="1" t="s">
        <v>8</v>
      </c>
      <c r="C225" s="2">
        <v>83</v>
      </c>
      <c r="D225" s="2">
        <v>20</v>
      </c>
      <c r="E225" s="2">
        <v>46.5</v>
      </c>
      <c r="F225" s="2">
        <f>SUM(C225:E225)</f>
        <v>149.5</v>
      </c>
      <c r="G225" s="2">
        <v>224</v>
      </c>
    </row>
    <row r="226" ht="18.75" spans="1:7">
      <c r="A226" s="1" t="s">
        <v>31</v>
      </c>
      <c r="B226" s="1" t="s">
        <v>8</v>
      </c>
      <c r="C226" s="2">
        <v>76</v>
      </c>
      <c r="D226" s="2">
        <v>23</v>
      </c>
      <c r="E226" s="2">
        <v>50.5</v>
      </c>
      <c r="F226" s="2">
        <f>SUM(C226:E226)</f>
        <v>149.5</v>
      </c>
      <c r="G226" s="2">
        <v>225</v>
      </c>
    </row>
    <row r="227" ht="18.75" spans="1:7">
      <c r="A227" s="1" t="s">
        <v>195</v>
      </c>
      <c r="B227" s="1" t="s">
        <v>289</v>
      </c>
      <c r="C227" s="2">
        <v>68</v>
      </c>
      <c r="D227" s="2">
        <v>34</v>
      </c>
      <c r="E227" s="2">
        <v>47.5</v>
      </c>
      <c r="F227" s="2">
        <f>SUM(C227:E227)</f>
        <v>149.5</v>
      </c>
      <c r="G227" s="2">
        <v>226</v>
      </c>
    </row>
    <row r="228" ht="18.75" spans="1:7">
      <c r="A228" s="1" t="s">
        <v>272</v>
      </c>
      <c r="B228" s="1" t="s">
        <v>247</v>
      </c>
      <c r="C228" s="2">
        <v>76</v>
      </c>
      <c r="D228" s="2">
        <v>33</v>
      </c>
      <c r="E228" s="2">
        <v>40</v>
      </c>
      <c r="F228" s="2">
        <f>SUM(C228:E228)</f>
        <v>149</v>
      </c>
      <c r="G228" s="2">
        <v>227</v>
      </c>
    </row>
    <row r="229" ht="18.75" spans="1:7">
      <c r="A229" s="1" t="s">
        <v>34</v>
      </c>
      <c r="B229" s="1" t="s">
        <v>8</v>
      </c>
      <c r="C229" s="2">
        <v>80</v>
      </c>
      <c r="D229" s="2">
        <v>32</v>
      </c>
      <c r="E229" s="2">
        <v>36.5</v>
      </c>
      <c r="F229" s="2">
        <f>SUM(C229:E229)</f>
        <v>148.5</v>
      </c>
      <c r="G229" s="2">
        <v>228</v>
      </c>
    </row>
    <row r="230" ht="18.75" spans="1:7">
      <c r="A230" s="1" t="s">
        <v>197</v>
      </c>
      <c r="B230" s="1" t="s">
        <v>289</v>
      </c>
      <c r="C230" s="2">
        <v>83</v>
      </c>
      <c r="D230" s="2">
        <v>4</v>
      </c>
      <c r="E230" s="2">
        <v>61.5</v>
      </c>
      <c r="F230" s="2">
        <f>SUM(C230:E230)</f>
        <v>148.5</v>
      </c>
      <c r="G230" s="2">
        <v>229</v>
      </c>
    </row>
    <row r="231" ht="18.75" spans="1:7">
      <c r="A231" s="1" t="s">
        <v>187</v>
      </c>
      <c r="B231" s="1" t="s">
        <v>289</v>
      </c>
      <c r="C231" s="2">
        <v>39</v>
      </c>
      <c r="D231" s="2">
        <v>63</v>
      </c>
      <c r="E231" s="2">
        <v>46</v>
      </c>
      <c r="F231" s="2">
        <f>SUM(C231:E231)</f>
        <v>148</v>
      </c>
      <c r="G231" s="2">
        <v>230</v>
      </c>
    </row>
    <row r="232" ht="18.75" spans="1:7">
      <c r="A232" s="1" t="s">
        <v>150</v>
      </c>
      <c r="B232" s="1" t="s">
        <v>287</v>
      </c>
      <c r="C232" s="2">
        <v>70</v>
      </c>
      <c r="D232" s="2">
        <v>28</v>
      </c>
      <c r="E232" s="2">
        <v>49.5</v>
      </c>
      <c r="F232" s="2">
        <f>SUM(C232:E232)</f>
        <v>147.5</v>
      </c>
      <c r="G232" s="2">
        <v>231</v>
      </c>
    </row>
    <row r="233" ht="18.75" spans="1:7">
      <c r="A233" s="1" t="s">
        <v>32</v>
      </c>
      <c r="B233" s="1" t="s">
        <v>8</v>
      </c>
      <c r="C233" s="2">
        <v>75</v>
      </c>
      <c r="D233" s="2">
        <v>25</v>
      </c>
      <c r="E233" s="2">
        <v>46.5</v>
      </c>
      <c r="F233" s="2">
        <f>SUM(C233:E233)</f>
        <v>146.5</v>
      </c>
      <c r="G233" s="2">
        <v>232</v>
      </c>
    </row>
    <row r="234" ht="18.75" spans="1:7">
      <c r="A234" s="1" t="s">
        <v>194</v>
      </c>
      <c r="B234" s="1" t="s">
        <v>289</v>
      </c>
      <c r="C234" s="2">
        <v>77</v>
      </c>
      <c r="D234" s="2">
        <v>20</v>
      </c>
      <c r="E234" s="2">
        <v>48</v>
      </c>
      <c r="F234" s="2">
        <f>SUM(C234:E234)</f>
        <v>145</v>
      </c>
      <c r="G234" s="2">
        <v>233</v>
      </c>
    </row>
    <row r="235" ht="18.75" spans="1:7">
      <c r="A235" s="1" t="s">
        <v>131</v>
      </c>
      <c r="B235" s="1" t="s">
        <v>286</v>
      </c>
      <c r="C235" s="2">
        <v>68</v>
      </c>
      <c r="D235" s="2">
        <v>28</v>
      </c>
      <c r="E235" s="2">
        <v>47</v>
      </c>
      <c r="F235" s="2">
        <f>SUM(C235:E235)</f>
        <v>143</v>
      </c>
      <c r="G235" s="2">
        <v>234</v>
      </c>
    </row>
    <row r="236" ht="18.75" spans="1:7">
      <c r="A236" s="1" t="s">
        <v>200</v>
      </c>
      <c r="B236" s="1" t="s">
        <v>289</v>
      </c>
      <c r="C236" s="2">
        <v>67</v>
      </c>
      <c r="D236" s="2">
        <v>40</v>
      </c>
      <c r="E236" s="2">
        <v>36</v>
      </c>
      <c r="F236" s="2">
        <f>SUM(C236:E236)</f>
        <v>143</v>
      </c>
      <c r="G236" s="2">
        <v>235</v>
      </c>
    </row>
    <row r="237" ht="18.75" spans="1:7">
      <c r="A237" s="1" t="s">
        <v>282</v>
      </c>
      <c r="B237" s="1" t="s">
        <v>247</v>
      </c>
      <c r="C237" s="2">
        <v>75</v>
      </c>
      <c r="D237" s="2">
        <v>30</v>
      </c>
      <c r="E237" s="2">
        <v>37.5</v>
      </c>
      <c r="F237" s="2">
        <f>SUM(C237:E237)</f>
        <v>142.5</v>
      </c>
      <c r="G237" s="2">
        <v>236</v>
      </c>
    </row>
    <row r="238" ht="18.75" spans="1:7">
      <c r="A238" s="1" t="s">
        <v>29</v>
      </c>
      <c r="B238" s="1" t="s">
        <v>8</v>
      </c>
      <c r="C238" s="2">
        <v>79</v>
      </c>
      <c r="D238" s="2">
        <v>19</v>
      </c>
      <c r="E238" s="2">
        <v>44</v>
      </c>
      <c r="F238" s="2">
        <f>SUM(C238:E238)</f>
        <v>142</v>
      </c>
      <c r="G238" s="2">
        <v>237</v>
      </c>
    </row>
    <row r="239" ht="18.75" spans="1:7">
      <c r="A239" s="1" t="s">
        <v>202</v>
      </c>
      <c r="B239" s="1" t="s">
        <v>289</v>
      </c>
      <c r="C239" s="2">
        <v>80</v>
      </c>
      <c r="D239" s="2">
        <v>24</v>
      </c>
      <c r="E239" s="2">
        <v>36.5</v>
      </c>
      <c r="F239" s="2">
        <f>SUM(C239:E239)</f>
        <v>140.5</v>
      </c>
      <c r="G239" s="2">
        <v>238</v>
      </c>
    </row>
    <row r="240" ht="18.75" spans="1:7">
      <c r="A240" s="1" t="s">
        <v>153</v>
      </c>
      <c r="B240" s="1" t="s">
        <v>287</v>
      </c>
      <c r="C240" s="2">
        <v>67</v>
      </c>
      <c r="D240" s="2">
        <v>48</v>
      </c>
      <c r="E240" s="2">
        <v>24.5</v>
      </c>
      <c r="F240" s="2">
        <f>SUM(C240:E240)</f>
        <v>139.5</v>
      </c>
      <c r="G240" s="2">
        <v>239</v>
      </c>
    </row>
    <row r="241" ht="18.75" spans="1:7">
      <c r="A241" s="1" t="s">
        <v>240</v>
      </c>
      <c r="B241" s="1" t="s">
        <v>204</v>
      </c>
      <c r="C241" s="2">
        <v>62</v>
      </c>
      <c r="D241" s="2">
        <v>30</v>
      </c>
      <c r="E241" s="2">
        <v>47.5</v>
      </c>
      <c r="F241" s="2">
        <f>SUM(C241:E241)</f>
        <v>139.5</v>
      </c>
      <c r="G241" s="2">
        <v>240</v>
      </c>
    </row>
    <row r="242" ht="18.75" spans="1:7">
      <c r="A242" s="1" t="s">
        <v>280</v>
      </c>
      <c r="B242" s="1" t="s">
        <v>247</v>
      </c>
      <c r="C242" s="2">
        <v>67</v>
      </c>
      <c r="D242" s="2">
        <v>24</v>
      </c>
      <c r="E242" s="2">
        <v>47</v>
      </c>
      <c r="F242" s="2">
        <f>SUM(C242:E242)</f>
        <v>138</v>
      </c>
      <c r="G242" s="2">
        <v>241</v>
      </c>
    </row>
    <row r="243" ht="18.75" spans="1:7">
      <c r="A243" s="1" t="s">
        <v>30</v>
      </c>
      <c r="B243" s="1" t="s">
        <v>8</v>
      </c>
      <c r="C243" s="2">
        <v>66</v>
      </c>
      <c r="D243" s="2">
        <v>28</v>
      </c>
      <c r="E243" s="2">
        <v>43.5</v>
      </c>
      <c r="F243" s="2">
        <f>SUM(C243:E243)</f>
        <v>137.5</v>
      </c>
      <c r="G243" s="2">
        <v>242</v>
      </c>
    </row>
    <row r="244" ht="18.75" spans="1:7">
      <c r="A244" s="1" t="s">
        <v>152</v>
      </c>
      <c r="B244" s="1" t="s">
        <v>287</v>
      </c>
      <c r="C244" s="2">
        <v>83</v>
      </c>
      <c r="D244" s="2">
        <v>20</v>
      </c>
      <c r="E244" s="2">
        <v>34</v>
      </c>
      <c r="F244" s="2">
        <f>SUM(C244:E244)</f>
        <v>137</v>
      </c>
      <c r="G244" s="2">
        <v>243</v>
      </c>
    </row>
    <row r="245" ht="18.75" spans="1:7">
      <c r="A245" s="1" t="s">
        <v>79</v>
      </c>
      <c r="B245" s="1" t="s">
        <v>288</v>
      </c>
      <c r="C245" s="2">
        <v>73</v>
      </c>
      <c r="D245" s="2">
        <v>20</v>
      </c>
      <c r="E245" s="2">
        <v>42.5</v>
      </c>
      <c r="F245" s="2">
        <f>SUM(C245:E245)</f>
        <v>135.5</v>
      </c>
      <c r="G245" s="2">
        <v>244</v>
      </c>
    </row>
    <row r="246" ht="18.75" spans="1:7">
      <c r="A246" s="1" t="s">
        <v>198</v>
      </c>
      <c r="B246" s="1" t="s">
        <v>289</v>
      </c>
      <c r="C246" s="2">
        <v>87</v>
      </c>
      <c r="D246" s="2">
        <v>17</v>
      </c>
      <c r="E246" s="2">
        <v>31.5</v>
      </c>
      <c r="F246" s="2">
        <f>SUM(C246:E246)</f>
        <v>135.5</v>
      </c>
      <c r="G246" s="2">
        <v>245</v>
      </c>
    </row>
    <row r="247" ht="18.75" spans="1:7">
      <c r="A247" s="1" t="s">
        <v>84</v>
      </c>
      <c r="B247" s="1" t="s">
        <v>288</v>
      </c>
      <c r="C247" s="2">
        <v>72</v>
      </c>
      <c r="D247" s="2">
        <v>49</v>
      </c>
      <c r="E247" s="2">
        <v>13</v>
      </c>
      <c r="F247" s="2">
        <f>SUM(C247:E247)</f>
        <v>134</v>
      </c>
      <c r="G247" s="2">
        <v>246</v>
      </c>
    </row>
    <row r="248" ht="18.75" spans="1:7">
      <c r="A248" s="1" t="s">
        <v>154</v>
      </c>
      <c r="B248" s="1" t="s">
        <v>287</v>
      </c>
      <c r="C248" s="2">
        <v>68</v>
      </c>
      <c r="D248" s="2">
        <v>8</v>
      </c>
      <c r="E248" s="2">
        <v>58</v>
      </c>
      <c r="F248" s="2">
        <f>SUM(C248:E248)</f>
        <v>134</v>
      </c>
      <c r="G248" s="2">
        <v>247</v>
      </c>
    </row>
    <row r="249" ht="18.75" spans="1:7">
      <c r="A249" s="1" t="s">
        <v>201</v>
      </c>
      <c r="B249" s="1" t="s">
        <v>289</v>
      </c>
      <c r="C249" s="2">
        <v>62</v>
      </c>
      <c r="D249" s="2">
        <v>38</v>
      </c>
      <c r="E249" s="2">
        <v>34</v>
      </c>
      <c r="F249" s="2">
        <f>SUM(C249:E249)</f>
        <v>134</v>
      </c>
      <c r="G249" s="2">
        <v>248</v>
      </c>
    </row>
    <row r="250" ht="18.75" spans="1:7">
      <c r="A250" s="1" t="s">
        <v>199</v>
      </c>
      <c r="B250" s="1" t="s">
        <v>289</v>
      </c>
      <c r="C250" s="2">
        <v>68</v>
      </c>
      <c r="D250" s="2">
        <v>14</v>
      </c>
      <c r="E250" s="2">
        <v>51.5</v>
      </c>
      <c r="F250" s="2">
        <f>SUM(C250:E250)</f>
        <v>133.5</v>
      </c>
      <c r="G250" s="2">
        <v>249</v>
      </c>
    </row>
    <row r="251" ht="18.75" spans="1:7">
      <c r="A251" s="1" t="s">
        <v>87</v>
      </c>
      <c r="B251" s="1" t="s">
        <v>288</v>
      </c>
      <c r="C251" s="2">
        <v>51</v>
      </c>
      <c r="D251" s="2">
        <v>38</v>
      </c>
      <c r="E251" s="2">
        <v>44</v>
      </c>
      <c r="F251" s="2">
        <f>SUM(C251:E251)</f>
        <v>133</v>
      </c>
      <c r="G251" s="2">
        <v>250</v>
      </c>
    </row>
    <row r="252" ht="18.75" spans="1:7">
      <c r="A252" s="1" t="s">
        <v>275</v>
      </c>
      <c r="B252" s="1" t="s">
        <v>247</v>
      </c>
      <c r="C252" s="2">
        <v>64</v>
      </c>
      <c r="D252" s="2">
        <v>44</v>
      </c>
      <c r="E252" s="2">
        <v>21.5</v>
      </c>
      <c r="F252" s="2">
        <f>SUM(C252:E252)</f>
        <v>129.5</v>
      </c>
      <c r="G252" s="2">
        <v>251</v>
      </c>
    </row>
    <row r="253" ht="18.75" spans="1:7">
      <c r="A253" s="1" t="s">
        <v>129</v>
      </c>
      <c r="B253" s="1" t="s">
        <v>286</v>
      </c>
      <c r="C253" s="2">
        <v>76</v>
      </c>
      <c r="D253" s="2">
        <v>26</v>
      </c>
      <c r="E253" s="2">
        <v>24.5</v>
      </c>
      <c r="F253" s="2">
        <f>SUM(C253:E253)</f>
        <v>126.5</v>
      </c>
      <c r="G253" s="2">
        <v>252</v>
      </c>
    </row>
    <row r="254" ht="18.75" spans="1:7">
      <c r="A254" s="1" t="s">
        <v>36</v>
      </c>
      <c r="B254" s="1" t="s">
        <v>8</v>
      </c>
      <c r="C254" s="2">
        <v>77</v>
      </c>
      <c r="D254" s="2">
        <v>20</v>
      </c>
      <c r="E254" s="2">
        <v>29</v>
      </c>
      <c r="F254" s="2">
        <f>SUM(C254:E254)</f>
        <v>126</v>
      </c>
      <c r="G254" s="2">
        <v>253</v>
      </c>
    </row>
    <row r="255" ht="18.75" spans="1:7">
      <c r="A255" s="1" t="s">
        <v>86</v>
      </c>
      <c r="B255" s="1" t="s">
        <v>288</v>
      </c>
      <c r="C255" s="2">
        <v>63</v>
      </c>
      <c r="D255" s="2">
        <v>24</v>
      </c>
      <c r="E255" s="2">
        <v>38.5</v>
      </c>
      <c r="F255" s="2">
        <f>SUM(C255:E255)</f>
        <v>125.5</v>
      </c>
      <c r="G255" s="2">
        <v>254</v>
      </c>
    </row>
    <row r="256" ht="18.75" spans="1:7">
      <c r="A256" s="1" t="s">
        <v>193</v>
      </c>
      <c r="B256" s="1" t="s">
        <v>289</v>
      </c>
      <c r="C256" s="2">
        <v>80</v>
      </c>
      <c r="D256" s="2">
        <v>29</v>
      </c>
      <c r="E256" s="2">
        <v>16.5</v>
      </c>
      <c r="F256" s="2">
        <f>SUM(C256:E256)</f>
        <v>125.5</v>
      </c>
      <c r="G256" s="2">
        <v>255</v>
      </c>
    </row>
    <row r="257" ht="18.75" spans="1:7">
      <c r="A257" s="1" t="s">
        <v>80</v>
      </c>
      <c r="B257" s="1" t="s">
        <v>288</v>
      </c>
      <c r="C257" s="2">
        <v>72</v>
      </c>
      <c r="D257" s="2">
        <v>23</v>
      </c>
      <c r="E257" s="2">
        <v>27</v>
      </c>
      <c r="F257" s="2">
        <f>SUM(C257:E257)</f>
        <v>122</v>
      </c>
      <c r="G257" s="2">
        <v>256</v>
      </c>
    </row>
    <row r="258" ht="18.75" spans="1:7">
      <c r="A258" s="1" t="s">
        <v>35</v>
      </c>
      <c r="B258" s="1" t="s">
        <v>8</v>
      </c>
      <c r="C258" s="2">
        <v>67</v>
      </c>
      <c r="D258" s="2">
        <v>8</v>
      </c>
      <c r="E258" s="2">
        <v>45.5</v>
      </c>
      <c r="F258" s="2">
        <f>SUM(C258:E258)</f>
        <v>120.5</v>
      </c>
      <c r="G258" s="2">
        <v>257</v>
      </c>
    </row>
    <row r="259" ht="18.75" spans="1:7">
      <c r="A259" s="1" t="s">
        <v>155</v>
      </c>
      <c r="B259" s="1" t="s">
        <v>287</v>
      </c>
      <c r="C259" s="2">
        <v>73</v>
      </c>
      <c r="D259" s="2">
        <v>4</v>
      </c>
      <c r="E259" s="2">
        <v>41</v>
      </c>
      <c r="F259" s="2">
        <f>SUM(C259:E259)</f>
        <v>118</v>
      </c>
      <c r="G259" s="2">
        <v>258</v>
      </c>
    </row>
    <row r="260" ht="18.75" spans="1:7">
      <c r="A260" s="1" t="s">
        <v>40</v>
      </c>
      <c r="B260" s="1" t="s">
        <v>8</v>
      </c>
      <c r="C260" s="2">
        <v>62</v>
      </c>
      <c r="D260" s="2">
        <v>13</v>
      </c>
      <c r="E260" s="2">
        <v>42</v>
      </c>
      <c r="F260" s="2">
        <f>SUM(C260:E260)</f>
        <v>117</v>
      </c>
      <c r="G260" s="2">
        <v>259</v>
      </c>
    </row>
    <row r="261" ht="18.75" spans="1:7">
      <c r="A261" s="1" t="s">
        <v>156</v>
      </c>
      <c r="B261" s="1" t="s">
        <v>287</v>
      </c>
      <c r="C261" s="2">
        <v>68</v>
      </c>
      <c r="D261" s="2">
        <v>12</v>
      </c>
      <c r="E261" s="2">
        <v>37</v>
      </c>
      <c r="F261" s="2">
        <f>SUM(C261:E261)</f>
        <v>117</v>
      </c>
      <c r="G261" s="2">
        <v>260</v>
      </c>
    </row>
    <row r="262" ht="18.75" spans="1:7">
      <c r="A262" s="1" t="s">
        <v>37</v>
      </c>
      <c r="B262" s="1" t="s">
        <v>8</v>
      </c>
      <c r="C262" s="2">
        <v>54</v>
      </c>
      <c r="D262" s="2">
        <v>31</v>
      </c>
      <c r="E262" s="2">
        <v>31</v>
      </c>
      <c r="F262" s="2">
        <f>SUM(C262:E262)</f>
        <v>116</v>
      </c>
      <c r="G262" s="2">
        <v>261</v>
      </c>
    </row>
    <row r="263" ht="18.75" spans="1:7">
      <c r="A263" s="1" t="s">
        <v>81</v>
      </c>
      <c r="B263" s="1" t="s">
        <v>288</v>
      </c>
      <c r="C263" s="2">
        <v>69</v>
      </c>
      <c r="D263" s="2">
        <v>33</v>
      </c>
      <c r="E263" s="2">
        <v>14</v>
      </c>
      <c r="F263" s="2">
        <f>SUM(C263:E263)</f>
        <v>116</v>
      </c>
      <c r="G263" s="2">
        <v>262</v>
      </c>
    </row>
    <row r="264" ht="18.75" spans="1:7">
      <c r="A264" s="1" t="s">
        <v>283</v>
      </c>
      <c r="B264" s="1" t="s">
        <v>247</v>
      </c>
      <c r="C264" s="2">
        <v>30</v>
      </c>
      <c r="D264" s="2">
        <v>26</v>
      </c>
      <c r="E264" s="2">
        <v>60</v>
      </c>
      <c r="F264" s="2">
        <f>SUM(C264:E264)</f>
        <v>116</v>
      </c>
      <c r="G264" s="2">
        <v>263</v>
      </c>
    </row>
    <row r="265" ht="18.75" spans="1:7">
      <c r="A265" s="1" t="s">
        <v>38</v>
      </c>
      <c r="B265" s="1" t="s">
        <v>8</v>
      </c>
      <c r="C265" s="2">
        <v>72</v>
      </c>
      <c r="D265" s="2">
        <v>12</v>
      </c>
      <c r="E265" s="2">
        <v>28.5</v>
      </c>
      <c r="F265" s="2">
        <f>SUM(C265:E265)</f>
        <v>112.5</v>
      </c>
      <c r="G265" s="2">
        <v>264</v>
      </c>
    </row>
    <row r="266" ht="18.75" spans="1:7">
      <c r="A266" s="1" t="s">
        <v>39</v>
      </c>
      <c r="B266" s="1" t="s">
        <v>8</v>
      </c>
      <c r="C266" s="2">
        <v>64</v>
      </c>
      <c r="D266" s="2">
        <v>12</v>
      </c>
      <c r="E266" s="2">
        <v>28.5</v>
      </c>
      <c r="F266" s="2">
        <f>SUM(C266:E266)</f>
        <v>104.5</v>
      </c>
      <c r="G266" s="2">
        <v>265</v>
      </c>
    </row>
    <row r="267" ht="18.75" spans="1:7">
      <c r="A267" s="1" t="s">
        <v>157</v>
      </c>
      <c r="B267" s="1" t="s">
        <v>287</v>
      </c>
      <c r="C267" s="2">
        <v>39</v>
      </c>
      <c r="D267" s="2">
        <v>9</v>
      </c>
      <c r="E267" s="2">
        <v>40</v>
      </c>
      <c r="F267" s="2">
        <f>SUM(C267:E267)</f>
        <v>88</v>
      </c>
      <c r="G267" s="2">
        <v>266</v>
      </c>
    </row>
    <row r="268" ht="18.75" spans="1:7">
      <c r="A268" s="1" t="s">
        <v>158</v>
      </c>
      <c r="B268" s="1" t="s">
        <v>287</v>
      </c>
      <c r="C268" s="2">
        <v>50</v>
      </c>
      <c r="D268" s="2">
        <v>16</v>
      </c>
      <c r="E268" s="2">
        <v>20</v>
      </c>
      <c r="F268" s="2">
        <f>SUM(C268:E268)</f>
        <v>86</v>
      </c>
      <c r="G268" s="2">
        <v>267</v>
      </c>
    </row>
    <row r="269" ht="18.75" spans="1:7">
      <c r="A269" s="1" t="s">
        <v>88</v>
      </c>
      <c r="B269" s="1" t="s">
        <v>288</v>
      </c>
      <c r="C269" s="2" t="s">
        <v>89</v>
      </c>
      <c r="D269" s="2">
        <v>50</v>
      </c>
      <c r="E269" s="2">
        <v>28</v>
      </c>
      <c r="F269" s="2">
        <f>SUM(C269:E269)</f>
        <v>78</v>
      </c>
      <c r="G269" s="2">
        <v>268</v>
      </c>
    </row>
  </sheetData>
  <sortState ref="A2:G269">
    <sortCondition ref="F2:F269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保育</vt:lpstr>
      <vt:lpstr>电4</vt:lpstr>
      <vt:lpstr>电5</vt:lpstr>
      <vt:lpstr>旅游</vt:lpstr>
      <vt:lpstr>数控</vt:lpstr>
      <vt:lpstr>计2</vt:lpstr>
      <vt:lpstr>计3</vt:lpstr>
      <vt:lpstr>年级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沁芯爸爸</cp:lastModifiedBy>
  <dcterms:created xsi:type="dcterms:W3CDTF">2023-05-12T11:15:00Z</dcterms:created>
  <dcterms:modified xsi:type="dcterms:W3CDTF">2025-10-21T02:56:16Z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6AEA0521AC9342C79C37D0D8BF0AAB02_12</vt:lpwstr>
  </property>
</Properties>
</file>